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628"/>
  <workbookPr defaultThemeVersion="124226"/>
  <mc:AlternateContent xmlns:mc="http://schemas.openxmlformats.org/markup-compatibility/2006">
    <mc:Choice Requires="x15">
      <x15ac:absPath xmlns:x15ac="http://schemas.microsoft.com/office/spreadsheetml/2010/11/ac" url="C:\Users\User\Documents\Web Base Database Project\Training\"/>
    </mc:Choice>
  </mc:AlternateContent>
  <xr:revisionPtr revIDLastSave="0" documentId="13_ncr:1_{1ADF0232-D49B-4FC2-AB0A-5B6738D59285}" xr6:coauthVersionLast="47" xr6:coauthVersionMax="47" xr10:uidLastSave="{00000000-0000-0000-0000-000000000000}"/>
  <bookViews>
    <workbookView xWindow="-108" yWindow="-108" windowWidth="23256" windowHeight="12456" activeTab="1" xr2:uid="{00000000-000D-0000-FFFF-FFFF00000000}"/>
  </bookViews>
  <sheets>
    <sheet name="Reporting" sheetId="1" r:id="rId1"/>
    <sheet name="NOTES" sheetId="3" r:id="rId2"/>
    <sheet name="BOG specimen BS" sheetId="4" r:id="rId3"/>
    <sheet name="Youth Savings" sheetId="10" r:id="rId4"/>
    <sheet name="Loans Report" sheetId="7" r:id="rId5"/>
    <sheet name="Liquidity Report" sheetId="6" r:id="rId6"/>
    <sheet name="Liquidity Gap Table" sheetId="5" r:id="rId7"/>
    <sheet name="Market Conduct Report" sheetId="8" r:id="rId8"/>
    <sheet name="Age Distribution of Members" sheetId="9" r:id="rId9"/>
  </sheets>
  <externalReferences>
    <externalReference r:id="rId10"/>
    <externalReference r:id="rId11"/>
  </externalReferences>
  <definedNames>
    <definedName name="_00_Transfer" localSheetId="3">[1]JCR!$A$10:$T$3599,[1]JCR!$AQ$10:$AQ$3599</definedName>
    <definedName name="_00_Transfer">[2]JCR!$A$10:$T$3599,[2]JCR!$AQ$10:$AQ$3599</definedName>
    <definedName name="_xlnm.Print_Area" localSheetId="1">NOTES!#REF!</definedName>
    <definedName name="_xlnm.Print_Area" localSheetId="0">Reporting!$A$1:$H$131</definedName>
    <definedName name="_xlnm.Print_Area" localSheetId="3">'Youth Savings'!$A$1:$E$60</definedName>
    <definedName name="Printarea">#N/A</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3" i="3" l="1"/>
  <c r="E35" i="1"/>
  <c r="F35" i="1"/>
  <c r="G35" i="1"/>
  <c r="D35" i="1"/>
  <c r="D17" i="1" l="1"/>
  <c r="D15" i="1"/>
  <c r="B98" i="1"/>
  <c r="C98" i="1"/>
  <c r="G33" i="3"/>
  <c r="G34" i="1" s="1"/>
  <c r="F33" i="3"/>
  <c r="F34" i="1" s="1"/>
  <c r="G22" i="3"/>
  <c r="F22" i="3"/>
  <c r="G21" i="3" s="1"/>
  <c r="E22" i="3"/>
  <c r="E34" i="1"/>
  <c r="D32" i="1"/>
  <c r="D33" i="1"/>
  <c r="D34" i="1" l="1"/>
  <c r="E12" i="3" l="1"/>
  <c r="E20" i="10"/>
  <c r="D31" i="10"/>
  <c r="C31" i="10"/>
  <c r="B31" i="10"/>
  <c r="E30" i="10"/>
  <c r="E29" i="10"/>
  <c r="E28" i="10"/>
  <c r="D23" i="10"/>
  <c r="C23" i="10"/>
  <c r="B23" i="10"/>
  <c r="E22" i="10"/>
  <c r="E21" i="10"/>
  <c r="E13" i="10"/>
  <c r="E14" i="10"/>
  <c r="E12" i="10"/>
  <c r="D15" i="10"/>
  <c r="B15" i="10"/>
  <c r="C15" i="10"/>
  <c r="E23" i="10" l="1"/>
  <c r="E31" i="10"/>
  <c r="E15" i="10"/>
  <c r="E74" i="3" l="1"/>
  <c r="H35" i="3" l="1"/>
  <c r="F51" i="1" l="1"/>
  <c r="B51" i="1"/>
  <c r="F17" i="1"/>
  <c r="E17" i="1"/>
  <c r="A2" i="4"/>
  <c r="C3" i="1"/>
  <c r="N13" i="4"/>
  <c r="N12" i="4" s="1"/>
  <c r="N71" i="4"/>
  <c r="N29" i="4"/>
  <c r="N28" i="4"/>
  <c r="N25" i="4"/>
  <c r="N103" i="4"/>
  <c r="G219" i="3"/>
  <c r="B85" i="1" s="1"/>
  <c r="N106" i="4"/>
  <c r="N98" i="4"/>
  <c r="N101" i="4"/>
  <c r="N100" i="4"/>
  <c r="N97" i="4"/>
  <c r="N89" i="4"/>
  <c r="N80" i="4"/>
  <c r="N78" i="4" s="1"/>
  <c r="N58" i="4"/>
  <c r="N15" i="4"/>
  <c r="N156" i="4"/>
  <c r="N152" i="4"/>
  <c r="N131" i="4"/>
  <c r="N128" i="4"/>
  <c r="N127" i="4"/>
  <c r="N75" i="4"/>
  <c r="N72" i="4"/>
  <c r="N32" i="4"/>
  <c r="C59" i="1"/>
  <c r="C2" i="9"/>
  <c r="F5" i="5"/>
  <c r="C2" i="5"/>
  <c r="G257" i="3"/>
  <c r="G259" i="3" s="1"/>
  <c r="G246" i="3"/>
  <c r="B88" i="1" s="1"/>
  <c r="G233" i="3"/>
  <c r="H37" i="3" s="1"/>
  <c r="G210" i="3"/>
  <c r="B84" i="1" s="1"/>
  <c r="G185" i="3"/>
  <c r="N11" i="4" s="1"/>
  <c r="G178" i="3"/>
  <c r="E25" i="1"/>
  <c r="F25" i="1"/>
  <c r="G25" i="1"/>
  <c r="E26" i="1"/>
  <c r="F26" i="1"/>
  <c r="G26" i="1"/>
  <c r="E28" i="1"/>
  <c r="F28" i="1"/>
  <c r="G28" i="1"/>
  <c r="G21" i="1"/>
  <c r="G22" i="1"/>
  <c r="F21" i="1"/>
  <c r="F22" i="1"/>
  <c r="E21" i="1"/>
  <c r="E22" i="1"/>
  <c r="F5" i="6"/>
  <c r="C2" i="6"/>
  <c r="C55" i="3"/>
  <c r="G101" i="3"/>
  <c r="F116" i="1"/>
  <c r="E116" i="1"/>
  <c r="E115" i="1"/>
  <c r="F115" i="1"/>
  <c r="F114" i="1"/>
  <c r="E114" i="1"/>
  <c r="F16" i="1"/>
  <c r="E16" i="1"/>
  <c r="D16" i="1" s="1"/>
  <c r="F15" i="1"/>
  <c r="E15" i="1"/>
  <c r="G273" i="3"/>
  <c r="F82" i="1" s="1"/>
  <c r="G326" i="3"/>
  <c r="H326" i="3"/>
  <c r="F324" i="3"/>
  <c r="G285" i="3"/>
  <c r="H30" i="3" s="1"/>
  <c r="F108" i="1"/>
  <c r="F106" i="1"/>
  <c r="F122" i="1"/>
  <c r="D122" i="1"/>
  <c r="A122" i="1"/>
  <c r="F109" i="1"/>
  <c r="F107" i="1"/>
  <c r="D109" i="1"/>
  <c r="D108" i="1"/>
  <c r="D107" i="1"/>
  <c r="D106" i="1"/>
  <c r="B109" i="1"/>
  <c r="B108" i="1"/>
  <c r="B107" i="1"/>
  <c r="B106" i="1"/>
  <c r="B90" i="1"/>
  <c r="B87" i="1"/>
  <c r="G305" i="3"/>
  <c r="F86" i="1" s="1"/>
  <c r="G298" i="3"/>
  <c r="G292" i="3"/>
  <c r="F84" i="1" s="1"/>
  <c r="E166" i="3"/>
  <c r="C73" i="1" s="1"/>
  <c r="G161" i="3"/>
  <c r="E72" i="1" s="1"/>
  <c r="E161" i="3"/>
  <c r="C72" i="1" s="1"/>
  <c r="G152" i="3"/>
  <c r="E71" i="1" s="1"/>
  <c r="E152" i="3"/>
  <c r="C71" i="1" s="1"/>
  <c r="G143" i="3"/>
  <c r="E70" i="1" s="1"/>
  <c r="E143" i="3"/>
  <c r="C70" i="1" s="1"/>
  <c r="G129" i="3"/>
  <c r="E69" i="1" s="1"/>
  <c r="E129" i="3"/>
  <c r="C69" i="1" s="1"/>
  <c r="E122" i="3"/>
  <c r="C68" i="1" s="1"/>
  <c r="G122" i="3"/>
  <c r="E68" i="1" s="1"/>
  <c r="G109" i="3"/>
  <c r="E67" i="1" s="1"/>
  <c r="E109" i="3"/>
  <c r="C67" i="1" s="1"/>
  <c r="E101" i="3"/>
  <c r="E88" i="3"/>
  <c r="G88" i="3"/>
  <c r="G45" i="3" l="1"/>
  <c r="G55" i="3" s="1"/>
  <c r="F85" i="1"/>
  <c r="H27" i="3"/>
  <c r="N23" i="4"/>
  <c r="N145" i="4"/>
  <c r="N150" i="4"/>
  <c r="N105" i="4"/>
  <c r="N96" i="4" s="1"/>
  <c r="N147" i="4"/>
  <c r="N27" i="4"/>
  <c r="N95" i="4"/>
  <c r="N10" i="4"/>
  <c r="N9" i="4" s="1"/>
  <c r="G235" i="3"/>
  <c r="D26" i="1"/>
  <c r="D25" i="1"/>
  <c r="D22" i="1"/>
  <c r="D21" i="1"/>
  <c r="G57" i="3"/>
  <c r="D115" i="1"/>
  <c r="F117" i="1"/>
  <c r="E117" i="1"/>
  <c r="D114" i="1"/>
  <c r="F83" i="1"/>
  <c r="B89" i="1"/>
  <c r="D116" i="1"/>
  <c r="B86" i="1"/>
  <c r="E81" i="3"/>
  <c r="C57" i="3" s="1"/>
  <c r="G81" i="3"/>
  <c r="G74" i="3"/>
  <c r="G63" i="3"/>
  <c r="F171" i="3"/>
  <c r="F305" i="3"/>
  <c r="H166" i="3"/>
  <c r="H161" i="3"/>
  <c r="H152" i="3"/>
  <c r="H143" i="3"/>
  <c r="H129" i="3"/>
  <c r="H122" i="3"/>
  <c r="E62" i="1"/>
  <c r="C62" i="1"/>
  <c r="E61" i="1"/>
  <c r="C61" i="1"/>
  <c r="G59" i="3" l="1"/>
  <c r="I178" i="3"/>
  <c r="C59" i="3"/>
  <c r="D117" i="1"/>
  <c r="B82" i="1"/>
  <c r="E168" i="3"/>
  <c r="F325" i="3"/>
  <c r="F323" i="3"/>
  <c r="F326" i="3" s="1"/>
  <c r="E60" i="1"/>
  <c r="C60" i="1"/>
  <c r="E59" i="1"/>
  <c r="B83" i="1"/>
  <c r="F233" i="3"/>
  <c r="F246" i="3"/>
  <c r="F257" i="3"/>
  <c r="F259" i="3" s="1"/>
  <c r="F43" i="1"/>
  <c r="F44" i="1"/>
  <c r="F45" i="1"/>
  <c r="F46" i="1"/>
  <c r="F47" i="1"/>
  <c r="F48" i="1"/>
  <c r="F49" i="1"/>
  <c r="F50" i="1"/>
  <c r="F41" i="1"/>
  <c r="B43" i="1"/>
  <c r="B44" i="1"/>
  <c r="B45" i="1"/>
  <c r="B46" i="1"/>
  <c r="B47" i="1"/>
  <c r="B48" i="1"/>
  <c r="B49" i="1"/>
  <c r="B50" i="1"/>
  <c r="B41" i="1"/>
  <c r="D42" i="3"/>
  <c r="H59" i="3"/>
  <c r="F59" i="3"/>
  <c r="E7" i="1"/>
  <c r="F5" i="9"/>
  <c r="E24" i="1"/>
  <c r="E27" i="1" s="1"/>
  <c r="F24" i="1"/>
  <c r="F27" i="1" s="1"/>
  <c r="G24" i="1"/>
  <c r="G27" i="1" s="1"/>
  <c r="E29" i="1"/>
  <c r="F29" i="1"/>
  <c r="G29" i="1"/>
  <c r="E30" i="1"/>
  <c r="F30" i="1"/>
  <c r="G30" i="1"/>
  <c r="E31" i="1"/>
  <c r="F31" i="1"/>
  <c r="G31" i="1"/>
  <c r="E32" i="1"/>
  <c r="F32" i="1"/>
  <c r="G32" i="1"/>
  <c r="E33" i="1"/>
  <c r="F33" i="1"/>
  <c r="G33" i="1"/>
  <c r="F20" i="1"/>
  <c r="F23" i="1" s="1"/>
  <c r="G20" i="1"/>
  <c r="G23" i="1" s="1"/>
  <c r="E20" i="1"/>
  <c r="E23" i="1" s="1"/>
  <c r="E12" i="1"/>
  <c r="F12" i="1"/>
  <c r="G12" i="1"/>
  <c r="E13" i="1"/>
  <c r="F13" i="1"/>
  <c r="G13" i="1"/>
  <c r="F11" i="1"/>
  <c r="G11" i="1"/>
  <c r="E11" i="1"/>
  <c r="G20" i="3"/>
  <c r="F20" i="3"/>
  <c r="E20" i="3"/>
  <c r="D16" i="9"/>
  <c r="E16" i="9"/>
  <c r="F16" i="9"/>
  <c r="G16" i="9"/>
  <c r="H16" i="9"/>
  <c r="I16" i="9"/>
  <c r="C16" i="9"/>
  <c r="F14" i="1" l="1"/>
  <c r="E14" i="1"/>
  <c r="F56" i="1"/>
  <c r="E79" i="1"/>
  <c r="D24" i="1"/>
  <c r="D27" i="1" s="1"/>
  <c r="E59" i="3"/>
  <c r="D12" i="1"/>
  <c r="D13" i="1"/>
  <c r="G14" i="1"/>
  <c r="D11" i="1"/>
  <c r="D20" i="1"/>
  <c r="D23" i="1" s="1"/>
  <c r="D30" i="1"/>
  <c r="G186" i="3"/>
  <c r="G261" i="3" s="1"/>
  <c r="D7" i="9"/>
  <c r="F5" i="8"/>
  <c r="F7" i="8"/>
  <c r="C9" i="8" s="1"/>
  <c r="E43" i="3"/>
  <c r="F43" i="3"/>
  <c r="C2" i="8"/>
  <c r="C39" i="7"/>
  <c r="F60" i="7"/>
  <c r="E60" i="7"/>
  <c r="D60" i="7"/>
  <c r="D53" i="7"/>
  <c r="E53" i="7"/>
  <c r="F53" i="7"/>
  <c r="D54" i="7"/>
  <c r="E54" i="7"/>
  <c r="F54" i="7"/>
  <c r="D55" i="7"/>
  <c r="E55" i="7"/>
  <c r="F55" i="7"/>
  <c r="D56" i="7"/>
  <c r="E56" i="7"/>
  <c r="F56" i="7"/>
  <c r="D57" i="7"/>
  <c r="E57" i="7"/>
  <c r="F57" i="7"/>
  <c r="D58" i="7"/>
  <c r="E58" i="7"/>
  <c r="F58" i="7"/>
  <c r="F52" i="7"/>
  <c r="E52" i="7"/>
  <c r="D52" i="7"/>
  <c r="C73" i="7"/>
  <c r="P72" i="7"/>
  <c r="P74" i="7" s="1"/>
  <c r="O72" i="7"/>
  <c r="O74" i="7" s="1"/>
  <c r="N72" i="7"/>
  <c r="N74" i="7" s="1"/>
  <c r="M72" i="7"/>
  <c r="M74" i="7" s="1"/>
  <c r="L72" i="7"/>
  <c r="L74" i="7" s="1"/>
  <c r="K72" i="7"/>
  <c r="K74" i="7" s="1"/>
  <c r="J72" i="7"/>
  <c r="J74" i="7" s="1"/>
  <c r="I72" i="7"/>
  <c r="I74" i="7" s="1"/>
  <c r="H72" i="7"/>
  <c r="H74" i="7" s="1"/>
  <c r="G72" i="7"/>
  <c r="G74" i="7" s="1"/>
  <c r="F72" i="7"/>
  <c r="F74" i="7" s="1"/>
  <c r="E72" i="7"/>
  <c r="E74" i="7" s="1"/>
  <c r="D72" i="7"/>
  <c r="D74" i="7" s="1"/>
  <c r="C71" i="7"/>
  <c r="C70" i="7"/>
  <c r="C69" i="7"/>
  <c r="C68" i="7"/>
  <c r="C67" i="7"/>
  <c r="C66" i="7"/>
  <c r="P46" i="7"/>
  <c r="P48" i="7" s="1"/>
  <c r="P49" i="7" s="1"/>
  <c r="O46" i="7"/>
  <c r="O48" i="7" s="1"/>
  <c r="O49" i="7" s="1"/>
  <c r="N46" i="7"/>
  <c r="N48" i="7" s="1"/>
  <c r="N49" i="7" s="1"/>
  <c r="M46" i="7"/>
  <c r="M48" i="7" s="1"/>
  <c r="M49" i="7" s="1"/>
  <c r="L46" i="7"/>
  <c r="L48" i="7" s="1"/>
  <c r="L49" i="7" s="1"/>
  <c r="K46" i="7"/>
  <c r="K48" i="7" s="1"/>
  <c r="K49" i="7" s="1"/>
  <c r="J46" i="7"/>
  <c r="J48" i="7" s="1"/>
  <c r="J49" i="7" s="1"/>
  <c r="I46" i="7"/>
  <c r="I48" i="7" s="1"/>
  <c r="I49" i="7" s="1"/>
  <c r="H46" i="7"/>
  <c r="H48" i="7" s="1"/>
  <c r="H49" i="7" s="1"/>
  <c r="G46" i="7"/>
  <c r="G48" i="7" s="1"/>
  <c r="G49" i="7" s="1"/>
  <c r="F46" i="7"/>
  <c r="F48" i="7" s="1"/>
  <c r="F49" i="7" s="1"/>
  <c r="E46" i="7"/>
  <c r="E48" i="7" s="1"/>
  <c r="E49" i="7" s="1"/>
  <c r="D46" i="7"/>
  <c r="C47" i="7"/>
  <c r="C45" i="7"/>
  <c r="C44" i="7"/>
  <c r="C43" i="7"/>
  <c r="C42" i="7"/>
  <c r="C41" i="7"/>
  <c r="C40" i="7"/>
  <c r="P32" i="7"/>
  <c r="P34" i="7" s="1"/>
  <c r="P35" i="7" s="1"/>
  <c r="O32" i="7"/>
  <c r="O34" i="7" s="1"/>
  <c r="O35" i="7" s="1"/>
  <c r="N32" i="7"/>
  <c r="N34" i="7" s="1"/>
  <c r="N35" i="7" s="1"/>
  <c r="M32" i="7"/>
  <c r="M34" i="7" s="1"/>
  <c r="M35" i="7" s="1"/>
  <c r="L32" i="7"/>
  <c r="L34" i="7" s="1"/>
  <c r="L35" i="7" s="1"/>
  <c r="K32" i="7"/>
  <c r="K34" i="7" s="1"/>
  <c r="K35" i="7" s="1"/>
  <c r="J32" i="7"/>
  <c r="J34" i="7" s="1"/>
  <c r="J35" i="7" s="1"/>
  <c r="I32" i="7"/>
  <c r="I34" i="7" s="1"/>
  <c r="I35" i="7" s="1"/>
  <c r="H32" i="7"/>
  <c r="H34" i="7" s="1"/>
  <c r="H35" i="7" s="1"/>
  <c r="G32" i="7"/>
  <c r="G34" i="7" s="1"/>
  <c r="G35" i="7" s="1"/>
  <c r="E32" i="7"/>
  <c r="D32" i="7"/>
  <c r="F32" i="7"/>
  <c r="C25" i="7"/>
  <c r="C74" i="7" l="1"/>
  <c r="D14" i="1"/>
  <c r="C72" i="7"/>
  <c r="C52" i="7"/>
  <c r="C46" i="7"/>
  <c r="D59" i="7"/>
  <c r="D48" i="7"/>
  <c r="D49" i="7" s="1"/>
  <c r="I59" i="7"/>
  <c r="I61" i="7" s="1"/>
  <c r="I62" i="7" s="1"/>
  <c r="C49" i="7" l="1"/>
  <c r="C48" i="7"/>
  <c r="H52" i="7"/>
  <c r="J52" i="7" s="1"/>
  <c r="F36" i="8" l="1"/>
  <c r="F21" i="8"/>
  <c r="E37" i="6" l="1"/>
  <c r="F37" i="6"/>
  <c r="G37" i="6"/>
  <c r="H37" i="6"/>
  <c r="I37" i="6"/>
  <c r="J37" i="6"/>
  <c r="K37" i="6"/>
  <c r="L37" i="6"/>
  <c r="M37" i="6"/>
  <c r="N37" i="6"/>
  <c r="O37" i="6"/>
  <c r="P37" i="6"/>
  <c r="Q37" i="6"/>
  <c r="R37" i="6"/>
  <c r="S37" i="6"/>
  <c r="T37" i="6"/>
  <c r="U37" i="6"/>
  <c r="V37" i="6"/>
  <c r="W37" i="6"/>
  <c r="X37" i="6"/>
  <c r="X39" i="6" s="1"/>
  <c r="Y37" i="6"/>
  <c r="Z37" i="6"/>
  <c r="AA37" i="6"/>
  <c r="AB37" i="6"/>
  <c r="AB39" i="6" s="1"/>
  <c r="AC37" i="6"/>
  <c r="AD37" i="6"/>
  <c r="AE37" i="6"/>
  <c r="AF37" i="6"/>
  <c r="AF39" i="6" s="1"/>
  <c r="AG37" i="6"/>
  <c r="E38" i="6"/>
  <c r="E39" i="6" s="1"/>
  <c r="F38" i="6"/>
  <c r="G38" i="6"/>
  <c r="G39" i="6" s="1"/>
  <c r="H38" i="6"/>
  <c r="I38" i="6"/>
  <c r="J38" i="6"/>
  <c r="K38" i="6"/>
  <c r="L38" i="6"/>
  <c r="M38" i="6"/>
  <c r="N38" i="6"/>
  <c r="N39" i="6" s="1"/>
  <c r="O38" i="6"/>
  <c r="P38" i="6"/>
  <c r="Q38" i="6"/>
  <c r="R38" i="6"/>
  <c r="S38" i="6"/>
  <c r="T38" i="6"/>
  <c r="U38" i="6"/>
  <c r="U39" i="6" s="1"/>
  <c r="V38" i="6"/>
  <c r="W38" i="6"/>
  <c r="X38" i="6"/>
  <c r="Y38" i="6"/>
  <c r="Z38" i="6"/>
  <c r="AA38" i="6"/>
  <c r="AB38" i="6"/>
  <c r="AC38" i="6"/>
  <c r="AD38" i="6"/>
  <c r="AD39" i="6" s="1"/>
  <c r="AE38" i="6"/>
  <c r="AE39" i="6" s="1"/>
  <c r="AF38" i="6"/>
  <c r="AG38" i="6"/>
  <c r="H39" i="6"/>
  <c r="T39" i="6" l="1"/>
  <c r="P39" i="6"/>
  <c r="L39" i="6"/>
  <c r="O39" i="6"/>
  <c r="Z39" i="6"/>
  <c r="R39" i="6"/>
  <c r="J39" i="6"/>
  <c r="W39" i="6"/>
  <c r="AG39" i="6"/>
  <c r="Y39" i="6"/>
  <c r="Q39" i="6"/>
  <c r="I39" i="6"/>
  <c r="K39" i="6"/>
  <c r="AA39" i="6"/>
  <c r="S39" i="6"/>
  <c r="V39" i="6"/>
  <c r="F39" i="6"/>
  <c r="AC39" i="6"/>
  <c r="M39" i="6"/>
  <c r="D106" i="7"/>
  <c r="C106" i="7"/>
  <c r="AH31" i="6" l="1"/>
  <c r="AH30" i="6"/>
  <c r="AH29" i="6"/>
  <c r="AH28" i="6"/>
  <c r="AH27" i="6"/>
  <c r="AH26" i="6"/>
  <c r="AH25" i="6"/>
  <c r="AH24" i="6"/>
  <c r="AH23" i="6"/>
  <c r="AH22" i="6"/>
  <c r="D32" i="6"/>
  <c r="E32" i="6"/>
  <c r="F32" i="6"/>
  <c r="G32" i="6"/>
  <c r="H32" i="6"/>
  <c r="I32" i="6"/>
  <c r="J32" i="6"/>
  <c r="K32" i="6"/>
  <c r="L32" i="6"/>
  <c r="M32" i="6"/>
  <c r="N32" i="6"/>
  <c r="O32" i="6"/>
  <c r="P32" i="6"/>
  <c r="Q32" i="6"/>
  <c r="R32" i="6"/>
  <c r="S32" i="6"/>
  <c r="T32" i="6"/>
  <c r="U32" i="6"/>
  <c r="V32" i="6"/>
  <c r="W32" i="6"/>
  <c r="X32" i="6"/>
  <c r="Y32" i="6"/>
  <c r="Z32" i="6"/>
  <c r="AA32" i="6"/>
  <c r="AB32" i="6"/>
  <c r="AC32" i="6"/>
  <c r="AD32" i="6"/>
  <c r="AE32" i="6"/>
  <c r="AF32" i="6"/>
  <c r="AG32" i="6"/>
  <c r="C32" i="6"/>
  <c r="AH16" i="6"/>
  <c r="AH13" i="6"/>
  <c r="AH14" i="6"/>
  <c r="AH15" i="6"/>
  <c r="AH12" i="6"/>
  <c r="AG17" i="6"/>
  <c r="AG21" i="6"/>
  <c r="AH36" i="6"/>
  <c r="AH35" i="6"/>
  <c r="P18" i="7"/>
  <c r="P19" i="7" s="1"/>
  <c r="O18" i="7"/>
  <c r="O19" i="7" s="1"/>
  <c r="N18" i="7"/>
  <c r="N19" i="7" s="1"/>
  <c r="M18" i="7"/>
  <c r="M19" i="7" s="1"/>
  <c r="L18" i="7"/>
  <c r="L19" i="7" s="1"/>
  <c r="K18" i="7"/>
  <c r="K19" i="7" s="1"/>
  <c r="J18" i="7"/>
  <c r="J19" i="7" s="1"/>
  <c r="I18" i="7"/>
  <c r="I19" i="7" s="1"/>
  <c r="H18" i="7"/>
  <c r="H19" i="7" s="1"/>
  <c r="G18" i="7"/>
  <c r="G19" i="7" s="1"/>
  <c r="P12" i="7"/>
  <c r="P13" i="7" s="1"/>
  <c r="O12" i="7"/>
  <c r="O13" i="7" s="1"/>
  <c r="N12" i="7"/>
  <c r="N13" i="7" s="1"/>
  <c r="M12" i="7"/>
  <c r="M13" i="7" s="1"/>
  <c r="L12" i="7"/>
  <c r="L13" i="7" s="1"/>
  <c r="K12" i="7"/>
  <c r="K13" i="7" s="1"/>
  <c r="J12" i="7"/>
  <c r="J13" i="7" s="1"/>
  <c r="I12" i="7"/>
  <c r="I13" i="7" s="1"/>
  <c r="H12" i="7"/>
  <c r="H13" i="7" s="1"/>
  <c r="G12" i="7"/>
  <c r="G13" i="7" s="1"/>
  <c r="AG33" i="6" l="1"/>
  <c r="AG43" i="6"/>
  <c r="AH38" i="6"/>
  <c r="AH37" i="6"/>
  <c r="AH32" i="6"/>
  <c r="D29" i="1"/>
  <c r="D28" i="1"/>
  <c r="C17" i="7"/>
  <c r="C16" i="7"/>
  <c r="C15" i="7"/>
  <c r="AH39" i="6" l="1"/>
  <c r="AG40" i="6"/>
  <c r="AG41" i="6"/>
  <c r="AG42" i="6"/>
  <c r="C60" i="7"/>
  <c r="H60" i="7" s="1"/>
  <c r="J60" i="7" s="1"/>
  <c r="C58" i="7"/>
  <c r="H58" i="7" s="1"/>
  <c r="J58" i="7" s="1"/>
  <c r="C57" i="7"/>
  <c r="H57" i="7" s="1"/>
  <c r="J57" i="7" s="1"/>
  <c r="C56" i="7"/>
  <c r="H56" i="7" s="1"/>
  <c r="J56" i="7" s="1"/>
  <c r="C55" i="7"/>
  <c r="H55" i="7" s="1"/>
  <c r="J55" i="7" s="1"/>
  <c r="C54" i="7"/>
  <c r="H54" i="7" s="1"/>
  <c r="J54" i="7" s="1"/>
  <c r="F59" i="7"/>
  <c r="E59" i="7"/>
  <c r="C33" i="7"/>
  <c r="C31" i="7"/>
  <c r="C30" i="7"/>
  <c r="C29" i="7"/>
  <c r="C28" i="7"/>
  <c r="C27" i="7"/>
  <c r="E34" i="7"/>
  <c r="E35" i="7" s="1"/>
  <c r="F18" i="7"/>
  <c r="F19" i="7" s="1"/>
  <c r="E18" i="7"/>
  <c r="E19" i="7" s="1"/>
  <c r="D18" i="7"/>
  <c r="C18" i="7"/>
  <c r="F12" i="7"/>
  <c r="F13" i="7" s="1"/>
  <c r="E12" i="7"/>
  <c r="E13" i="7" s="1"/>
  <c r="D12" i="7"/>
  <c r="D13" i="7" s="1"/>
  <c r="C11" i="7"/>
  <c r="C10" i="7"/>
  <c r="D38" i="6"/>
  <c r="C38" i="6"/>
  <c r="D37" i="6"/>
  <c r="C37" i="6"/>
  <c r="AF21" i="6"/>
  <c r="AE21" i="6"/>
  <c r="AD21" i="6"/>
  <c r="AC21" i="6"/>
  <c r="AB21" i="6"/>
  <c r="AA21" i="6"/>
  <c r="Z21" i="6"/>
  <c r="Y21" i="6"/>
  <c r="X21" i="6"/>
  <c r="W21" i="6"/>
  <c r="V21" i="6"/>
  <c r="U21" i="6"/>
  <c r="T21" i="6"/>
  <c r="S21" i="6"/>
  <c r="R21" i="6"/>
  <c r="Q21" i="6"/>
  <c r="P21" i="6"/>
  <c r="O21" i="6"/>
  <c r="N21" i="6"/>
  <c r="M21" i="6"/>
  <c r="L21" i="6"/>
  <c r="K21" i="6"/>
  <c r="J21" i="6"/>
  <c r="I21" i="6"/>
  <c r="H21" i="6"/>
  <c r="G21" i="6"/>
  <c r="F21" i="6"/>
  <c r="E21" i="6"/>
  <c r="D21" i="6"/>
  <c r="D43" i="6" s="1"/>
  <c r="C21" i="6"/>
  <c r="C43" i="6" s="1"/>
  <c r="AH20" i="6"/>
  <c r="AH19" i="6"/>
  <c r="AF17" i="6"/>
  <c r="AE17" i="6"/>
  <c r="AD17" i="6"/>
  <c r="AC17" i="6"/>
  <c r="AB17" i="6"/>
  <c r="AA17" i="6"/>
  <c r="Z17" i="6"/>
  <c r="Y17" i="6"/>
  <c r="X17" i="6"/>
  <c r="W17" i="6"/>
  <c r="V17" i="6"/>
  <c r="U17" i="6"/>
  <c r="T17" i="6"/>
  <c r="S17" i="6"/>
  <c r="R17" i="6"/>
  <c r="Q17" i="6"/>
  <c r="P17" i="6"/>
  <c r="O17" i="6"/>
  <c r="N17" i="6"/>
  <c r="M17" i="6"/>
  <c r="L17" i="6"/>
  <c r="K17" i="6"/>
  <c r="J17" i="6"/>
  <c r="I17" i="6"/>
  <c r="H17" i="6"/>
  <c r="G17" i="6"/>
  <c r="F17" i="6"/>
  <c r="E17" i="6"/>
  <c r="D17" i="6"/>
  <c r="C17" i="6"/>
  <c r="AH17" i="6"/>
  <c r="C12" i="7" l="1"/>
  <c r="H33" i="6"/>
  <c r="H43" i="6"/>
  <c r="P33" i="6"/>
  <c r="P43" i="6"/>
  <c r="X33" i="6"/>
  <c r="X43" i="6"/>
  <c r="AF33" i="6"/>
  <c r="AF43" i="6"/>
  <c r="I33" i="6"/>
  <c r="I43" i="6"/>
  <c r="Q33" i="6"/>
  <c r="Q43" i="6"/>
  <c r="Y33" i="6"/>
  <c r="Y43" i="6"/>
  <c r="J33" i="6"/>
  <c r="J43" i="6"/>
  <c r="R33" i="6"/>
  <c r="R43" i="6"/>
  <c r="Z33" i="6"/>
  <c r="Z43" i="6"/>
  <c r="AA33" i="6"/>
  <c r="AA43" i="6"/>
  <c r="K33" i="6"/>
  <c r="K43" i="6"/>
  <c r="S33" i="6"/>
  <c r="S43" i="6"/>
  <c r="L33" i="6"/>
  <c r="L43" i="6"/>
  <c r="T33" i="6"/>
  <c r="T43" i="6"/>
  <c r="AB33" i="6"/>
  <c r="AB43" i="6"/>
  <c r="M33" i="6"/>
  <c r="M43" i="6"/>
  <c r="U33" i="6"/>
  <c r="U43" i="6"/>
  <c r="AC33" i="6"/>
  <c r="AC43" i="6"/>
  <c r="N33" i="6"/>
  <c r="N43" i="6"/>
  <c r="V33" i="6"/>
  <c r="V43" i="6"/>
  <c r="AD33" i="6"/>
  <c r="AD43" i="6"/>
  <c r="O33" i="6"/>
  <c r="O43" i="6"/>
  <c r="W33" i="6"/>
  <c r="W43" i="6"/>
  <c r="AE33" i="6"/>
  <c r="AE43" i="6"/>
  <c r="E33" i="6"/>
  <c r="E40" i="6" s="1"/>
  <c r="E43" i="6"/>
  <c r="F33" i="6"/>
  <c r="F40" i="6" s="1"/>
  <c r="F43" i="6"/>
  <c r="G33" i="6"/>
  <c r="G40" i="6" s="1"/>
  <c r="G43" i="6"/>
  <c r="D39" i="6"/>
  <c r="C33" i="6"/>
  <c r="C39" i="6"/>
  <c r="AH21" i="6"/>
  <c r="AH43" i="6" s="1"/>
  <c r="C13" i="7"/>
  <c r="D19" i="7"/>
  <c r="C19" i="7" s="1"/>
  <c r="C53" i="7"/>
  <c r="H53" i="7" s="1"/>
  <c r="F34" i="7"/>
  <c r="F35" i="7" s="1"/>
  <c r="E61" i="7"/>
  <c r="E62" i="7" s="1"/>
  <c r="F61" i="7"/>
  <c r="F62" i="7" s="1"/>
  <c r="C9" i="7"/>
  <c r="D61" i="7"/>
  <c r="D62" i="7" s="1"/>
  <c r="C59" i="7"/>
  <c r="D34" i="7"/>
  <c r="C32" i="7"/>
  <c r="C26" i="7"/>
  <c r="D33" i="6"/>
  <c r="C62" i="7" l="1"/>
  <c r="H59" i="7"/>
  <c r="J53" i="7"/>
  <c r="C34" i="7"/>
  <c r="D35" i="7"/>
  <c r="C35" i="7" s="1"/>
  <c r="W41" i="6"/>
  <c r="W40" i="6"/>
  <c r="W42" i="6"/>
  <c r="AB42" i="6"/>
  <c r="AB41" i="6"/>
  <c r="AB40" i="6"/>
  <c r="J42" i="6"/>
  <c r="J41" i="6"/>
  <c r="J40" i="6"/>
  <c r="T42" i="6"/>
  <c r="T41" i="6"/>
  <c r="T40" i="6"/>
  <c r="X41" i="6"/>
  <c r="X40" i="6"/>
  <c r="X42" i="6"/>
  <c r="N41" i="6"/>
  <c r="N42" i="6"/>
  <c r="N40" i="6"/>
  <c r="K42" i="6"/>
  <c r="K41" i="6"/>
  <c r="K40" i="6"/>
  <c r="AF40" i="6"/>
  <c r="AF42" i="6"/>
  <c r="AF41" i="6"/>
  <c r="O41" i="6"/>
  <c r="O42" i="6"/>
  <c r="O40" i="6"/>
  <c r="AC41" i="6"/>
  <c r="AC42" i="6"/>
  <c r="AC40" i="6"/>
  <c r="AA42" i="6"/>
  <c r="AA41" i="6"/>
  <c r="AA40" i="6"/>
  <c r="Y41" i="6"/>
  <c r="Y40" i="6"/>
  <c r="Y42" i="6"/>
  <c r="AD41" i="6"/>
  <c r="AD42" i="6"/>
  <c r="AD40" i="6"/>
  <c r="U41" i="6"/>
  <c r="U42" i="6"/>
  <c r="U40" i="6"/>
  <c r="L42" i="6"/>
  <c r="L41" i="6"/>
  <c r="L40" i="6"/>
  <c r="Z42" i="6"/>
  <c r="Z41" i="6"/>
  <c r="Z40" i="6"/>
  <c r="Q40" i="6"/>
  <c r="Q41" i="6"/>
  <c r="Q42" i="6"/>
  <c r="P40" i="6"/>
  <c r="P42" i="6"/>
  <c r="P41" i="6"/>
  <c r="AE41" i="6"/>
  <c r="AE42" i="6"/>
  <c r="AE40" i="6"/>
  <c r="V41" i="6"/>
  <c r="V42" i="6"/>
  <c r="V40" i="6"/>
  <c r="M41" i="6"/>
  <c r="M42" i="6"/>
  <c r="M40" i="6"/>
  <c r="S42" i="6"/>
  <c r="S41" i="6"/>
  <c r="S40" i="6"/>
  <c r="R42" i="6"/>
  <c r="R40" i="6"/>
  <c r="R41" i="6"/>
  <c r="I41" i="6"/>
  <c r="I40" i="6"/>
  <c r="I42" i="6"/>
  <c r="H41" i="6"/>
  <c r="H40" i="6"/>
  <c r="H42" i="6"/>
  <c r="G42" i="6"/>
  <c r="G41" i="6"/>
  <c r="F41" i="6"/>
  <c r="F42" i="6"/>
  <c r="E41" i="6"/>
  <c r="E42" i="6"/>
  <c r="C42" i="6"/>
  <c r="AH33" i="6"/>
  <c r="C41" i="6"/>
  <c r="C40" i="6"/>
  <c r="C61" i="7"/>
  <c r="D42" i="6"/>
  <c r="D41" i="6"/>
  <c r="D40" i="6"/>
  <c r="H61" i="7" l="1"/>
  <c r="J59" i="7"/>
  <c r="AH42" i="6"/>
  <c r="AH40" i="6"/>
  <c r="AH41" i="6"/>
  <c r="U31" i="5"/>
  <c r="T30" i="5"/>
  <c r="T32" i="5" s="1"/>
  <c r="S30" i="5"/>
  <c r="S32" i="5" s="1"/>
  <c r="R30" i="5"/>
  <c r="R32" i="5" s="1"/>
  <c r="Q30" i="5"/>
  <c r="Q32" i="5" s="1"/>
  <c r="P30" i="5"/>
  <c r="P32" i="5" s="1"/>
  <c r="O30" i="5"/>
  <c r="O32" i="5" s="1"/>
  <c r="N30" i="5"/>
  <c r="N32" i="5" s="1"/>
  <c r="M30" i="5"/>
  <c r="M32" i="5" s="1"/>
  <c r="L30" i="5"/>
  <c r="L32" i="5" s="1"/>
  <c r="K30" i="5"/>
  <c r="K32" i="5" s="1"/>
  <c r="J30" i="5"/>
  <c r="J32" i="5" s="1"/>
  <c r="I30" i="5"/>
  <c r="I32" i="5" s="1"/>
  <c r="H30" i="5"/>
  <c r="H32" i="5" s="1"/>
  <c r="G30" i="5"/>
  <c r="G32" i="5" s="1"/>
  <c r="F30" i="5"/>
  <c r="F32" i="5" s="1"/>
  <c r="E30" i="5"/>
  <c r="E32" i="5" s="1"/>
  <c r="D30" i="5"/>
  <c r="D32" i="5" s="1"/>
  <c r="C30" i="5"/>
  <c r="C32" i="5" s="1"/>
  <c r="U29" i="5"/>
  <c r="U28" i="5"/>
  <c r="U27" i="5"/>
  <c r="U26" i="5"/>
  <c r="U25" i="5"/>
  <c r="U30" i="5" s="1"/>
  <c r="U32" i="5" s="1"/>
  <c r="T22" i="5"/>
  <c r="S22" i="5"/>
  <c r="R22" i="5"/>
  <c r="Q22" i="5"/>
  <c r="P22" i="5"/>
  <c r="O22" i="5"/>
  <c r="N22" i="5"/>
  <c r="M22" i="5"/>
  <c r="L22" i="5"/>
  <c r="K22" i="5"/>
  <c r="J22" i="5"/>
  <c r="I22" i="5"/>
  <c r="H22" i="5"/>
  <c r="G22" i="5"/>
  <c r="F22" i="5"/>
  <c r="E22" i="5"/>
  <c r="D22" i="5"/>
  <c r="C22" i="5"/>
  <c r="U21" i="5"/>
  <c r="U20" i="5"/>
  <c r="U19" i="5"/>
  <c r="U18" i="5"/>
  <c r="U17" i="5"/>
  <c r="U16" i="5"/>
  <c r="U15" i="5"/>
  <c r="U14" i="5"/>
  <c r="U13" i="5"/>
  <c r="F34" i="5" l="1"/>
  <c r="N34" i="5"/>
  <c r="J34" i="5"/>
  <c r="J36" i="5" s="1"/>
  <c r="R34" i="5"/>
  <c r="R36" i="5" s="1"/>
  <c r="U22" i="5"/>
  <c r="U34" i="5" s="1"/>
  <c r="U36" i="5" s="1"/>
  <c r="C34" i="5"/>
  <c r="G34" i="5"/>
  <c r="G36" i="5" s="1"/>
  <c r="K34" i="5"/>
  <c r="K36" i="5" s="1"/>
  <c r="O34" i="5"/>
  <c r="O36" i="5" s="1"/>
  <c r="S34" i="5"/>
  <c r="D34" i="5"/>
  <c r="D36" i="5" s="1"/>
  <c r="L34" i="5"/>
  <c r="L36" i="5" s="1"/>
  <c r="T34" i="5"/>
  <c r="T36" i="5" s="1"/>
  <c r="I34" i="5"/>
  <c r="Q34" i="5"/>
  <c r="H34" i="5"/>
  <c r="H36" i="5" s="1"/>
  <c r="P34" i="5"/>
  <c r="P36" i="5" s="1"/>
  <c r="H62" i="7"/>
  <c r="F234" i="3" s="1"/>
  <c r="F235" i="3" s="1"/>
  <c r="D259" i="3" s="1"/>
  <c r="J61" i="7"/>
  <c r="E34" i="5"/>
  <c r="F36" i="5"/>
  <c r="N36" i="5"/>
  <c r="I36" i="5"/>
  <c r="Q36" i="5"/>
  <c r="M34" i="5"/>
  <c r="C35" i="5"/>
  <c r="D35" i="5" s="1"/>
  <c r="C36" i="5"/>
  <c r="S36" i="5"/>
  <c r="J62" i="7" l="1"/>
  <c r="M36" i="5"/>
  <c r="E36" i="5"/>
  <c r="E35" i="5"/>
  <c r="F35" i="5" s="1"/>
  <c r="G35" i="5" s="1"/>
  <c r="H35" i="5" s="1"/>
  <c r="I35" i="5" s="1"/>
  <c r="J35" i="5" s="1"/>
  <c r="K35" i="5" s="1"/>
  <c r="L35" i="5" s="1"/>
  <c r="M35" i="5" s="1"/>
  <c r="N35" i="5" s="1"/>
  <c r="O35" i="5" s="1"/>
  <c r="P35" i="5" s="1"/>
  <c r="Q35" i="5" s="1"/>
  <c r="R35" i="5" s="1"/>
  <c r="S35" i="5" s="1"/>
  <c r="T35" i="5" s="1"/>
  <c r="U35" i="5" s="1"/>
  <c r="G166" i="3" l="1"/>
  <c r="E73" i="1" l="1"/>
  <c r="G168" i="3"/>
  <c r="G308" i="3" s="1"/>
  <c r="G310" i="3" l="1"/>
  <c r="G311" i="3" s="1"/>
  <c r="N154" i="4"/>
  <c r="K311" i="3" l="1"/>
  <c r="D31" i="1"/>
  <c r="B99" i="1" l="1"/>
  <c r="C99" i="1" s="1"/>
  <c r="C64" i="1" l="1"/>
  <c r="B52" i="1" s="1"/>
  <c r="N7" i="4" l="1"/>
  <c r="F273" i="3" l="1"/>
  <c r="F285" i="3" l="1"/>
  <c r="B4" i="4" l="1"/>
  <c r="N53" i="4"/>
  <c r="N126" i="4"/>
  <c r="N122" i="4"/>
  <c r="N115" i="4"/>
  <c r="N111" i="4"/>
  <c r="N65" i="4"/>
  <c r="N64" i="4" s="1"/>
  <c r="N59" i="4"/>
  <c r="N49" i="4"/>
  <c r="N45" i="4"/>
  <c r="N39" i="4"/>
  <c r="N26" i="4" s="1"/>
  <c r="N19" i="4"/>
  <c r="N24" i="4" s="1"/>
  <c r="N16" i="4" s="1"/>
  <c r="N135" i="4"/>
  <c r="N133" i="4" s="1"/>
  <c r="G92" i="1"/>
  <c r="G54" i="1"/>
  <c r="C58" i="1"/>
  <c r="C66" i="1" s="1"/>
  <c r="N52" i="4" l="1"/>
  <c r="N110" i="4"/>
  <c r="N85" i="4"/>
  <c r="N121" i="4"/>
  <c r="N120" i="4" s="1"/>
  <c r="E64" i="1"/>
  <c r="C38" i="1"/>
  <c r="N93" i="4" l="1"/>
  <c r="N84" i="4" s="1"/>
  <c r="N107" i="4" s="1"/>
  <c r="I39" i="1"/>
  <c r="B54" i="1"/>
  <c r="E75" i="1"/>
  <c r="E77" i="1" s="1"/>
  <c r="F90" i="1" l="1"/>
  <c r="C75" i="1"/>
  <c r="F52" i="1" s="1"/>
  <c r="B100" i="1" l="1"/>
  <c r="C100" i="1" s="1"/>
  <c r="H90" i="1"/>
  <c r="F54" i="1"/>
  <c r="C54" i="1" s="1"/>
  <c r="N151" i="4"/>
  <c r="C77" i="1"/>
  <c r="D39" i="1" l="1"/>
  <c r="E39" i="1"/>
  <c r="B92" i="1" l="1"/>
  <c r="B96" i="1" l="1"/>
  <c r="C96" i="1" s="1"/>
  <c r="B97" i="1"/>
  <c r="C97" i="1" s="1"/>
  <c r="N148" i="4" l="1"/>
  <c r="F92" i="1" l="1"/>
  <c r="N149" i="4"/>
  <c r="N157" i="4" s="1"/>
  <c r="N159" i="4" s="1"/>
  <c r="N161" i="4" s="1"/>
  <c r="E94" i="1" l="1"/>
  <c r="C92" i="1"/>
  <c r="D94" i="1"/>
</calcChain>
</file>

<file path=xl/sharedStrings.xml><?xml version="1.0" encoding="utf-8"?>
<sst xmlns="http://schemas.openxmlformats.org/spreadsheetml/2006/main" count="1235" uniqueCount="871">
  <si>
    <t xml:space="preserve">Credit Union ID: </t>
  </si>
  <si>
    <t>FINANCIAL &amp; STATISTICAL REPORT FOR THE MONTH OF</t>
  </si>
  <si>
    <t>Total</t>
  </si>
  <si>
    <t>Females</t>
  </si>
  <si>
    <t>Males</t>
  </si>
  <si>
    <t>Groups</t>
  </si>
  <si>
    <r>
      <t xml:space="preserve">No. of Delinquent Borrowers </t>
    </r>
    <r>
      <rPr>
        <sz val="9"/>
        <color theme="1"/>
        <rFont val="Myriad Pro"/>
        <family val="2"/>
      </rPr>
      <t>(arrears of 30 days and more):</t>
    </r>
  </si>
  <si>
    <t>Standard:</t>
  </si>
  <si>
    <t>2.    RECEIPTS AND PAYMENTS</t>
  </si>
  <si>
    <t>RECEIPTS</t>
  </si>
  <si>
    <t>PAYMENTS</t>
  </si>
  <si>
    <t>Beg. of the month cash</t>
  </si>
  <si>
    <t>End of the month cash bal</t>
  </si>
  <si>
    <t>Members Shares Dep.</t>
  </si>
  <si>
    <t>Members Shares With.</t>
  </si>
  <si>
    <t>Members Savings dep.</t>
  </si>
  <si>
    <t>Members Savings With.</t>
  </si>
  <si>
    <t>Members Loan Repay.</t>
  </si>
  <si>
    <t xml:space="preserve">Loans to Members </t>
  </si>
  <si>
    <t>Bank Savings W/D</t>
  </si>
  <si>
    <t>Bank Savings Dep.</t>
  </si>
  <si>
    <t>Bank Current W/D</t>
  </si>
  <si>
    <t>Bank Current Dep.</t>
  </si>
  <si>
    <t>CUA/CFF/W/D</t>
  </si>
  <si>
    <t>CUA/CFF/ Dep.</t>
  </si>
  <si>
    <t>T-Bills Discounted</t>
  </si>
  <si>
    <t>T-Bills Invested</t>
  </si>
  <si>
    <t>Other Receipts (total)</t>
  </si>
  <si>
    <t>Other Payments (total)</t>
  </si>
  <si>
    <t>Income for the month</t>
  </si>
  <si>
    <t>Expenses for the month</t>
  </si>
  <si>
    <t>(see 3. income and expenses below)</t>
  </si>
  <si>
    <t>Test sum</t>
  </si>
  <si>
    <t>INCOME</t>
  </si>
  <si>
    <t>YEAR TO DATE</t>
  </si>
  <si>
    <t>41 Interest on Loans</t>
  </si>
  <si>
    <t>42 Interest on Liquid Investments</t>
  </si>
  <si>
    <t>45 Other Financial Income</t>
  </si>
  <si>
    <t>46 Non Financial Income</t>
  </si>
  <si>
    <t>Total Income</t>
  </si>
  <si>
    <t>EXPENSES</t>
  </si>
  <si>
    <t>51 Cost of Funds</t>
  </si>
  <si>
    <t>52 Personnel Cost</t>
  </si>
  <si>
    <t>53 Occupancy</t>
  </si>
  <si>
    <t>54 Organizational</t>
  </si>
  <si>
    <t>55 Security</t>
  </si>
  <si>
    <t>56 Administration</t>
  </si>
  <si>
    <t>57 Provision for Loan Losses and Write Off</t>
  </si>
  <si>
    <t xml:space="preserve">Total Expenses </t>
  </si>
  <si>
    <t xml:space="preserve">Surplus Difference </t>
  </si>
  <si>
    <t>ASSETS</t>
  </si>
  <si>
    <t>LIABILITIES + CAPITAL</t>
  </si>
  <si>
    <t>1100 Cash Balance</t>
  </si>
  <si>
    <t>21 Current Liabilities</t>
  </si>
  <si>
    <t>1101 Curr. Bank Balance</t>
  </si>
  <si>
    <t>22 Members Savings</t>
  </si>
  <si>
    <t>12 Liquid Investments</t>
  </si>
  <si>
    <t>23 External Loans</t>
  </si>
  <si>
    <t>13 Other Investments</t>
  </si>
  <si>
    <t xml:space="preserve">31 Members Shares </t>
  </si>
  <si>
    <t>14 Loans To Members</t>
  </si>
  <si>
    <t>(24 Prov. for Loan Loss)</t>
  </si>
  <si>
    <t>neg.!</t>
  </si>
  <si>
    <t>15 Other Current Assets</t>
  </si>
  <si>
    <t>16 Non Current Assets</t>
  </si>
  <si>
    <t>(25 Accum. Depreciation)</t>
  </si>
  <si>
    <t>39 Surplus Year To Date</t>
  </si>
  <si>
    <t>(see 3. income and expenses above)</t>
  </si>
  <si>
    <t>Total Assets</t>
  </si>
  <si>
    <t>Total Liabilities + Capital</t>
  </si>
  <si>
    <t>Information on ratios:</t>
  </si>
  <si>
    <t>Liquidity reserve</t>
  </si>
  <si>
    <t>(Total liquid funds / total assets *100)</t>
  </si>
  <si>
    <t>Return on assets</t>
  </si>
  <si>
    <t>(Surplus difference / total assets *100)</t>
  </si>
  <si>
    <t>Capital adequacy</t>
  </si>
  <si>
    <t>([Member shares + total capital res.] / total assets *100)</t>
  </si>
  <si>
    <t>5.    OTHER INFORMATION</t>
  </si>
  <si>
    <t>Dates of Committees Meetings (like 1st Sunday, 3rd Sunday, …)</t>
  </si>
  <si>
    <t>Management Com.:</t>
  </si>
  <si>
    <t>Supervisory Com.:</t>
  </si>
  <si>
    <t>Prepared by:</t>
  </si>
  <si>
    <t>Signature:...................................................</t>
  </si>
  <si>
    <t>Distribution:</t>
  </si>
  <si>
    <t>- one printout for the next meeting of the Board of Directors</t>
  </si>
  <si>
    <t>- one printout for the members on the notice board</t>
  </si>
  <si>
    <t>7.    DETAILED BORROWERS AND LOAN INFORMATION</t>
  </si>
  <si>
    <t>7a.    DETAILED OUTSTANDING LOAN INFORMATION</t>
  </si>
  <si>
    <t>Net Increase/(Decrease) of Borrowers during reporting month</t>
  </si>
  <si>
    <t>New total Debitors at the end of reporting month</t>
  </si>
  <si>
    <t>Net Increase/(Decrease) of outstanding loans during reporting month</t>
  </si>
  <si>
    <t>New outstanding loans at the end of reporting month</t>
  </si>
  <si>
    <t>Number of borrowers with delay in payment of … days</t>
  </si>
  <si>
    <t>1 - 30 days</t>
  </si>
  <si>
    <t>31 - 60 days (1 month - 2 months)</t>
  </si>
  <si>
    <t>61 - 90 days (2 month - 3 months)</t>
  </si>
  <si>
    <t>91 - 180 days (4 month - 6 months)</t>
  </si>
  <si>
    <t>181 - 270 days (7 month - 9 months)</t>
  </si>
  <si>
    <t>271 - 365 days (10 month - 12 months)</t>
  </si>
  <si>
    <t>Number of delinquent borrowers during reporting month</t>
  </si>
  <si>
    <t>over 366 days (over 12 months)</t>
  </si>
  <si>
    <t>Number of delinquent borrowers during reporting month (including set aside)</t>
  </si>
  <si>
    <t>Amount of delinquent loans during reporting month</t>
  </si>
  <si>
    <t>Amount of delinquent loans during reporting month
 (including set aside)</t>
  </si>
  <si>
    <t>TOTAL</t>
  </si>
  <si>
    <t xml:space="preserve"> </t>
  </si>
  <si>
    <t>Cash on Hand</t>
  </si>
  <si>
    <t>Petty Cash</t>
  </si>
  <si>
    <t>CFF Time Deposit</t>
  </si>
  <si>
    <t>CFF Deposit</t>
  </si>
  <si>
    <t>CUA  Statutory Reserve Deposit</t>
  </si>
  <si>
    <t>CUA  Shares</t>
  </si>
  <si>
    <t>CUA Kasoa Training Centre Shares</t>
  </si>
  <si>
    <t>Gross Loan</t>
  </si>
  <si>
    <t>NET LOAN</t>
  </si>
  <si>
    <t>Office Equipment</t>
  </si>
  <si>
    <t>Office Furniture &amp; Fixtures</t>
  </si>
  <si>
    <t>Net</t>
  </si>
  <si>
    <t>Monthly Return on Assets, Liabilities and Own Funds</t>
  </si>
  <si>
    <t>AGGREGATED</t>
  </si>
  <si>
    <t>Date:</t>
  </si>
  <si>
    <t>Amount in GH¢</t>
  </si>
  <si>
    <t>Item Code</t>
  </si>
  <si>
    <t>Description</t>
  </si>
  <si>
    <t>AMOUNT        (Gh¢)</t>
  </si>
  <si>
    <t>10010</t>
  </si>
  <si>
    <t>1) Cash and Short term funds (Total)</t>
  </si>
  <si>
    <t>10020</t>
  </si>
  <si>
    <t>(a) Cash on Hand</t>
  </si>
  <si>
    <t>10030</t>
  </si>
  <si>
    <t>(b) Balances in current Accounts with banks</t>
  </si>
  <si>
    <t>10040</t>
  </si>
  <si>
    <t>(c) Deposits at banks</t>
  </si>
  <si>
    <t>10050</t>
  </si>
  <si>
    <t>i) Call funds and term deposits at banks</t>
  </si>
  <si>
    <t>10060</t>
  </si>
  <si>
    <t>ii) Certificates of Deposits</t>
  </si>
  <si>
    <t>10070</t>
  </si>
  <si>
    <t>(d) Call and short term deposits with discount houses</t>
  </si>
  <si>
    <t>10080</t>
  </si>
  <si>
    <t>2)  Loans and Credits (net) - Annex (MSL101)</t>
  </si>
  <si>
    <t>10090</t>
  </si>
  <si>
    <t>(a) Government</t>
  </si>
  <si>
    <t>10100</t>
  </si>
  <si>
    <t>(b) Public institutions</t>
  </si>
  <si>
    <t>10110</t>
  </si>
  <si>
    <t>(c) Public enterprises</t>
  </si>
  <si>
    <t>10120</t>
  </si>
  <si>
    <t>i) Cocoa Syndicated Loan</t>
  </si>
  <si>
    <t>10130</t>
  </si>
  <si>
    <t>ii) Others</t>
  </si>
  <si>
    <t>10140</t>
  </si>
  <si>
    <t>(d) Private enterprises</t>
  </si>
  <si>
    <t>10150</t>
  </si>
  <si>
    <t>(e) Individuals</t>
  </si>
  <si>
    <t>10160</t>
  </si>
  <si>
    <t>(f) Sub-total</t>
  </si>
  <si>
    <t>10170</t>
  </si>
  <si>
    <t>(g) Less:Total debt provision</t>
  </si>
  <si>
    <t>10180</t>
  </si>
  <si>
    <t>3)  Bills (Short-term investments) issued by:</t>
  </si>
  <si>
    <t>10190</t>
  </si>
  <si>
    <t>(a) Government-Treasury Bills</t>
  </si>
  <si>
    <t>10200</t>
  </si>
  <si>
    <t>i) 91 Day</t>
  </si>
  <si>
    <t>10210</t>
  </si>
  <si>
    <t>ii) 182 Day</t>
  </si>
  <si>
    <t>10220</t>
  </si>
  <si>
    <t>iii) 1 Year Bond/Stock</t>
  </si>
  <si>
    <t>10230</t>
  </si>
  <si>
    <t>iv) Others</t>
  </si>
  <si>
    <t>10240</t>
  </si>
  <si>
    <t>(b) Bank of Ghana bills</t>
  </si>
  <si>
    <t>10250</t>
  </si>
  <si>
    <t>i) 28 Day bill</t>
  </si>
  <si>
    <t>10260</t>
  </si>
  <si>
    <t>ii) 56 Day bill</t>
  </si>
  <si>
    <t>10270</t>
  </si>
  <si>
    <t>iii) 91 Day bill</t>
  </si>
  <si>
    <t>10280</t>
  </si>
  <si>
    <t>iv) 182 Day bill</t>
  </si>
  <si>
    <t>10290</t>
  </si>
  <si>
    <t>v) 1 Year Bond/Stock</t>
  </si>
  <si>
    <t>10300</t>
  </si>
  <si>
    <t>vi) Others</t>
  </si>
  <si>
    <t>10310</t>
  </si>
  <si>
    <t>(c) Depository Institutions</t>
  </si>
  <si>
    <t>10320</t>
  </si>
  <si>
    <t>i) Commercial Bank</t>
  </si>
  <si>
    <t>10330</t>
  </si>
  <si>
    <t>ii) Discount House</t>
  </si>
  <si>
    <t>10340</t>
  </si>
  <si>
    <t>iii) Other Depository</t>
  </si>
  <si>
    <t>10350</t>
  </si>
  <si>
    <t>(d) Other financial institutions</t>
  </si>
  <si>
    <t>10360</t>
  </si>
  <si>
    <t>(e) Public institutions</t>
  </si>
  <si>
    <t>10370</t>
  </si>
  <si>
    <t>(f) Public enterprises</t>
  </si>
  <si>
    <t>10380</t>
  </si>
  <si>
    <t>i) Cocoa bills</t>
  </si>
  <si>
    <t>10390</t>
  </si>
  <si>
    <t>ii) Grains bills</t>
  </si>
  <si>
    <t>10400</t>
  </si>
  <si>
    <t>iii) Others</t>
  </si>
  <si>
    <t>10410</t>
  </si>
  <si>
    <t>(g) Private Sector securities with less than 1 year to maturity</t>
  </si>
  <si>
    <t>10420</t>
  </si>
  <si>
    <t>i) Bonds</t>
  </si>
  <si>
    <t>10430</t>
  </si>
  <si>
    <t>ii) Stocks</t>
  </si>
  <si>
    <t>10440</t>
  </si>
  <si>
    <t>4) Securities others than shares (long-term investments) issued by:</t>
  </si>
  <si>
    <t>10450</t>
  </si>
  <si>
    <t>10460</t>
  </si>
  <si>
    <t>i) GGILB</t>
  </si>
  <si>
    <t>10470</t>
  </si>
  <si>
    <t>ii) 1 year Bonds</t>
  </si>
  <si>
    <t>10480</t>
  </si>
  <si>
    <t>iii) 2 year Bonds</t>
  </si>
  <si>
    <t>10490</t>
  </si>
  <si>
    <t>iv) 3 year Bonds</t>
  </si>
  <si>
    <t>10500</t>
  </si>
  <si>
    <t>v) Others</t>
  </si>
  <si>
    <t>10510</t>
  </si>
  <si>
    <t>(b) Bank of Ghana</t>
  </si>
  <si>
    <t>10520</t>
  </si>
  <si>
    <t>i) 1 year bond</t>
  </si>
  <si>
    <t>10530</t>
  </si>
  <si>
    <t>ii) 2 year bond</t>
  </si>
  <si>
    <t>10540</t>
  </si>
  <si>
    <t>iii) 3 year bond</t>
  </si>
  <si>
    <t>10550</t>
  </si>
  <si>
    <t>iv)Others</t>
  </si>
  <si>
    <t>10560</t>
  </si>
  <si>
    <t>(c) Depository institutions</t>
  </si>
  <si>
    <t>10570</t>
  </si>
  <si>
    <t>i) Commercial bank</t>
  </si>
  <si>
    <t>10580</t>
  </si>
  <si>
    <t>Bonds</t>
  </si>
  <si>
    <t>10590</t>
  </si>
  <si>
    <t>Others</t>
  </si>
  <si>
    <t>10600</t>
  </si>
  <si>
    <t>ii) Rural banks</t>
  </si>
  <si>
    <t>10610</t>
  </si>
  <si>
    <t>iii) Discount houses</t>
  </si>
  <si>
    <t>10620</t>
  </si>
  <si>
    <t>iv) Savings and loans companies</t>
  </si>
  <si>
    <t>10630</t>
  </si>
  <si>
    <t>v) Credit Unions</t>
  </si>
  <si>
    <t>10640</t>
  </si>
  <si>
    <t>10650</t>
  </si>
  <si>
    <t>10660</t>
  </si>
  <si>
    <t>10670</t>
  </si>
  <si>
    <t>10680</t>
  </si>
  <si>
    <t>10690</t>
  </si>
  <si>
    <t>10700</t>
  </si>
  <si>
    <t>10710</t>
  </si>
  <si>
    <t>10720</t>
  </si>
  <si>
    <t>10730</t>
  </si>
  <si>
    <t>(g) Private enterprises</t>
  </si>
  <si>
    <t>10740</t>
  </si>
  <si>
    <t>10750</t>
  </si>
  <si>
    <t>10760</t>
  </si>
  <si>
    <t>5) Shares and other Equity (Net) - Annex (MSL102)</t>
  </si>
  <si>
    <t>10770</t>
  </si>
  <si>
    <t>(a) Depository institutions</t>
  </si>
  <si>
    <t>10780</t>
  </si>
  <si>
    <t>i) Commercial banks</t>
  </si>
  <si>
    <t>10790</t>
  </si>
  <si>
    <t>10800</t>
  </si>
  <si>
    <t>iii) Savings and loans companies</t>
  </si>
  <si>
    <t>10810</t>
  </si>
  <si>
    <t>iv) Credit unions</t>
  </si>
  <si>
    <t>10820</t>
  </si>
  <si>
    <t>(b) Other financial institutions</t>
  </si>
  <si>
    <t>10830</t>
  </si>
  <si>
    <t>10840</t>
  </si>
  <si>
    <t>10850</t>
  </si>
  <si>
    <t>Sub-total</t>
  </si>
  <si>
    <t>10860</t>
  </si>
  <si>
    <t>Less:Impairment in value</t>
  </si>
  <si>
    <t>10870</t>
  </si>
  <si>
    <t>6)  Others Assets - Annex (MSL103)</t>
  </si>
  <si>
    <t>10880</t>
  </si>
  <si>
    <t>7)  Property, Plant &amp; Equipment (Net)</t>
  </si>
  <si>
    <t>10890</t>
  </si>
  <si>
    <t>(a) Land and premises</t>
  </si>
  <si>
    <t>10900</t>
  </si>
  <si>
    <t>i) Business premises</t>
  </si>
  <si>
    <t>10910</t>
  </si>
  <si>
    <t>ii)Land and Premises for staff and staff  amenities</t>
  </si>
  <si>
    <t>10920</t>
  </si>
  <si>
    <t>(b) Computers</t>
  </si>
  <si>
    <t>10930</t>
  </si>
  <si>
    <t>(c) Furnitures, fixtures and equipment</t>
  </si>
  <si>
    <t>10940</t>
  </si>
  <si>
    <t>10950</t>
  </si>
  <si>
    <t>(e) Other property acquired by legal rights</t>
  </si>
  <si>
    <t>10960</t>
  </si>
  <si>
    <t>(f) Work in - progress</t>
  </si>
  <si>
    <t>10970</t>
  </si>
  <si>
    <t>Sub-Total</t>
  </si>
  <si>
    <t>10980</t>
  </si>
  <si>
    <t>Less Depreciation</t>
  </si>
  <si>
    <t>10990</t>
  </si>
  <si>
    <t>8)  Total Assets</t>
  </si>
  <si>
    <t>LIABILITIES</t>
  </si>
  <si>
    <t>FOREIGN LIABILITIES</t>
  </si>
  <si>
    <t>20010</t>
  </si>
  <si>
    <t>9)  Foreign Borrowings</t>
  </si>
  <si>
    <t>20020</t>
  </si>
  <si>
    <t>(a) Short-term borrowings</t>
  </si>
  <si>
    <t>20030</t>
  </si>
  <si>
    <t>i) Non-resident financial institutions</t>
  </si>
  <si>
    <t>20040</t>
  </si>
  <si>
    <t>ii) Other non-resident</t>
  </si>
  <si>
    <t>20050</t>
  </si>
  <si>
    <t>iii) Accrued interest</t>
  </si>
  <si>
    <t>20060</t>
  </si>
  <si>
    <t>(b) Long-term borrowings</t>
  </si>
  <si>
    <t>20070</t>
  </si>
  <si>
    <t>20080</t>
  </si>
  <si>
    <t>ii) Other non-residents</t>
  </si>
  <si>
    <t>20090</t>
  </si>
  <si>
    <t>DOMESTIC LIABILITIES</t>
  </si>
  <si>
    <t>20100</t>
  </si>
  <si>
    <t>Domestic Borrowing</t>
  </si>
  <si>
    <t>20110</t>
  </si>
  <si>
    <t>10) Short-term borrowing</t>
  </si>
  <si>
    <t>20120</t>
  </si>
  <si>
    <t>(a) Bank  of Ghana</t>
  </si>
  <si>
    <t>20130</t>
  </si>
  <si>
    <t>i) Repos Payable</t>
  </si>
  <si>
    <t>20140</t>
  </si>
  <si>
    <t>ii) Swaps Payable</t>
  </si>
  <si>
    <t>20150</t>
  </si>
  <si>
    <t>20160</t>
  </si>
  <si>
    <t>(b) Depository institutions</t>
  </si>
  <si>
    <t>20170</t>
  </si>
  <si>
    <t>20180</t>
  </si>
  <si>
    <t>20190</t>
  </si>
  <si>
    <t>(c) Other financial institutions</t>
  </si>
  <si>
    <t>20200</t>
  </si>
  <si>
    <t>(d)Government</t>
  </si>
  <si>
    <t>20210</t>
  </si>
  <si>
    <t>(e)Others</t>
  </si>
  <si>
    <t>20220</t>
  </si>
  <si>
    <t>(f)Accrued interest</t>
  </si>
  <si>
    <t>20230</t>
  </si>
  <si>
    <t>11) Long-term borrowings</t>
  </si>
  <si>
    <t>20240</t>
  </si>
  <si>
    <t>(a)Bank of Ghana</t>
  </si>
  <si>
    <t>20250</t>
  </si>
  <si>
    <t>(b)Depository institutions</t>
  </si>
  <si>
    <t>20260</t>
  </si>
  <si>
    <t>i)Commercial banks</t>
  </si>
  <si>
    <t>20270</t>
  </si>
  <si>
    <t>ii)Discount house</t>
  </si>
  <si>
    <t>20280</t>
  </si>
  <si>
    <t>iii)Others</t>
  </si>
  <si>
    <t>20290</t>
  </si>
  <si>
    <t>20300</t>
  </si>
  <si>
    <t>20310</t>
  </si>
  <si>
    <t>20320</t>
  </si>
  <si>
    <t>20330</t>
  </si>
  <si>
    <t>12) Deposits from Public - Annex (MSL104)</t>
  </si>
  <si>
    <t>20340</t>
  </si>
  <si>
    <t>13) Deferred Income (in lease finance etc)</t>
  </si>
  <si>
    <t>20350</t>
  </si>
  <si>
    <t>14) Other Liablities -Annex (MSL105)</t>
  </si>
  <si>
    <t>20360</t>
  </si>
  <si>
    <t>15) Subordinated liabilities due after five years</t>
  </si>
  <si>
    <t>20370</t>
  </si>
  <si>
    <t>16) Loan Capital from Shareholders</t>
  </si>
  <si>
    <t>20380</t>
  </si>
  <si>
    <t>17) Total Liabilities(9+10+11+12+13+14+15+16)</t>
  </si>
  <si>
    <t>SHARE HOLDER'S FUNDS</t>
  </si>
  <si>
    <t>20400</t>
  </si>
  <si>
    <t>18) Paid -up capital</t>
  </si>
  <si>
    <t>20410</t>
  </si>
  <si>
    <t>19) Reserves</t>
  </si>
  <si>
    <t>20420</t>
  </si>
  <si>
    <t>(a)Statutory reserves fund</t>
  </si>
  <si>
    <t>20430</t>
  </si>
  <si>
    <t>(b)Revalutaion reserves (Capital surplus)</t>
  </si>
  <si>
    <t>20440</t>
  </si>
  <si>
    <t>(c)Income Surplus</t>
  </si>
  <si>
    <t>20450</t>
  </si>
  <si>
    <t>(d)Profit/Loss to date</t>
  </si>
  <si>
    <t>20460</t>
  </si>
  <si>
    <t>(e)Other reserves</t>
  </si>
  <si>
    <t>20470</t>
  </si>
  <si>
    <t>20) Shareholders' Funds</t>
  </si>
  <si>
    <t>20480</t>
  </si>
  <si>
    <t>21) Other amounts allowed as capital</t>
  </si>
  <si>
    <t>20490</t>
  </si>
  <si>
    <t>22) Total Shareholders' Funds and Liabilities</t>
  </si>
  <si>
    <t xml:space="preserve"> Check (assets minus liabilities)</t>
  </si>
  <si>
    <t>1101 Bank Current Balance</t>
  </si>
  <si>
    <t>12 LIQUID INVESTMENTS</t>
  </si>
  <si>
    <t>13   OTHER INVESTMENT</t>
  </si>
  <si>
    <t>14 LOAN TO MEMBERS</t>
  </si>
  <si>
    <t>15   OTHER CURRENT ASSET</t>
  </si>
  <si>
    <t>25 Accumulated Depreciation</t>
  </si>
  <si>
    <t>21  CURRENT LIABILITIES</t>
  </si>
  <si>
    <t xml:space="preserve"> LIQUID FUNDS</t>
  </si>
  <si>
    <t>24  Provision for Loan Losses</t>
  </si>
  <si>
    <t>16  NON CURRENT ASSETS</t>
  </si>
  <si>
    <t>22 MEMBER SAVINGS</t>
  </si>
  <si>
    <t>31  MEMBER SHARES</t>
  </si>
  <si>
    <t>32   RESERVES</t>
  </si>
  <si>
    <t>Cashier imprest</t>
  </si>
  <si>
    <t>(d) Guest House, Well etc</t>
  </si>
  <si>
    <t>Other Reserves</t>
  </si>
  <si>
    <t>Software</t>
  </si>
  <si>
    <t>Motor Bike</t>
  </si>
  <si>
    <t>4.   STATEMENT OF FINANCIAL POSITION  (BALANCE SHEET) AS AT</t>
  </si>
  <si>
    <t>3.COMPREHENSIVE INCOME STATEMENT ( INCOME AND EXPENSES)  AS AT</t>
  </si>
  <si>
    <t>Mrs./Mr.</t>
  </si>
  <si>
    <t>Other</t>
  </si>
  <si>
    <t>Security</t>
  </si>
  <si>
    <t>Date of Balance Sheet: 31 Mar 2020</t>
  </si>
  <si>
    <t>Liquidity Risk Gap Table</t>
  </si>
  <si>
    <r>
      <t>Up to 7</t>
    </r>
    <r>
      <rPr>
        <sz val="11"/>
        <color indexed="8"/>
        <rFont val="Lucida Sans"/>
        <family val="1"/>
        <charset val="204"/>
      </rPr>
      <t xml:space="preserve">
</t>
    </r>
    <r>
      <rPr>
        <b/>
        <sz val="11"/>
        <color indexed="56"/>
        <rFont val="Lucida Sans"/>
        <family val="1"/>
        <charset val="204"/>
      </rPr>
      <t>days</t>
    </r>
  </si>
  <si>
    <r>
      <t>7days-1</t>
    </r>
    <r>
      <rPr>
        <sz val="11"/>
        <color indexed="8"/>
        <rFont val="Lucida Sans"/>
        <family val="1"/>
        <charset val="204"/>
      </rPr>
      <t xml:space="preserve">
</t>
    </r>
    <r>
      <rPr>
        <b/>
        <sz val="11"/>
        <color indexed="56"/>
        <rFont val="Lucida Sans"/>
        <family val="1"/>
        <charset val="204"/>
      </rPr>
      <t>month</t>
    </r>
  </si>
  <si>
    <r>
      <t>2</t>
    </r>
    <r>
      <rPr>
        <sz val="11"/>
        <color indexed="8"/>
        <rFont val="Lucida Sans"/>
        <family val="1"/>
        <charset val="204"/>
      </rPr>
      <t xml:space="preserve">
</t>
    </r>
    <r>
      <rPr>
        <b/>
        <sz val="11"/>
        <color indexed="56"/>
        <rFont val="Lucida Sans"/>
        <family val="1"/>
        <charset val="204"/>
      </rPr>
      <t>months</t>
    </r>
  </si>
  <si>
    <r>
      <t>3</t>
    </r>
    <r>
      <rPr>
        <sz val="11"/>
        <color indexed="8"/>
        <rFont val="Lucida Sans"/>
        <family val="1"/>
        <charset val="204"/>
      </rPr>
      <t xml:space="preserve">
</t>
    </r>
    <r>
      <rPr>
        <b/>
        <sz val="11"/>
        <color indexed="56"/>
        <rFont val="Lucida Sans"/>
        <family val="1"/>
        <charset val="204"/>
      </rPr>
      <t>months</t>
    </r>
  </si>
  <si>
    <r>
      <t>4</t>
    </r>
    <r>
      <rPr>
        <sz val="11"/>
        <color indexed="8"/>
        <rFont val="Lucida Sans"/>
        <family val="1"/>
        <charset val="204"/>
      </rPr>
      <t xml:space="preserve">
</t>
    </r>
    <r>
      <rPr>
        <b/>
        <sz val="11"/>
        <color indexed="56"/>
        <rFont val="Lucida Sans"/>
        <family val="1"/>
        <charset val="204"/>
      </rPr>
      <t>months</t>
    </r>
  </si>
  <si>
    <r>
      <t>5</t>
    </r>
    <r>
      <rPr>
        <sz val="11"/>
        <color indexed="8"/>
        <rFont val="Lucida Sans"/>
        <family val="1"/>
        <charset val="204"/>
      </rPr>
      <t xml:space="preserve">
</t>
    </r>
    <r>
      <rPr>
        <b/>
        <sz val="11"/>
        <color indexed="56"/>
        <rFont val="Lucida Sans"/>
        <family val="1"/>
        <charset val="204"/>
      </rPr>
      <t>months</t>
    </r>
  </si>
  <si>
    <r>
      <t>6</t>
    </r>
    <r>
      <rPr>
        <sz val="11"/>
        <color indexed="8"/>
        <rFont val="Lucida Sans"/>
        <family val="1"/>
        <charset val="204"/>
      </rPr>
      <t xml:space="preserve">
</t>
    </r>
    <r>
      <rPr>
        <b/>
        <sz val="11"/>
        <color indexed="56"/>
        <rFont val="Lucida Sans"/>
        <family val="1"/>
        <charset val="204"/>
      </rPr>
      <t>months</t>
    </r>
  </si>
  <si>
    <r>
      <t>7</t>
    </r>
    <r>
      <rPr>
        <sz val="11"/>
        <color indexed="8"/>
        <rFont val="Lucida Sans"/>
        <family val="1"/>
        <charset val="204"/>
      </rPr>
      <t xml:space="preserve">
</t>
    </r>
    <r>
      <rPr>
        <b/>
        <sz val="11"/>
        <color indexed="56"/>
        <rFont val="Lucida Sans"/>
        <family val="1"/>
        <charset val="204"/>
      </rPr>
      <t>months</t>
    </r>
  </si>
  <si>
    <r>
      <t>8</t>
    </r>
    <r>
      <rPr>
        <sz val="11"/>
        <color indexed="8"/>
        <rFont val="Lucida Sans"/>
        <family val="1"/>
        <charset val="204"/>
      </rPr>
      <t xml:space="preserve">
</t>
    </r>
    <r>
      <rPr>
        <b/>
        <sz val="11"/>
        <color indexed="56"/>
        <rFont val="Lucida Sans"/>
        <family val="1"/>
        <charset val="204"/>
      </rPr>
      <t>months</t>
    </r>
  </si>
  <si>
    <r>
      <t>9</t>
    </r>
    <r>
      <rPr>
        <sz val="11"/>
        <color indexed="8"/>
        <rFont val="Lucida Sans"/>
        <family val="1"/>
        <charset val="204"/>
      </rPr>
      <t xml:space="preserve">
</t>
    </r>
    <r>
      <rPr>
        <b/>
        <sz val="11"/>
        <color indexed="56"/>
        <rFont val="Lucida Sans"/>
        <family val="1"/>
        <charset val="204"/>
      </rPr>
      <t>months</t>
    </r>
  </si>
  <si>
    <r>
      <t>10</t>
    </r>
    <r>
      <rPr>
        <sz val="11"/>
        <color indexed="8"/>
        <rFont val="Lucida Sans"/>
        <family val="1"/>
        <charset val="204"/>
      </rPr>
      <t xml:space="preserve">
</t>
    </r>
    <r>
      <rPr>
        <b/>
        <sz val="11"/>
        <color indexed="56"/>
        <rFont val="Lucida Sans"/>
        <family val="1"/>
        <charset val="204"/>
      </rPr>
      <t>months</t>
    </r>
  </si>
  <si>
    <r>
      <t>11</t>
    </r>
    <r>
      <rPr>
        <sz val="11"/>
        <color indexed="8"/>
        <rFont val="Lucida Sans"/>
        <family val="1"/>
        <charset val="204"/>
      </rPr>
      <t xml:space="preserve">
</t>
    </r>
    <r>
      <rPr>
        <b/>
        <sz val="11"/>
        <color indexed="56"/>
        <rFont val="Lucida Sans"/>
        <family val="1"/>
        <charset val="204"/>
      </rPr>
      <t>months</t>
    </r>
  </si>
  <si>
    <r>
      <t>12</t>
    </r>
    <r>
      <rPr>
        <sz val="11"/>
        <color indexed="8"/>
        <rFont val="Lucida Sans"/>
        <family val="1"/>
        <charset val="204"/>
      </rPr>
      <t xml:space="preserve">
</t>
    </r>
    <r>
      <rPr>
        <b/>
        <sz val="11"/>
        <color indexed="56"/>
        <rFont val="Lucida Sans"/>
        <family val="1"/>
        <charset val="204"/>
      </rPr>
      <t>months</t>
    </r>
  </si>
  <si>
    <r>
      <t>13–18</t>
    </r>
    <r>
      <rPr>
        <sz val="11"/>
        <color indexed="8"/>
        <rFont val="Lucida Sans"/>
        <family val="1"/>
        <charset val="204"/>
      </rPr>
      <t xml:space="preserve">
</t>
    </r>
    <r>
      <rPr>
        <b/>
        <sz val="11"/>
        <color indexed="56"/>
        <rFont val="Lucida Sans"/>
        <family val="1"/>
        <charset val="204"/>
      </rPr>
      <t>months</t>
    </r>
  </si>
  <si>
    <r>
      <t>19–24</t>
    </r>
    <r>
      <rPr>
        <sz val="11"/>
        <color indexed="8"/>
        <rFont val="Lucida Sans"/>
        <family val="1"/>
        <charset val="204"/>
      </rPr>
      <t xml:space="preserve">
</t>
    </r>
    <r>
      <rPr>
        <b/>
        <sz val="11"/>
        <color indexed="56"/>
        <rFont val="Lucida Sans"/>
        <family val="1"/>
        <charset val="204"/>
      </rPr>
      <t>months</t>
    </r>
  </si>
  <si>
    <r>
      <t>2–5</t>
    </r>
    <r>
      <rPr>
        <sz val="11"/>
        <color indexed="8"/>
        <rFont val="Lucida Sans"/>
        <family val="1"/>
        <charset val="204"/>
      </rPr>
      <t xml:space="preserve">
</t>
    </r>
    <r>
      <rPr>
        <b/>
        <sz val="11"/>
        <color indexed="56"/>
        <rFont val="Lucida Sans"/>
        <family val="1"/>
        <charset val="204"/>
      </rPr>
      <t>years</t>
    </r>
  </si>
  <si>
    <r>
      <t>&gt;5</t>
    </r>
    <r>
      <rPr>
        <sz val="11"/>
        <color indexed="8"/>
        <rFont val="Lucida Sans"/>
        <family val="1"/>
        <charset val="204"/>
      </rPr>
      <t xml:space="preserve">
</t>
    </r>
    <r>
      <rPr>
        <b/>
        <sz val="11"/>
        <color indexed="56"/>
        <rFont val="Lucida Sans"/>
        <family val="1"/>
        <charset val="204"/>
      </rPr>
      <t>years</t>
    </r>
  </si>
  <si>
    <t>No Maturity</t>
  </si>
  <si>
    <t>Assets</t>
  </si>
  <si>
    <t>Cash on hand</t>
  </si>
  <si>
    <t>Balances in current accounts with bank/Fin Inst</t>
  </si>
  <si>
    <t>Balances in savings account with banks/Fin inst</t>
  </si>
  <si>
    <t>Money on call with banks/fin inst</t>
  </si>
  <si>
    <t>Placement with banks/fin inst/Time Deposits</t>
  </si>
  <si>
    <t xml:space="preserve">GoG /BOG  Securities </t>
  </si>
  <si>
    <t xml:space="preserve">Loans and Advances (principal, net) 1 </t>
  </si>
  <si>
    <t>Other Assets 2</t>
  </si>
  <si>
    <t>Property, Plant and Equipment (net)</t>
  </si>
  <si>
    <t>Liabilities</t>
  </si>
  <si>
    <t>Savings deposits</t>
  </si>
  <si>
    <t>Time deposits</t>
  </si>
  <si>
    <t>Borrowings (principal)</t>
  </si>
  <si>
    <t>Interest payable</t>
  </si>
  <si>
    <t>Other liabilities 3</t>
  </si>
  <si>
    <t>Total Liabilities</t>
  </si>
  <si>
    <t>Total Equity</t>
  </si>
  <si>
    <t>Total Liabilities &amp; Equity</t>
  </si>
  <si>
    <r>
      <t>Asset –</t>
    </r>
    <r>
      <rPr>
        <b/>
        <sz val="11"/>
        <color indexed="8"/>
        <rFont val="Lucida Sans"/>
        <family val="1"/>
        <charset val="204"/>
      </rPr>
      <t xml:space="preserve">
</t>
    </r>
    <r>
      <rPr>
        <b/>
        <sz val="11"/>
        <color indexed="56"/>
        <rFont val="Lucida Sans"/>
        <family val="1"/>
        <charset val="204"/>
      </rPr>
      <t>(Total Liability + Equity) Gap 4</t>
    </r>
  </si>
  <si>
    <t>Cumulative Gap</t>
  </si>
  <si>
    <t>Gap %</t>
  </si>
  <si>
    <r>
      <t>Notes</t>
    </r>
    <r>
      <rPr>
        <sz val="11"/>
        <color indexed="56"/>
        <rFont val="Lucida Sans"/>
        <family val="1"/>
        <charset val="204"/>
      </rPr>
      <t>:</t>
    </r>
  </si>
  <si>
    <t>2. Other assets include specific items as may be relevant (e.g. accounts receivable) .</t>
  </si>
  <si>
    <t>2. Other liabilities include specific items as may be relevant (e.g. accounts payable such as utilities) .</t>
  </si>
  <si>
    <t xml:space="preserve">4. Total interest payable up to maturity on contracted liabilites may be included in the relevant time bands in which case the total gap may not be zero since the balance sheet does not normally include amounts that are not yet due. In such situation total assets may not equal total liabilities as expected. </t>
  </si>
  <si>
    <t>Day</t>
  </si>
  <si>
    <t>Ave</t>
  </si>
  <si>
    <t>Regular Savings</t>
  </si>
  <si>
    <t xml:space="preserve">  Total</t>
  </si>
  <si>
    <t>Cash</t>
  </si>
  <si>
    <t>Total Prim res</t>
  </si>
  <si>
    <t>Loan Type</t>
  </si>
  <si>
    <t>Landed Prop</t>
  </si>
  <si>
    <t>Business</t>
  </si>
  <si>
    <t>Housing</t>
  </si>
  <si>
    <t>School Fees</t>
  </si>
  <si>
    <t>Member Guar/Lien on Sav</t>
  </si>
  <si>
    <t>Fin Invest</t>
  </si>
  <si>
    <t>Additional number of new loans given during reporting month</t>
  </si>
  <si>
    <t>Reduction in number of loans by completing their payments during reporting month</t>
  </si>
  <si>
    <t>Additional amount of new loans given during reporting month</t>
  </si>
  <si>
    <t>Amount of loan payments during reporting month</t>
  </si>
  <si>
    <t>Number of loans disbursed</t>
  </si>
  <si>
    <t>Number of Loans Outstanding</t>
  </si>
  <si>
    <t>Gender</t>
  </si>
  <si>
    <t>Auto</t>
  </si>
  <si>
    <r>
      <rPr>
        <b/>
        <sz val="10"/>
        <rFont val="Myriad Pro"/>
      </rPr>
      <t>Amount of outstanding loans</t>
    </r>
    <r>
      <rPr>
        <sz val="10"/>
        <rFont val="Myriad Pro"/>
        <family val="2"/>
      </rPr>
      <t xml:space="preserve"> from previous month</t>
    </r>
  </si>
  <si>
    <t>DEPOSIT LIABILITIES</t>
  </si>
  <si>
    <t>LIQUID ASSETS</t>
  </si>
  <si>
    <t>GHS</t>
  </si>
  <si>
    <t>Call Deposits</t>
  </si>
  <si>
    <t>Bank Current A/c</t>
  </si>
  <si>
    <t>Bank Savings A/c</t>
  </si>
  <si>
    <t>CUA CFF Savings Deposit</t>
  </si>
  <si>
    <t>CUA CFF Time Deposit</t>
  </si>
  <si>
    <t>CUFix Investments</t>
  </si>
  <si>
    <t>Treasury Bills - GoG</t>
  </si>
  <si>
    <t>BoG Bills</t>
  </si>
  <si>
    <t>Bonds - GoG</t>
  </si>
  <si>
    <t>Bonds - BoG</t>
  </si>
  <si>
    <t>Other Liquid Investments</t>
  </si>
  <si>
    <t>Total Liquid Investments</t>
  </si>
  <si>
    <t>TOTAL LIQUID ASSETS</t>
  </si>
  <si>
    <t>Bank Time Deposits</t>
  </si>
  <si>
    <t>Time Deposits</t>
  </si>
  <si>
    <t>Loans Outstanding</t>
  </si>
  <si>
    <t>Req Total Liq Assets (20%)</t>
  </si>
  <si>
    <t>Total Liquid Assets/Deposits</t>
  </si>
  <si>
    <t>Total Liquid Assets/Total Assets</t>
  </si>
  <si>
    <t>Cash&amp;Bank/Total Assets</t>
  </si>
  <si>
    <t>Excess/(Deficit)</t>
  </si>
  <si>
    <t>7c.    LOAN CONCENTRATION</t>
  </si>
  <si>
    <t>By Sector (Number and Amount, Performing/Non-Performing)</t>
  </si>
  <si>
    <t>Commerce/Trading/Finance</t>
  </si>
  <si>
    <t>Consumer Finance</t>
  </si>
  <si>
    <t>Education/Human Capital development</t>
  </si>
  <si>
    <t>Construction/Housing</t>
  </si>
  <si>
    <t>Funeral</t>
  </si>
  <si>
    <t>Agriculture/Forestry/Fishing</t>
  </si>
  <si>
    <t>Manufacturing</t>
  </si>
  <si>
    <t>Transport/Storage/Communication</t>
  </si>
  <si>
    <t>Other Services</t>
  </si>
  <si>
    <t>Electricity/Gas/Water</t>
  </si>
  <si>
    <t>Mining &amp; Quarrying</t>
  </si>
  <si>
    <t>Miscellaneous</t>
  </si>
  <si>
    <t>Number</t>
  </si>
  <si>
    <t>PERFORMING</t>
  </si>
  <si>
    <t>NON-PERFORMING</t>
  </si>
  <si>
    <t>OUTSTANDING</t>
  </si>
  <si>
    <t>DISBURSED (YTD)</t>
  </si>
  <si>
    <t>Twenty Largest Loans as percentage of Total Loans</t>
  </si>
  <si>
    <t xml:space="preserve">Twenty Largest Loans </t>
  </si>
  <si>
    <t xml:space="preserve">Average loan size </t>
  </si>
  <si>
    <t>Total Loans as at reporting date</t>
  </si>
  <si>
    <r>
      <rPr>
        <b/>
        <sz val="10"/>
        <rFont val="Myriad Pro"/>
      </rPr>
      <t>Number of Borrowers</t>
    </r>
    <r>
      <rPr>
        <sz val="10"/>
        <rFont val="Myriad Pro"/>
        <family val="2"/>
      </rPr>
      <t xml:space="preserve"> from previous month</t>
    </r>
  </si>
  <si>
    <t>LIQUIDITY REPORT</t>
  </si>
  <si>
    <t>By Amount/Size:</t>
  </si>
  <si>
    <t>7d.    CUA LOAN PROTECTION PLAN (LPP) USAGE</t>
  </si>
  <si>
    <t>Loans covered by CUA Loan Protection Plan (LPP)</t>
  </si>
  <si>
    <t>CURRENT PERIOD</t>
  </si>
  <si>
    <t>CUMULATIVE</t>
  </si>
  <si>
    <t>CUA Loan Protection Plan (LPP) Premiums Paid</t>
  </si>
  <si>
    <t>Number of Savings Accounts covered</t>
  </si>
  <si>
    <t>Amount of Savings covered (GHS)</t>
  </si>
  <si>
    <t>CUA LIFE SAVINGS PLAN:</t>
  </si>
  <si>
    <t>Loans Committee</t>
  </si>
  <si>
    <t>Education Committee</t>
  </si>
  <si>
    <t>In Place (Yes/No)</t>
  </si>
  <si>
    <t>Regular Meeting Dates</t>
  </si>
  <si>
    <t>Number of employees covered under CCUPP</t>
  </si>
  <si>
    <t>B.</t>
  </si>
  <si>
    <t>A.</t>
  </si>
  <si>
    <t xml:space="preserve">1. Shows the client loan portfolio (principal) maturing in each time band  </t>
  </si>
  <si>
    <t>Market Conduct Reporting</t>
  </si>
  <si>
    <t xml:space="preserve">             Credit Union ID: </t>
  </si>
  <si>
    <t>% (pm/pa)</t>
  </si>
  <si>
    <t>Savings</t>
  </si>
  <si>
    <t>Loans</t>
  </si>
  <si>
    <t xml:space="preserve"> Interest Rates (by product)</t>
  </si>
  <si>
    <t>Complaints Handling Reporting</t>
  </si>
  <si>
    <t>Complaints Management System/Register in place during reporting period? (Y/N)</t>
  </si>
  <si>
    <t xml:space="preserve">Cumulative number of complaints outstanding at beginning of reporting period </t>
  </si>
  <si>
    <t>Number of new complaints received during reporting period</t>
  </si>
  <si>
    <t>Number of new complaints resolved during reporting period</t>
  </si>
  <si>
    <t>Cumulative number of complaints outstanding at end of reporting period*</t>
  </si>
  <si>
    <t>*</t>
  </si>
  <si>
    <t>Savings account balance</t>
  </si>
  <si>
    <t>Savings withdrawal delays</t>
  </si>
  <si>
    <t>Loan account balance</t>
  </si>
  <si>
    <t>Savings deposit not credited</t>
  </si>
  <si>
    <t>Analysis of Outstanding Complaints Details</t>
  </si>
  <si>
    <t>Loan approval and disbursement delays</t>
  </si>
  <si>
    <t>Loan interest rates</t>
  </si>
  <si>
    <t>Savings interest rates</t>
  </si>
  <si>
    <t>Fraud</t>
  </si>
  <si>
    <t>Dividend payment</t>
  </si>
  <si>
    <t>SSNIT contribution, part of CU</t>
  </si>
  <si>
    <t>Increase in Provision for Loan Losses</t>
  </si>
  <si>
    <t>C-CUPP, part of CU</t>
  </si>
  <si>
    <t>Donations</t>
  </si>
  <si>
    <t>Travel &amp; Transportation</t>
  </si>
  <si>
    <t>INTEREST ON LOANS</t>
  </si>
  <si>
    <t>INTEREST ON LIQUID INVESTMENTS</t>
  </si>
  <si>
    <t>OTHER FINANCIAL INCOME</t>
  </si>
  <si>
    <t>NON FINANCIAL INCOME</t>
  </si>
  <si>
    <t>Entrance Fee</t>
  </si>
  <si>
    <t>Sale Of Membership Form</t>
  </si>
  <si>
    <t>Sale Of Pass Book</t>
  </si>
  <si>
    <t>Sale Of Loan Form</t>
  </si>
  <si>
    <t>Withdrawal Charges</t>
  </si>
  <si>
    <t>COST OF FUNDS</t>
  </si>
  <si>
    <t>Interest on Member Savings</t>
  </si>
  <si>
    <t>Interest on External Loans</t>
  </si>
  <si>
    <t>OPERATING EXPENSES</t>
  </si>
  <si>
    <t>PERSONNEL COST</t>
  </si>
  <si>
    <t>Staff Salaries</t>
  </si>
  <si>
    <t>Staff Allowance/ Overtime</t>
  </si>
  <si>
    <t>Dressing Allowance</t>
  </si>
  <si>
    <t>Cashiers Allowance</t>
  </si>
  <si>
    <t>Medical Expenses</t>
  </si>
  <si>
    <t>Other Personnel Cost</t>
  </si>
  <si>
    <t>OCCUPANCY</t>
  </si>
  <si>
    <t>Rent &amp; Utilities</t>
  </si>
  <si>
    <t>Repairs and Maintenance</t>
  </si>
  <si>
    <t>ORGANIZATIONAL</t>
  </si>
  <si>
    <t>CUA Dues</t>
  </si>
  <si>
    <t>Department of Co-operative Dues</t>
  </si>
  <si>
    <t>Publicity</t>
  </si>
  <si>
    <t>Promotions</t>
  </si>
  <si>
    <t>Education &amp; Training</t>
  </si>
  <si>
    <t>Hotel Accom. &amp; Protocol</t>
  </si>
  <si>
    <t>Committee Allowances</t>
  </si>
  <si>
    <t>Honorarium</t>
  </si>
  <si>
    <t>Annual General Meeting</t>
  </si>
  <si>
    <t>Other Organizational Cost</t>
  </si>
  <si>
    <t>SECURITY</t>
  </si>
  <si>
    <t>Risk Management Premium</t>
  </si>
  <si>
    <t>Legal Expenses</t>
  </si>
  <si>
    <t>Audit Expenses</t>
  </si>
  <si>
    <t>Security Cost</t>
  </si>
  <si>
    <t>CUA Stabilization Fund</t>
  </si>
  <si>
    <t>ADMINISTRATION</t>
  </si>
  <si>
    <t>Bank Charges</t>
  </si>
  <si>
    <t>Printing &amp; Stationery</t>
  </si>
  <si>
    <t>Postage &amp; Communication</t>
  </si>
  <si>
    <t>Depreciation Expenses</t>
  </si>
  <si>
    <t>Other Expenses</t>
  </si>
  <si>
    <t>PROVISION FOR LOAN LOSSES AND W/O</t>
  </si>
  <si>
    <t>Current Loans</t>
  </si>
  <si>
    <t>Total Amount of Loans at end of reporting month (including set aside)</t>
  </si>
  <si>
    <t>Total Number of Loans at end of reporting month (including set aside)</t>
  </si>
  <si>
    <t>Loan Loss Prov Rates</t>
  </si>
  <si>
    <t>Loan Loss Prov Amount</t>
  </si>
  <si>
    <t>Previous Prov Amount</t>
  </si>
  <si>
    <t>increase in Loan Loss Prov</t>
  </si>
  <si>
    <t>Reviewed by:</t>
  </si>
  <si>
    <t>Amount of outstanding loans with delay in payment of … days  (Portfolio at risk amount)</t>
  </si>
  <si>
    <t>Defaulted/delinquent amount with delay in payment of … days (Portfolio in arrears amount)</t>
  </si>
  <si>
    <t>Provisioning for Loan Losses</t>
  </si>
  <si>
    <t>7b.    DETAILED LOAN DELINQUENCY INFORMATION/ AGEING SCHEDULE &amp; PROVISIONING</t>
  </si>
  <si>
    <t>Supervision Expenses</t>
  </si>
  <si>
    <t>CURRENT MONTH</t>
  </si>
  <si>
    <t>Delinquency Rate</t>
  </si>
  <si>
    <t>1.    MEMBERS DEPOSITS AND LOANS</t>
  </si>
  <si>
    <t>0.    MEMBERSHIP INFORMATION</t>
  </si>
  <si>
    <t>([Amount of Delinquent Loans] / Amount of Loans Outstanding*100)</t>
  </si>
  <si>
    <t>Equity Ratio</t>
  </si>
  <si>
    <t>Active Members:</t>
  </si>
  <si>
    <t>Inactive Members:</t>
  </si>
  <si>
    <t>Dormant Members:</t>
  </si>
  <si>
    <t>Amount of Loans Outstanding (Gh¢)</t>
  </si>
  <si>
    <t>Amount of Delinquent Loans (Gh¢)</t>
  </si>
  <si>
    <t>Total Membership:</t>
  </si>
  <si>
    <t>6.    EMPLOYEES INFORMATION</t>
  </si>
  <si>
    <t>Age Distribution:</t>
  </si>
  <si>
    <t>18 to 35 Years</t>
  </si>
  <si>
    <t>Date of Balance Sheet as at :</t>
  </si>
  <si>
    <t>Member  Distribution by Age as at  31st December  2021</t>
  </si>
  <si>
    <t xml:space="preserve">Number  of Members </t>
  </si>
  <si>
    <t>Total Savings</t>
  </si>
  <si>
    <t>Total Shares</t>
  </si>
  <si>
    <t xml:space="preserve">Loan Outstanding </t>
  </si>
  <si>
    <t>Totals</t>
  </si>
  <si>
    <t>Credit Union Name:</t>
  </si>
  <si>
    <t>Yes</t>
  </si>
  <si>
    <t>No</t>
  </si>
  <si>
    <t>ASSESTS</t>
  </si>
  <si>
    <t xml:space="preserve"> NOTES TO THE BALANCE SHEET AS AT </t>
  </si>
  <si>
    <t xml:space="preserve"> NOTES TO THE STATEMENT OF COMPREHENSIVE INCOME FOR </t>
  </si>
  <si>
    <t>Interest On Liquid Investments 1</t>
  </si>
  <si>
    <t>Interest On Liquid Investments 2</t>
  </si>
  <si>
    <t>Interest On Liquid Investments 3</t>
  </si>
  <si>
    <t>Interest On Liquid Investments 4</t>
  </si>
  <si>
    <t xml:space="preserve"> LIABILITIES</t>
  </si>
  <si>
    <t>23 External loans</t>
  </si>
  <si>
    <t>MEMBER SHARES</t>
  </si>
  <si>
    <t>1st Sunday</t>
  </si>
  <si>
    <t>Committees Meetings</t>
  </si>
  <si>
    <t>Less than 18 Years</t>
  </si>
  <si>
    <t>Other Investment 2</t>
  </si>
  <si>
    <t>Other Investment 3</t>
  </si>
  <si>
    <t>Fixed Deposit 1</t>
  </si>
  <si>
    <t>Fixed Deposit 2</t>
  </si>
  <si>
    <t>Fixed Deposit 3</t>
  </si>
  <si>
    <t>Fixed Deposit 4</t>
  </si>
  <si>
    <t>Fixed Deposit 5</t>
  </si>
  <si>
    <t>Fixed Deposit 6</t>
  </si>
  <si>
    <t>Bank savings 1</t>
  </si>
  <si>
    <t>Building</t>
  </si>
  <si>
    <t>Land</t>
  </si>
  <si>
    <t>Member Savings 1</t>
  </si>
  <si>
    <t>Member Savings 2</t>
  </si>
  <si>
    <t>Member Savings 3</t>
  </si>
  <si>
    <t>Member Savings 4</t>
  </si>
  <si>
    <t>Member Savings 5</t>
  </si>
  <si>
    <t>Member Savings 6</t>
  </si>
  <si>
    <t>Member Savings 7</t>
  </si>
  <si>
    <t>Member Savings 8</t>
  </si>
  <si>
    <t>Statutory Reserve</t>
  </si>
  <si>
    <t>Operating Reserve</t>
  </si>
  <si>
    <t>Number of Temporal Employees</t>
  </si>
  <si>
    <t>Number of Permanent Employees</t>
  </si>
  <si>
    <t>Approved by:</t>
  </si>
  <si>
    <t xml:space="preserve">Note: </t>
  </si>
  <si>
    <t>Name, Position and  Date</t>
  </si>
  <si>
    <t>Bank Current Account 2</t>
  </si>
  <si>
    <t>Bank Current Account 3</t>
  </si>
  <si>
    <t>Bank Current Account 4</t>
  </si>
  <si>
    <t>Bank Current Account 5</t>
  </si>
  <si>
    <t>Bank Current Account 6</t>
  </si>
  <si>
    <t>No. of Meetings in Period</t>
  </si>
  <si>
    <t>Account Payable 1</t>
  </si>
  <si>
    <t>Account Payable 2</t>
  </si>
  <si>
    <t>Account Payable 3</t>
  </si>
  <si>
    <t>Account Payable 4</t>
  </si>
  <si>
    <t>Account Payable 5</t>
  </si>
  <si>
    <t>Account Payable 6</t>
  </si>
  <si>
    <t>Account Payable 7</t>
  </si>
  <si>
    <t>Account Receivable 1</t>
  </si>
  <si>
    <t>Account Receivable 2</t>
  </si>
  <si>
    <t>Account Receivable 3</t>
  </si>
  <si>
    <t>Account Receivable 4</t>
  </si>
  <si>
    <t>Account Receivable 5</t>
  </si>
  <si>
    <t>Account Receivable 6</t>
  </si>
  <si>
    <t>Bank savings 2</t>
  </si>
  <si>
    <t>Bank savings 3</t>
  </si>
  <si>
    <t>Bank savings 4</t>
  </si>
  <si>
    <t>Bank savings 5</t>
  </si>
  <si>
    <t>Mobile Money or E- Cash</t>
  </si>
  <si>
    <t>Interest on Other Member Deposits</t>
  </si>
  <si>
    <t>Other Income 1</t>
  </si>
  <si>
    <t>Other Income 2</t>
  </si>
  <si>
    <t>Other Income 3</t>
  </si>
  <si>
    <t>Other Income 4</t>
  </si>
  <si>
    <t>Interest On Other Investment 1</t>
  </si>
  <si>
    <t>Interest On Other Investment 2</t>
  </si>
  <si>
    <t>Interest On Other Investment 3</t>
  </si>
  <si>
    <t>Interest On Other Investment 4</t>
  </si>
  <si>
    <t>Interest On Loans To Members 2</t>
  </si>
  <si>
    <t>Interest On Loans To Members 3</t>
  </si>
  <si>
    <t>Number of persons in the group Cell G17 (if available):</t>
  </si>
  <si>
    <t>Number of Temporal Employees:</t>
  </si>
  <si>
    <t>Number of Permanent Employees:</t>
  </si>
  <si>
    <t>Number of Employees covered under CCUPP:</t>
  </si>
  <si>
    <t>Total Number of Employees</t>
  </si>
  <si>
    <t>Name:Position / Date</t>
  </si>
  <si>
    <t>Commissions (e.g. Commission on Loan Protection Plan (LPP)</t>
  </si>
  <si>
    <t>Computer and IT  Equipment</t>
  </si>
  <si>
    <t>Amount of Loans Outstanding (GH¢)</t>
  </si>
  <si>
    <t>Amount of Delinquent Loans (GH¢)</t>
  </si>
  <si>
    <t xml:space="preserve">  </t>
  </si>
  <si>
    <t>Amount of Inactive Shares  (GH¢)</t>
  </si>
  <si>
    <t>Amount of Dormant Shares  (GH¢)</t>
  </si>
  <si>
    <t>Amount of Active Savings  (GH¢)</t>
  </si>
  <si>
    <t>Amount of Dormant Savings  (GH¢)</t>
  </si>
  <si>
    <t>Amount of Inactive Savings  (GH¢)</t>
  </si>
  <si>
    <t>Number of loans disbursed during the month</t>
  </si>
  <si>
    <t>Amount of loans disbursed  during the month (GH¢)</t>
  </si>
  <si>
    <t>Total Asset</t>
  </si>
  <si>
    <t xml:space="preserve">Total Laibilities </t>
  </si>
  <si>
    <t>Sub- Total for the Month</t>
  </si>
  <si>
    <t>Amount of Active Shares    (GH¢)</t>
  </si>
  <si>
    <t>Amount of loans disbursed   (Gh¢)</t>
  </si>
  <si>
    <t>Amount of Active Shares</t>
  </si>
  <si>
    <t>Amount of Inactive Shares</t>
  </si>
  <si>
    <t>Amount of Dormant Shares</t>
  </si>
  <si>
    <t>Amount of Dormant Savings</t>
  </si>
  <si>
    <t>Amount of Inactive Savings</t>
  </si>
  <si>
    <t>Total Amount of Shares:</t>
  </si>
  <si>
    <t>Amount of Active Savings</t>
  </si>
  <si>
    <t>Total Amount of Savings:</t>
  </si>
  <si>
    <t>([Current Liabilities+Members Savings+External Loans]/[Members Shares+Reserves+Surplus Year To Date])</t>
  </si>
  <si>
    <t>CUA House Bond</t>
  </si>
  <si>
    <t>Interest On Loans To Members 4</t>
  </si>
  <si>
    <t>Treasury Bill  less than 182 Days 1</t>
  </si>
  <si>
    <t>Treasury Bill  less than 182 Days 2</t>
  </si>
  <si>
    <t>Treasury Bill  More Than 182 Days 1</t>
  </si>
  <si>
    <t>Treasury Bill  More Than 182 Days 2</t>
  </si>
  <si>
    <t>Treasury Bill  More Than 182 Days 3</t>
  </si>
  <si>
    <t>Treasury Bill  More Than 182 Days 4</t>
  </si>
  <si>
    <t>External Loan from Bank</t>
  </si>
  <si>
    <t>External Loan from CUA</t>
  </si>
  <si>
    <t>External Loan Other Sources</t>
  </si>
  <si>
    <t xml:space="preserve"> -  upload to CUA Database</t>
  </si>
  <si>
    <t xml:space="preserve"> - upload to CUA Database</t>
  </si>
  <si>
    <t xml:space="preserve"> - one printout of the reporting sheet for the next meeting of the Board of Directors</t>
  </si>
  <si>
    <t xml:space="preserve"> - one printout of the reporting sheet for the members on the notice Board</t>
  </si>
  <si>
    <t>Treasury Bill  less than 182 Days 3</t>
  </si>
  <si>
    <t>This Report must be submitted before the 15th of the ensuing month at cudbase.cuagh.com</t>
  </si>
  <si>
    <t xml:space="preserve">GCB Current Account </t>
  </si>
  <si>
    <t>Interest On Long Term Loans</t>
  </si>
  <si>
    <t>Interest On Loans To Members 5</t>
  </si>
  <si>
    <t>XXXX CO-OPERATIVE CREDIT UNION LTD.</t>
  </si>
  <si>
    <t>Long Term Loans To Members</t>
  </si>
  <si>
    <t>Short Term Loans To Members</t>
  </si>
  <si>
    <t>Staff Loans To Members</t>
  </si>
  <si>
    <t>Mobilized Deposit</t>
  </si>
  <si>
    <t>Mobilizers Withdrawal</t>
  </si>
  <si>
    <t>Number of Youth Savers  (if applicable):</t>
  </si>
  <si>
    <t>Number of Mobile Banking Client (if available):</t>
  </si>
  <si>
    <t>Amount  Mobile Banking Client (if available):</t>
  </si>
  <si>
    <t>Amount Deposit by  Mobile Banking Client for the Month (if available):</t>
  </si>
  <si>
    <t>Amount Withdrawn by   Mobile Banking Client for the Month (if available):</t>
  </si>
  <si>
    <t>Delinquency Rate (%):</t>
  </si>
  <si>
    <t>Board Com.:</t>
  </si>
  <si>
    <t>Interest On Short Term Loan</t>
  </si>
  <si>
    <t>`</t>
  </si>
  <si>
    <t>Accra</t>
  </si>
  <si>
    <t>Workplace</t>
  </si>
  <si>
    <t>Ashanti</t>
  </si>
  <si>
    <t>Brong-Ahafo</t>
  </si>
  <si>
    <t>Central</t>
  </si>
  <si>
    <t>Eastern</t>
  </si>
  <si>
    <t>Northern</t>
  </si>
  <si>
    <t>Tema</t>
  </si>
  <si>
    <t xml:space="preserve">Upper East </t>
  </si>
  <si>
    <t>Upper West</t>
  </si>
  <si>
    <t>Volta</t>
  </si>
  <si>
    <t>Western</t>
  </si>
  <si>
    <t>Data Validation Input Messages:</t>
  </si>
  <si>
    <t>Chapter</t>
  </si>
  <si>
    <t>Type of CUs</t>
  </si>
  <si>
    <t>Please enter it as month/year (for example: 1/2011)</t>
  </si>
  <si>
    <t>Community</t>
  </si>
  <si>
    <t>Please select the chapter</t>
  </si>
  <si>
    <t>Parish</t>
  </si>
  <si>
    <t>Please enter it in the format dd/mm/yyyy (for example: 01/01/2011)</t>
  </si>
  <si>
    <t>Please select the type of your CU</t>
  </si>
  <si>
    <t>Please only enter a figure here, if you don't have the figures separted by "females", "males" and "groups"</t>
  </si>
  <si>
    <t>Please enter a whole number, like 456 for instance</t>
  </si>
  <si>
    <t>Please enter a number, which may be decimal like 456.78</t>
  </si>
  <si>
    <t>Please enter a number which may be decimal like 456.78. The value may be negative.</t>
  </si>
  <si>
    <t>YOUTH SAVINGS PROGRAM FINANCIAL &amp; STATISTICAL REPORT FOR THE MONTH OF</t>
  </si>
  <si>
    <t>A. MEMBERSHIP</t>
  </si>
  <si>
    <t>GENDER</t>
  </si>
  <si>
    <t>MALE</t>
  </si>
  <si>
    <t>FEMALE</t>
  </si>
  <si>
    <t>GROUP</t>
  </si>
  <si>
    <t>B. SAVINGS</t>
  </si>
  <si>
    <t>BEGINNING</t>
  </si>
  <si>
    <t>ADDITIONS</t>
  </si>
  <si>
    <t>WITHDRAWAL</t>
  </si>
  <si>
    <t>C. INVESTMENTS</t>
  </si>
  <si>
    <t>TYPE</t>
  </si>
  <si>
    <t>Treasury Bills</t>
  </si>
  <si>
    <t xml:space="preserve">Others </t>
  </si>
  <si>
    <t>Name Manager or Teacher Supervisor</t>
  </si>
  <si>
    <t>Name of YSP Member / Executive</t>
  </si>
  <si>
    <t>Signature:..........................................</t>
  </si>
  <si>
    <t>Name of Youth Savings Club</t>
  </si>
  <si>
    <r>
      <t xml:space="preserve">Number of persons in the group </t>
    </r>
    <r>
      <rPr>
        <b/>
        <i/>
        <sz val="12"/>
        <color theme="1"/>
        <rFont val="Myriad Pro"/>
      </rPr>
      <t>(if available):</t>
    </r>
  </si>
  <si>
    <r>
      <t xml:space="preserve">Number of Youth Savers  </t>
    </r>
    <r>
      <rPr>
        <b/>
        <i/>
        <sz val="12"/>
        <color theme="1"/>
        <rFont val="Myriad Pro"/>
      </rPr>
      <t>(if applicable):</t>
    </r>
  </si>
  <si>
    <r>
      <t>Number of Mobile Banking Client</t>
    </r>
    <r>
      <rPr>
        <b/>
        <sz val="12"/>
        <color theme="1"/>
        <rFont val="Myriad Pro"/>
        <family val="2"/>
      </rPr>
      <t xml:space="preserve"> </t>
    </r>
    <r>
      <rPr>
        <b/>
        <i/>
        <sz val="12"/>
        <color theme="1"/>
        <rFont val="Myriad Pro"/>
      </rPr>
      <t>(if available):</t>
    </r>
  </si>
  <si>
    <t>No. of Delinquent Borrowers (arrears of 30 days and more):</t>
  </si>
  <si>
    <t>32 Reserves (incl. last years netsurplus undistributed)</t>
  </si>
  <si>
    <t>Mobile Banking (Savings)</t>
  </si>
  <si>
    <t>Req Liq -cash(3%)</t>
  </si>
  <si>
    <t>Req Liq -inv(17%)</t>
  </si>
  <si>
    <t>Above 60 Years</t>
  </si>
  <si>
    <t>36 to 60 Years</t>
  </si>
  <si>
    <t>Number of Branches</t>
  </si>
  <si>
    <t>Number of Branches Consolidated  in This Report</t>
  </si>
  <si>
    <t>Number of Branches Not Consolidated  in This Report</t>
  </si>
  <si>
    <t>Please Explain why this Branches could not Report</t>
  </si>
  <si>
    <t>Amount of Youth Savings   (GH¢)</t>
  </si>
  <si>
    <t xml:space="preserve"> not more than 5%</t>
  </si>
  <si>
    <t>MEMBERS</t>
  </si>
  <si>
    <t>2024 V6.1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</si>
</sst>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3" formatCode="_-* #,##0.00_-;\-* #,##0.00_-;_-* &quot;-&quot;??_-;_-@_-"/>
    <numFmt numFmtId="164" formatCode="_(&quot;$&quot;* #,##0.00_);_(&quot;$&quot;* \(#,##0.00\);_(&quot;$&quot;* &quot;-&quot;??_);_(@_)"/>
    <numFmt numFmtId="165" formatCode="_(* #,##0.00_);_(* \(#,##0.00\);_(* &quot;-&quot;??_);_(@_)"/>
    <numFmt numFmtId="166" formatCode="mmmm\ yyyy"/>
    <numFmt numFmtId="167" formatCode="0.0%"/>
    <numFmt numFmtId="168" formatCode="#,##0.00\ ;&quot; (&quot;#,##0.00\);&quot; -&quot;#\ ;@\ "/>
    <numFmt numFmtId="169" formatCode="0_);\(0\)"/>
    <numFmt numFmtId="170" formatCode="#,##0\ ;&quot; (&quot;#,##0\);&quot; -&quot;#\ ;@\ "/>
    <numFmt numFmtId="171" formatCode="&quot;€&quot;\ #,##0.00_-;[Red]&quot;€&quot;\ #,##0.00\-"/>
    <numFmt numFmtId="172" formatCode="_(* #,##0.00_);_(* \(#,##0.00\);_(* \-??_);_(@_)"/>
    <numFmt numFmtId="173" formatCode="0.0"/>
    <numFmt numFmtId="174" formatCode="_(&quot;¢&quot;* #,##0.00_);_(&quot;¢&quot;* \(#,##0.00\);_(&quot;¢&quot;* &quot;-&quot;??_);_(@_)"/>
    <numFmt numFmtId="175" formatCode="_(&quot;kr&quot;\ * #,##0.00_);_(&quot;kr&quot;\ * \(#,##0.00\);_(&quot;kr&quot;\ * &quot;-&quot;??_);_(@_)"/>
    <numFmt numFmtId="176" formatCode="_-* #,##0_-;\-* #,##0_-;_-* &quot;-&quot;??_-;_-@_-"/>
    <numFmt numFmtId="177" formatCode="[$-409]mmm\-yy;@"/>
    <numFmt numFmtId="178" formatCode="yyyy"/>
    <numFmt numFmtId="179" formatCode="#,##0.0\ ;&quot; (&quot;#,##0.0\);&quot; -&quot;#\ ;@\ "/>
  </numFmts>
  <fonts count="116">
    <font>
      <sz val="10"/>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Arial"/>
      <family val="2"/>
    </font>
    <font>
      <sz val="11"/>
      <color theme="1"/>
      <name val="Myriad Pro"/>
      <family val="2"/>
    </font>
    <font>
      <sz val="10"/>
      <color theme="1"/>
      <name val="Myriad Pro"/>
      <family val="2"/>
    </font>
    <font>
      <b/>
      <sz val="10"/>
      <color theme="1"/>
      <name val="Myriad Pro"/>
      <family val="2"/>
    </font>
    <font>
      <sz val="10"/>
      <name val="Arial"/>
      <family val="2"/>
    </font>
    <font>
      <b/>
      <sz val="8"/>
      <color theme="1"/>
      <name val="Myriad Pro"/>
      <family val="2"/>
    </font>
    <font>
      <b/>
      <sz val="11"/>
      <color theme="1"/>
      <name val="Myriad Pro"/>
      <family val="2"/>
    </font>
    <font>
      <b/>
      <u/>
      <sz val="11"/>
      <color theme="1"/>
      <name val="Myriad Pro"/>
      <family val="2"/>
    </font>
    <font>
      <sz val="9"/>
      <color theme="1"/>
      <name val="Myriad Pro"/>
      <family val="2"/>
    </font>
    <font>
      <sz val="8"/>
      <color theme="1"/>
      <name val="Myriad Pro"/>
      <family val="2"/>
    </font>
    <font>
      <sz val="10"/>
      <name val="Myriad Pro"/>
      <family val="2"/>
    </font>
    <font>
      <b/>
      <sz val="11"/>
      <name val="Myriad Pro"/>
      <family val="2"/>
    </font>
    <font>
      <sz val="9"/>
      <name val="Myriad Pro"/>
      <family val="2"/>
    </font>
    <font>
      <b/>
      <sz val="9"/>
      <name val="Myriad Pro"/>
      <family val="2"/>
    </font>
    <font>
      <sz val="8"/>
      <name val="Myriad Pro"/>
      <family val="2"/>
    </font>
    <font>
      <sz val="11"/>
      <color indexed="8"/>
      <name val="Arial"/>
      <family val="2"/>
    </font>
    <font>
      <sz val="11"/>
      <color indexed="9"/>
      <name val="Arial"/>
      <family val="2"/>
    </font>
    <font>
      <b/>
      <sz val="11"/>
      <color indexed="63"/>
      <name val="Arial"/>
      <family val="2"/>
    </font>
    <font>
      <b/>
      <sz val="11"/>
      <color indexed="52"/>
      <name val="Arial"/>
      <family val="2"/>
    </font>
    <font>
      <sz val="10"/>
      <color indexed="8"/>
      <name val="Arial"/>
      <family val="2"/>
    </font>
    <font>
      <sz val="11"/>
      <color indexed="8"/>
      <name val="Calibri"/>
      <family val="2"/>
    </font>
    <font>
      <sz val="10"/>
      <color theme="1"/>
      <name val="Arial"/>
      <family val="2"/>
    </font>
    <font>
      <sz val="11"/>
      <color indexed="62"/>
      <name val="Arial"/>
      <family val="2"/>
    </font>
    <font>
      <b/>
      <sz val="11"/>
      <color indexed="8"/>
      <name val="Arial"/>
      <family val="2"/>
    </font>
    <font>
      <i/>
      <sz val="11"/>
      <color indexed="23"/>
      <name val="Arial"/>
      <family val="2"/>
    </font>
    <font>
      <sz val="11"/>
      <color indexed="17"/>
      <name val="Arial"/>
      <family val="2"/>
    </font>
    <font>
      <sz val="10"/>
      <color indexed="8"/>
      <name val="MS Sans Serif"/>
      <family val="2"/>
    </font>
    <font>
      <sz val="10"/>
      <name val="Courier"/>
      <family val="3"/>
    </font>
    <font>
      <sz val="12"/>
      <color theme="1"/>
      <name val="Arial"/>
      <family val="2"/>
    </font>
    <font>
      <sz val="11"/>
      <color indexed="20"/>
      <name val="Arial"/>
      <family val="2"/>
    </font>
    <font>
      <b/>
      <sz val="18"/>
      <color indexed="56"/>
      <name val="Cambria"/>
      <family val="2"/>
    </font>
    <font>
      <b/>
      <sz val="15"/>
      <color indexed="56"/>
      <name val="Arial"/>
      <family val="2"/>
    </font>
    <font>
      <b/>
      <sz val="13"/>
      <color indexed="56"/>
      <name val="Arial"/>
      <family val="2"/>
    </font>
    <font>
      <b/>
      <sz val="11"/>
      <color indexed="56"/>
      <name val="Arial"/>
      <family val="2"/>
    </font>
    <font>
      <sz val="11"/>
      <color indexed="52"/>
      <name val="Arial"/>
      <family val="2"/>
    </font>
    <font>
      <sz val="11"/>
      <color indexed="10"/>
      <name val="Arial"/>
      <family val="2"/>
    </font>
    <font>
      <b/>
      <sz val="11"/>
      <color indexed="9"/>
      <name val="Arial"/>
      <family val="2"/>
    </font>
    <font>
      <sz val="11"/>
      <color rgb="FFFF0000"/>
      <name val="Calibri"/>
      <family val="2"/>
      <scheme val="minor"/>
    </font>
    <font>
      <sz val="10"/>
      <name val="Arial"/>
      <family val="2"/>
    </font>
    <font>
      <b/>
      <sz val="12"/>
      <color theme="1"/>
      <name val="Arial"/>
      <family val="2"/>
    </font>
    <font>
      <sz val="12"/>
      <name val="Arial"/>
      <family val="2"/>
    </font>
    <font>
      <b/>
      <u/>
      <sz val="12"/>
      <color theme="1"/>
      <name val="Arial"/>
      <family val="2"/>
    </font>
    <font>
      <b/>
      <u val="doubleAccounting"/>
      <sz val="12"/>
      <color theme="1"/>
      <name val="Arial"/>
      <family val="2"/>
    </font>
    <font>
      <b/>
      <sz val="10"/>
      <name val="Arial"/>
      <family val="2"/>
    </font>
    <font>
      <b/>
      <sz val="11"/>
      <color theme="1"/>
      <name val="Arial"/>
      <family val="2"/>
    </font>
    <font>
      <b/>
      <sz val="11"/>
      <name val="Arial"/>
      <family val="2"/>
    </font>
    <font>
      <b/>
      <sz val="10"/>
      <name val="Trebuchet MS"/>
      <family val="2"/>
    </font>
    <font>
      <sz val="10"/>
      <name val="Trebuchet MS"/>
      <family val="2"/>
    </font>
    <font>
      <b/>
      <sz val="10"/>
      <color rgb="FFFF0000"/>
      <name val="Arial"/>
      <family val="2"/>
    </font>
    <font>
      <sz val="10"/>
      <color rgb="FFFF0000"/>
      <name val="Trebuchet MS"/>
      <family val="2"/>
    </font>
    <font>
      <b/>
      <sz val="11"/>
      <name val="Times New Roman"/>
      <family val="1"/>
    </font>
    <font>
      <sz val="12"/>
      <color rgb="FFFF0000"/>
      <name val="Arial"/>
      <family val="2"/>
    </font>
    <font>
      <sz val="8"/>
      <color rgb="FFFF0000"/>
      <name val="Arial"/>
      <family val="2"/>
    </font>
    <font>
      <sz val="10"/>
      <color rgb="FFFF0000"/>
      <name val="Arial"/>
      <family val="2"/>
    </font>
    <font>
      <b/>
      <sz val="11"/>
      <color theme="1"/>
      <name val="Myriad Pro"/>
    </font>
    <font>
      <b/>
      <sz val="11"/>
      <color theme="1"/>
      <name val="Calibri"/>
      <family val="2"/>
      <scheme val="minor"/>
    </font>
    <font>
      <b/>
      <sz val="11"/>
      <color indexed="56"/>
      <name val="Lucida Sans"/>
      <family val="1"/>
      <charset val="204"/>
    </font>
    <font>
      <sz val="11"/>
      <name val="Times New Roman"/>
      <family val="1"/>
      <charset val="204"/>
    </font>
    <font>
      <b/>
      <sz val="11"/>
      <name val="Times New Roman"/>
      <family val="1"/>
      <charset val="204"/>
    </font>
    <font>
      <sz val="11"/>
      <color indexed="8"/>
      <name val="Lucida Sans"/>
      <family val="1"/>
      <charset val="204"/>
    </font>
    <font>
      <b/>
      <i/>
      <sz val="11"/>
      <color indexed="56"/>
      <name val="Gill Sans MT"/>
      <family val="1"/>
      <charset val="204"/>
    </font>
    <font>
      <sz val="11"/>
      <color indexed="8"/>
      <name val="Times New Roman"/>
      <family val="1"/>
    </font>
    <font>
      <sz val="11"/>
      <color indexed="56"/>
      <name val="Arial"/>
      <family val="2"/>
    </font>
    <font>
      <sz val="11"/>
      <color indexed="56"/>
      <name val="Lucida Sans"/>
      <family val="1"/>
      <charset val="204"/>
    </font>
    <font>
      <b/>
      <sz val="11"/>
      <color indexed="8"/>
      <name val="Lucida Sans"/>
      <family val="1"/>
      <charset val="204"/>
    </font>
    <font>
      <i/>
      <sz val="11"/>
      <color indexed="56"/>
      <name val="Georgia"/>
      <family val="1"/>
      <charset val="204"/>
    </font>
    <font>
      <sz val="11"/>
      <name val="Calibri"/>
      <family val="2"/>
    </font>
    <font>
      <b/>
      <sz val="10"/>
      <name val="Myriad Pro"/>
    </font>
    <font>
      <sz val="10"/>
      <name val="Myriad Pro"/>
    </font>
    <font>
      <b/>
      <i/>
      <sz val="11"/>
      <color theme="1"/>
      <name val="Calibri"/>
      <family val="2"/>
      <scheme val="minor"/>
    </font>
    <font>
      <i/>
      <sz val="11"/>
      <color theme="1"/>
      <name val="Calibri"/>
      <family val="2"/>
      <scheme val="minor"/>
    </font>
    <font>
      <i/>
      <sz val="10"/>
      <name val="Arial"/>
      <family val="2"/>
    </font>
    <font>
      <b/>
      <sz val="10"/>
      <color theme="1"/>
      <name val="Myriad Pro"/>
    </font>
    <font>
      <b/>
      <sz val="11"/>
      <name val="Calibri"/>
      <family val="2"/>
    </font>
    <font>
      <i/>
      <sz val="11"/>
      <name val="Calibri"/>
      <family val="2"/>
    </font>
    <font>
      <sz val="11"/>
      <color theme="1"/>
      <name val="Myriad Pro"/>
    </font>
    <font>
      <sz val="11"/>
      <name val="Courier New"/>
      <family val="3"/>
    </font>
    <font>
      <b/>
      <i/>
      <sz val="10"/>
      <name val="Arial"/>
      <family val="2"/>
    </font>
    <font>
      <b/>
      <sz val="14"/>
      <name val="Calibri"/>
      <family val="2"/>
    </font>
    <font>
      <b/>
      <sz val="10"/>
      <color indexed="8"/>
      <name val="Arial"/>
      <family val="2"/>
    </font>
    <font>
      <b/>
      <sz val="9.9499999999999993"/>
      <color indexed="8"/>
      <name val="Arial"/>
      <family val="2"/>
    </font>
    <font>
      <sz val="9.9499999999999993"/>
      <color indexed="8"/>
      <name val="Arial"/>
      <family val="2"/>
    </font>
    <font>
      <b/>
      <sz val="11"/>
      <color theme="1"/>
      <name val="Arial Narrow"/>
      <family val="2"/>
    </font>
    <font>
      <b/>
      <sz val="12"/>
      <name val="Arial Narrow"/>
      <family val="2"/>
    </font>
    <font>
      <b/>
      <sz val="12"/>
      <color rgb="FFFF0000"/>
      <name val="Arial Narrow"/>
      <family val="2"/>
    </font>
    <font>
      <sz val="11"/>
      <color theme="1"/>
      <name val="Arial Narrow"/>
      <family val="2"/>
    </font>
    <font>
      <b/>
      <sz val="12"/>
      <color theme="1"/>
      <name val="Myriad Pro"/>
    </font>
    <font>
      <b/>
      <sz val="14"/>
      <color theme="1"/>
      <name val="Arial"/>
      <family val="2"/>
    </font>
    <font>
      <b/>
      <sz val="14"/>
      <color indexed="8"/>
      <name val="Arial"/>
      <family val="2"/>
    </font>
    <font>
      <b/>
      <i/>
      <sz val="14"/>
      <color indexed="8"/>
      <name val="Arial"/>
      <family val="2"/>
    </font>
    <font>
      <b/>
      <i/>
      <sz val="9.9499999999999993"/>
      <color indexed="8"/>
      <name val="Arial"/>
      <family val="2"/>
    </font>
    <font>
      <sz val="8"/>
      <name val="Arial"/>
      <family val="2"/>
    </font>
    <font>
      <sz val="12"/>
      <name val="Myriad Pro"/>
      <family val="2"/>
    </font>
    <font>
      <b/>
      <sz val="12"/>
      <name val="Arial"/>
      <family val="2"/>
    </font>
    <font>
      <b/>
      <sz val="12"/>
      <color rgb="FFFF0000"/>
      <name val="Arial"/>
      <family val="2"/>
    </font>
    <font>
      <b/>
      <u val="doubleAccounting"/>
      <sz val="12"/>
      <color rgb="FFFF0000"/>
      <name val="Arial"/>
      <family val="2"/>
    </font>
    <font>
      <sz val="14"/>
      <color theme="1"/>
      <name val="Myriad Pro"/>
      <family val="2"/>
    </font>
    <font>
      <sz val="14"/>
      <name val="Arial"/>
      <family val="2"/>
    </font>
    <font>
      <sz val="10"/>
      <color rgb="FFFF0000"/>
      <name val="Myriad Pro"/>
      <family val="2"/>
    </font>
    <font>
      <b/>
      <sz val="12"/>
      <color theme="1"/>
      <name val="Myriad Pro"/>
      <family val="2"/>
    </font>
    <font>
      <sz val="12"/>
      <color theme="1"/>
      <name val="Myriad Pro"/>
      <family val="2"/>
    </font>
    <font>
      <b/>
      <sz val="12"/>
      <color theme="0"/>
      <name val="Myriad Pro"/>
    </font>
    <font>
      <b/>
      <i/>
      <sz val="12"/>
      <color theme="1"/>
      <name val="Myriad Pro"/>
    </font>
    <font>
      <sz val="12"/>
      <name val="Calibri"/>
      <family val="2"/>
    </font>
    <font>
      <b/>
      <u/>
      <sz val="12"/>
      <color theme="1"/>
      <name val="Myriad Pro"/>
      <family val="2"/>
    </font>
    <font>
      <i/>
      <sz val="12"/>
      <color theme="1"/>
      <name val="Myriad Pro"/>
      <family val="2"/>
    </font>
    <font>
      <b/>
      <sz val="12"/>
      <name val="Myriad Pro"/>
      <family val="2"/>
    </font>
    <font>
      <sz val="12"/>
      <color theme="1"/>
      <name val="Myriad Pro"/>
    </font>
  </fonts>
  <fills count="35">
    <fill>
      <patternFill patternType="none"/>
    </fill>
    <fill>
      <patternFill patternType="gray125"/>
    </fill>
    <fill>
      <patternFill patternType="solid">
        <fgColor rgb="FFFFFFCC"/>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26"/>
      </patternFill>
    </fill>
    <fill>
      <patternFill patternType="solid">
        <fgColor indexed="55"/>
      </patternFill>
    </fill>
    <fill>
      <patternFill patternType="solid">
        <fgColor theme="0" tint="-0.14999847407452621"/>
        <bgColor indexed="64"/>
      </patternFill>
    </fill>
    <fill>
      <patternFill patternType="solid">
        <fgColor theme="0" tint="-0.249977111117893"/>
        <bgColor indexed="64"/>
      </patternFill>
    </fill>
    <fill>
      <patternFill patternType="solid">
        <fgColor rgb="FFFFFF00"/>
        <bgColor indexed="64"/>
      </patternFill>
    </fill>
    <fill>
      <patternFill patternType="solid">
        <fgColor rgb="FFFFFFC1"/>
        <bgColor indexed="64"/>
      </patternFill>
    </fill>
    <fill>
      <patternFill patternType="solid">
        <fgColor rgb="FF92D050"/>
        <bgColor indexed="64"/>
      </patternFill>
    </fill>
    <fill>
      <patternFill patternType="solid">
        <fgColor rgb="FF00B0F0"/>
        <bgColor indexed="64"/>
      </patternFill>
    </fill>
    <fill>
      <patternFill patternType="solid">
        <fgColor theme="0" tint="-0.14996795556505021"/>
        <bgColor indexed="64"/>
      </patternFill>
    </fill>
    <fill>
      <patternFill patternType="solid">
        <fgColor indexed="65"/>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0" tint="-0.499984740745262"/>
        <bgColor indexed="64"/>
      </patternFill>
    </fill>
  </fills>
  <borders count="339">
    <border>
      <left/>
      <right/>
      <top/>
      <bottom/>
      <diagonal/>
    </border>
    <border>
      <left style="hair">
        <color auto="1"/>
      </left>
      <right/>
      <top style="hair">
        <color auto="1"/>
      </top>
      <bottom/>
      <diagonal/>
    </border>
    <border>
      <left/>
      <right/>
      <top style="hair">
        <color auto="1"/>
      </top>
      <bottom/>
      <diagonal/>
    </border>
    <border>
      <left/>
      <right style="hair">
        <color auto="1"/>
      </right>
      <top style="hair">
        <color auto="1"/>
      </top>
      <bottom/>
      <diagonal/>
    </border>
    <border>
      <left style="hair">
        <color auto="1"/>
      </left>
      <right/>
      <top/>
      <bottom style="hair">
        <color auto="1"/>
      </bottom>
      <diagonal/>
    </border>
    <border>
      <left/>
      <right/>
      <top/>
      <bottom style="hair">
        <color auto="1"/>
      </bottom>
      <diagonal/>
    </border>
    <border>
      <left/>
      <right style="hair">
        <color auto="1"/>
      </right>
      <top/>
      <bottom style="hair">
        <color auto="1"/>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hair">
        <color auto="1"/>
      </left>
      <right/>
      <top style="hair">
        <color auto="1"/>
      </top>
      <bottom style="hair">
        <color auto="1"/>
      </bottom>
      <diagonal/>
    </border>
    <border>
      <left/>
      <right/>
      <top style="hair">
        <color indexed="64"/>
      </top>
      <bottom style="hair">
        <color indexed="64"/>
      </bottom>
      <diagonal/>
    </border>
    <border>
      <left/>
      <right style="hair">
        <color auto="1"/>
      </right>
      <top style="hair">
        <color auto="1"/>
      </top>
      <bottom style="hair">
        <color auto="1"/>
      </bottom>
      <diagonal/>
    </border>
    <border>
      <left style="medium">
        <color auto="1"/>
      </left>
      <right style="hair">
        <color auto="1"/>
      </right>
      <top style="medium">
        <color auto="1"/>
      </top>
      <bottom style="thin">
        <color auto="1"/>
      </bottom>
      <diagonal/>
    </border>
    <border>
      <left style="hair">
        <color auto="1"/>
      </left>
      <right style="hair">
        <color auto="1"/>
      </right>
      <top style="medium">
        <color auto="1"/>
      </top>
      <bottom style="thin">
        <color auto="1"/>
      </bottom>
      <diagonal/>
    </border>
    <border>
      <left/>
      <right style="hair">
        <color auto="1"/>
      </right>
      <top style="medium">
        <color auto="1"/>
      </top>
      <bottom style="thin">
        <color auto="1"/>
      </bottom>
      <diagonal/>
    </border>
    <border>
      <left style="hair">
        <color auto="1"/>
      </left>
      <right style="medium">
        <color auto="1"/>
      </right>
      <top style="medium">
        <color auto="1"/>
      </top>
      <bottom style="thin">
        <color auto="1"/>
      </bottom>
      <diagonal/>
    </border>
    <border>
      <left style="hair">
        <color auto="1"/>
      </left>
      <right style="hair">
        <color auto="1"/>
      </right>
      <top/>
      <bottom style="hair">
        <color auto="1"/>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auto="1"/>
      </top>
      <bottom style="medium">
        <color auto="1"/>
      </bottom>
      <diagonal/>
    </border>
    <border>
      <left/>
      <right style="medium">
        <color auto="1"/>
      </right>
      <top style="thin">
        <color auto="1"/>
      </top>
      <bottom style="medium">
        <color auto="1"/>
      </bottom>
      <diagonal/>
    </border>
    <border>
      <left style="thin">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thin">
        <color rgb="FF000000"/>
      </left>
      <right style="thin">
        <color rgb="FF000000"/>
      </right>
      <top style="thin">
        <color rgb="FF000000"/>
      </top>
      <bottom style="hair">
        <color rgb="FF000000"/>
      </bottom>
      <diagonal/>
    </border>
    <border>
      <left/>
      <right style="thin">
        <color rgb="FF000000"/>
      </right>
      <top/>
      <bottom style="hair">
        <color rgb="FF000000"/>
      </bottom>
      <diagonal/>
    </border>
    <border>
      <left style="thin">
        <color rgb="FF000000"/>
      </left>
      <right style="hair">
        <color rgb="FF000000"/>
      </right>
      <top style="thin">
        <color rgb="FF000000"/>
      </top>
      <bottom style="hair">
        <color rgb="FF000000"/>
      </bottom>
      <diagonal/>
    </border>
    <border>
      <left style="hair">
        <color rgb="FF000000"/>
      </left>
      <right style="thin">
        <color rgb="FF000000"/>
      </right>
      <top style="thin">
        <color rgb="FF000000"/>
      </top>
      <bottom style="hair">
        <color rgb="FF000000"/>
      </bottom>
      <diagonal/>
    </border>
    <border>
      <left style="thin">
        <color rgb="FF000000"/>
      </left>
      <right/>
      <top style="thin">
        <color rgb="FF000000"/>
      </top>
      <bottom style="hair">
        <color rgb="FF000000"/>
      </bottom>
      <diagonal/>
    </border>
    <border>
      <left/>
      <right style="thin">
        <color rgb="FF000000"/>
      </right>
      <top style="thin">
        <color rgb="FF000000"/>
      </top>
      <bottom style="hair">
        <color rgb="FF000000"/>
      </bottom>
      <diagonal/>
    </border>
    <border>
      <left style="thin">
        <color rgb="FF000000"/>
      </left>
      <right style="thin">
        <color rgb="FF000000"/>
      </right>
      <top style="hair">
        <color rgb="FF000000"/>
      </top>
      <bottom style="hair">
        <color rgb="FF000000"/>
      </bottom>
      <diagonal/>
    </border>
    <border>
      <left/>
      <right style="thin">
        <color rgb="FF000000"/>
      </right>
      <top style="hair">
        <color rgb="FF000000"/>
      </top>
      <bottom style="hair">
        <color rgb="FF000000"/>
      </bottom>
      <diagonal/>
    </border>
    <border>
      <left style="thin">
        <color rgb="FF000000"/>
      </left>
      <right style="hair">
        <color rgb="FF000000"/>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style="thin">
        <color rgb="FF000000"/>
      </left>
      <right/>
      <top style="hair">
        <color rgb="FF000000"/>
      </top>
      <bottom style="hair">
        <color rgb="FF000000"/>
      </bottom>
      <diagonal/>
    </border>
    <border>
      <left style="thin">
        <color rgb="FF000000"/>
      </left>
      <right style="thin">
        <color rgb="FF000000"/>
      </right>
      <top style="hair">
        <color rgb="FF000000"/>
      </top>
      <bottom/>
      <diagonal/>
    </border>
    <border>
      <left/>
      <right style="thin">
        <color rgb="FF000000"/>
      </right>
      <top style="hair">
        <color rgb="FF000000"/>
      </top>
      <bottom/>
      <diagonal/>
    </border>
    <border>
      <left style="thin">
        <color rgb="FF000000"/>
      </left>
      <right style="hair">
        <color rgb="FF000000"/>
      </right>
      <top style="hair">
        <color rgb="FF000000"/>
      </top>
      <bottom/>
      <diagonal/>
    </border>
    <border>
      <left style="hair">
        <color rgb="FF000000"/>
      </left>
      <right style="thin">
        <color rgb="FF000000"/>
      </right>
      <top style="hair">
        <color rgb="FF000000"/>
      </top>
      <bottom/>
      <diagonal/>
    </border>
    <border>
      <left style="thin">
        <color rgb="FF000000"/>
      </left>
      <right/>
      <top style="hair">
        <color rgb="FF000000"/>
      </top>
      <bottom style="thin">
        <color rgb="FF000000"/>
      </bottom>
      <diagonal/>
    </border>
    <border>
      <left/>
      <right style="thin">
        <color rgb="FF000000"/>
      </right>
      <top style="hair">
        <color rgb="FF000000"/>
      </top>
      <bottom style="thin">
        <color rgb="FF000000"/>
      </bottom>
      <diagonal/>
    </border>
    <border>
      <left/>
      <right style="hair">
        <color rgb="FF000000"/>
      </right>
      <top style="thin">
        <color rgb="FF000000"/>
      </top>
      <bottom style="hair">
        <color rgb="FF000000"/>
      </bottom>
      <diagonal/>
    </border>
    <border>
      <left/>
      <right/>
      <top style="hair">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hair">
        <color rgb="FF000000"/>
      </right>
      <top/>
      <bottom style="thin">
        <color rgb="FF000000"/>
      </bottom>
      <diagonal/>
    </border>
    <border>
      <left style="hair">
        <color rgb="FF000000"/>
      </left>
      <right style="thin">
        <color rgb="FF000000"/>
      </right>
      <top/>
      <bottom style="thin">
        <color rgb="FF000000"/>
      </bottom>
      <diagonal/>
    </border>
    <border>
      <left/>
      <right style="hair">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hair">
        <color rgb="FF000000"/>
      </right>
      <top/>
      <bottom style="hair">
        <color rgb="FF000000"/>
      </bottom>
      <diagonal/>
    </border>
    <border>
      <left style="hair">
        <color rgb="FF000000"/>
      </left>
      <right style="thin">
        <color rgb="FF000000"/>
      </right>
      <top/>
      <bottom style="hair">
        <color rgb="FF000000"/>
      </bottom>
      <diagonal/>
    </border>
    <border>
      <left/>
      <right style="hair">
        <color rgb="FF000000"/>
      </right>
      <top style="hair">
        <color rgb="FF000000"/>
      </top>
      <bottom style="hair">
        <color rgb="FF000000"/>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right/>
      <top style="thin">
        <color indexed="64"/>
      </top>
      <bottom/>
      <diagonal/>
    </border>
    <border>
      <left style="thin">
        <color indexed="8"/>
      </left>
      <right style="hair">
        <color indexed="8"/>
      </right>
      <top style="thin">
        <color auto="1"/>
      </top>
      <bottom style="hair">
        <color indexed="8"/>
      </bottom>
      <diagonal/>
    </border>
    <border>
      <left style="thin">
        <color indexed="8"/>
      </left>
      <right style="hair">
        <color indexed="8"/>
      </right>
      <top style="hair">
        <color indexed="8"/>
      </top>
      <bottom style="hair">
        <color indexed="8"/>
      </bottom>
      <diagonal/>
    </border>
    <border>
      <left style="hair">
        <color indexed="8"/>
      </left>
      <right style="hair">
        <color indexed="8"/>
      </right>
      <top style="hair">
        <color indexed="8"/>
      </top>
      <bottom style="hair">
        <color indexed="8"/>
      </bottom>
      <diagonal/>
    </border>
    <border>
      <left style="hair">
        <color indexed="8"/>
      </left>
      <right style="medium">
        <color auto="1"/>
      </right>
      <top style="hair">
        <color indexed="8"/>
      </top>
      <bottom style="hair">
        <color indexed="8"/>
      </bottom>
      <diagonal/>
    </border>
    <border>
      <left style="thin">
        <color indexed="8"/>
      </left>
      <right style="hair">
        <color indexed="8"/>
      </right>
      <top style="hair">
        <color indexed="8"/>
      </top>
      <bottom/>
      <diagonal/>
    </border>
    <border>
      <left style="hair">
        <color indexed="8"/>
      </left>
      <right style="hair">
        <color indexed="8"/>
      </right>
      <top style="hair">
        <color indexed="8"/>
      </top>
      <bottom/>
      <diagonal/>
    </border>
    <border>
      <left style="hair">
        <color indexed="8"/>
      </left>
      <right style="medium">
        <color auto="1"/>
      </right>
      <top style="hair">
        <color indexed="8"/>
      </top>
      <bottom/>
      <diagonal/>
    </border>
    <border>
      <left style="thin">
        <color indexed="8"/>
      </left>
      <right style="hair">
        <color indexed="8"/>
      </right>
      <top style="double">
        <color indexed="64"/>
      </top>
      <bottom style="hair">
        <color indexed="8"/>
      </bottom>
      <diagonal/>
    </border>
    <border>
      <left style="hair">
        <color indexed="8"/>
      </left>
      <right style="hair">
        <color indexed="8"/>
      </right>
      <top style="double">
        <color indexed="64"/>
      </top>
      <bottom style="hair">
        <color indexed="8"/>
      </bottom>
      <diagonal/>
    </border>
    <border>
      <left style="hair">
        <color indexed="8"/>
      </left>
      <right style="medium">
        <color auto="1"/>
      </right>
      <top style="double">
        <color indexed="64"/>
      </top>
      <bottom style="hair">
        <color indexed="8"/>
      </bottom>
      <diagonal/>
    </border>
    <border>
      <left style="medium">
        <color indexed="64"/>
      </left>
      <right/>
      <top style="double">
        <color indexed="64"/>
      </top>
      <bottom style="medium">
        <color indexed="64"/>
      </bottom>
      <diagonal/>
    </border>
    <border>
      <left/>
      <right/>
      <top style="double">
        <color indexed="64"/>
      </top>
      <bottom style="medium">
        <color indexed="64"/>
      </bottom>
      <diagonal/>
    </border>
    <border>
      <left style="thin">
        <color indexed="8"/>
      </left>
      <right style="hair">
        <color indexed="8"/>
      </right>
      <top style="double">
        <color indexed="64"/>
      </top>
      <bottom style="medium">
        <color indexed="64"/>
      </bottom>
      <diagonal/>
    </border>
    <border>
      <left style="hair">
        <color indexed="8"/>
      </left>
      <right style="hair">
        <color indexed="8"/>
      </right>
      <top style="double">
        <color indexed="64"/>
      </top>
      <bottom style="medium">
        <color indexed="64"/>
      </bottom>
      <diagonal/>
    </border>
    <border>
      <left style="hair">
        <color indexed="8"/>
      </left>
      <right style="medium">
        <color indexed="64"/>
      </right>
      <top style="double">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auto="1"/>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top style="double">
        <color indexed="64"/>
      </top>
      <bottom style="double">
        <color indexed="64"/>
      </bottom>
      <diagonal/>
    </border>
    <border>
      <left style="thin">
        <color indexed="8"/>
      </left>
      <right style="hair">
        <color indexed="8"/>
      </right>
      <top style="thin">
        <color auto="1"/>
      </top>
      <bottom/>
      <diagonal/>
    </border>
    <border>
      <left style="medium">
        <color indexed="64"/>
      </left>
      <right/>
      <top style="hair">
        <color indexed="64"/>
      </top>
      <bottom style="hair">
        <color indexed="64"/>
      </bottom>
      <diagonal/>
    </border>
    <border>
      <left style="thin">
        <color indexed="8"/>
      </left>
      <right style="hair">
        <color indexed="8"/>
      </right>
      <top style="hair">
        <color indexed="64"/>
      </top>
      <bottom style="hair">
        <color indexed="64"/>
      </bottom>
      <diagonal/>
    </border>
    <border>
      <left/>
      <right/>
      <top/>
      <bottom style="thin">
        <color indexed="64"/>
      </bottom>
      <diagonal/>
    </border>
    <border>
      <left style="thin">
        <color indexed="8"/>
      </left>
      <right style="hair">
        <color indexed="8"/>
      </right>
      <top/>
      <bottom style="hair">
        <color indexed="8"/>
      </bottom>
      <diagonal/>
    </border>
    <border>
      <left style="thin">
        <color indexed="8"/>
      </left>
      <right style="hair">
        <color indexed="8"/>
      </right>
      <top style="double">
        <color indexed="64"/>
      </top>
      <bottom/>
      <diagonal/>
    </border>
    <border>
      <left style="hair">
        <color indexed="8"/>
      </left>
      <right style="hair">
        <color indexed="8"/>
      </right>
      <top style="double">
        <color indexed="64"/>
      </top>
      <bottom/>
      <diagonal/>
    </border>
    <border>
      <left style="medium">
        <color indexed="64"/>
      </left>
      <right/>
      <top style="medium">
        <color indexed="64"/>
      </top>
      <bottom style="double">
        <color indexed="64"/>
      </bottom>
      <diagonal/>
    </border>
    <border>
      <left style="thin">
        <color indexed="8"/>
      </left>
      <right style="hair">
        <color indexed="8"/>
      </right>
      <top style="medium">
        <color indexed="64"/>
      </top>
      <bottom style="double">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thin">
        <color indexed="8"/>
      </left>
      <right/>
      <top/>
      <bottom style="thin">
        <color indexed="8"/>
      </bottom>
      <diagonal/>
    </border>
    <border>
      <left style="thin">
        <color indexed="64"/>
      </left>
      <right style="thin">
        <color indexed="64"/>
      </right>
      <top style="thin">
        <color indexed="64"/>
      </top>
      <bottom style="thin">
        <color indexed="64"/>
      </bottom>
      <diagonal/>
    </border>
    <border>
      <left style="thin">
        <color indexed="64"/>
      </left>
      <right style="thin">
        <color indexed="8"/>
      </right>
      <top style="thin">
        <color indexed="64"/>
      </top>
      <bottom style="thin">
        <color indexed="8"/>
      </bottom>
      <diagonal/>
    </border>
    <border>
      <left/>
      <right/>
      <top style="thin">
        <color indexed="64"/>
      </top>
      <bottom/>
      <diagonal/>
    </border>
    <border>
      <left style="thin">
        <color indexed="64"/>
      </left>
      <right style="thin">
        <color indexed="8"/>
      </right>
      <top style="thin">
        <color indexed="8"/>
      </top>
      <bottom style="thin">
        <color indexed="64"/>
      </bottom>
      <diagonal/>
    </border>
    <border>
      <left/>
      <right style="medium">
        <color indexed="64"/>
      </right>
      <top style="medium">
        <color indexed="64"/>
      </top>
      <bottom style="thin">
        <color indexed="64"/>
      </bottom>
      <diagonal/>
    </border>
    <border>
      <left/>
      <right style="thin">
        <color indexed="64"/>
      </right>
      <top/>
      <bottom style="thin">
        <color indexed="64"/>
      </bottom>
      <diagonal/>
    </border>
    <border>
      <left style="hair">
        <color indexed="64"/>
      </left>
      <right style="hair">
        <color indexed="64"/>
      </right>
      <top style="thin">
        <color indexed="64"/>
      </top>
      <bottom style="thin">
        <color indexed="64"/>
      </bottom>
      <diagonal/>
    </border>
    <border>
      <left style="hair">
        <color auto="1"/>
      </left>
      <right/>
      <top style="medium">
        <color auto="1"/>
      </top>
      <bottom style="thin">
        <color auto="1"/>
      </bottom>
      <diagonal/>
    </border>
    <border>
      <left style="thin">
        <color indexed="64"/>
      </left>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style="medium">
        <color indexed="64"/>
      </left>
      <right/>
      <top style="hair">
        <color indexed="64"/>
      </top>
      <bottom style="double">
        <color indexed="64"/>
      </bottom>
      <diagonal/>
    </border>
    <border>
      <left style="medium">
        <color indexed="64"/>
      </left>
      <right/>
      <top style="thin">
        <color indexed="64"/>
      </top>
      <bottom style="hair">
        <color indexed="64"/>
      </bottom>
      <diagonal/>
    </border>
    <border>
      <left style="medium">
        <color indexed="64"/>
      </left>
      <right/>
      <top style="thin">
        <color indexed="64"/>
      </top>
      <bottom style="double">
        <color indexed="64"/>
      </bottom>
      <diagonal/>
    </border>
    <border>
      <left style="medium">
        <color indexed="64"/>
      </left>
      <right/>
      <top style="thin">
        <color indexed="64"/>
      </top>
      <bottom style="thin">
        <color auto="1"/>
      </bottom>
      <diagonal/>
    </border>
    <border>
      <left/>
      <right/>
      <top style="thin">
        <color indexed="64"/>
      </top>
      <bottom style="thin">
        <color auto="1"/>
      </bottom>
      <diagonal/>
    </border>
    <border>
      <left style="thin">
        <color indexed="8"/>
      </left>
      <right style="hair">
        <color indexed="8"/>
      </right>
      <top style="thin">
        <color auto="1"/>
      </top>
      <bottom style="medium">
        <color indexed="64"/>
      </bottom>
      <diagonal/>
    </border>
    <border>
      <left style="thin">
        <color indexed="8"/>
      </left>
      <right/>
      <top style="thin">
        <color auto="1"/>
      </top>
      <bottom style="hair">
        <color indexed="8"/>
      </bottom>
      <diagonal/>
    </border>
    <border>
      <left style="thin">
        <color indexed="8"/>
      </left>
      <right/>
      <top style="thin">
        <color auto="1"/>
      </top>
      <bottom style="medium">
        <color indexed="64"/>
      </bottom>
      <diagonal/>
    </border>
    <border>
      <left style="thin">
        <color indexed="64"/>
      </left>
      <right style="thin">
        <color indexed="64"/>
      </right>
      <top style="thin">
        <color auto="1"/>
      </top>
      <bottom style="medium">
        <color indexed="64"/>
      </bottom>
      <diagonal/>
    </border>
    <border>
      <left style="thin">
        <color indexed="64"/>
      </left>
      <right style="thin">
        <color indexed="64"/>
      </right>
      <top style="thin">
        <color auto="1"/>
      </top>
      <bottom style="hair">
        <color indexed="8"/>
      </bottom>
      <diagonal/>
    </border>
    <border>
      <left style="hair">
        <color indexed="8"/>
      </left>
      <right style="thin">
        <color indexed="64"/>
      </right>
      <top style="medium">
        <color indexed="64"/>
      </top>
      <bottom style="hair">
        <color indexed="8"/>
      </bottom>
      <diagonal/>
    </border>
    <border>
      <left style="hair">
        <color indexed="8"/>
      </left>
      <right style="thin">
        <color indexed="64"/>
      </right>
      <top style="thin">
        <color auto="1"/>
      </top>
      <bottom style="hair">
        <color indexed="8"/>
      </bottom>
      <diagonal/>
    </border>
    <border>
      <left/>
      <right style="thin">
        <color indexed="64"/>
      </right>
      <top style="thin">
        <color indexed="64"/>
      </top>
      <bottom style="medium">
        <color auto="1"/>
      </bottom>
      <diagonal/>
    </border>
    <border>
      <left/>
      <right/>
      <top style="thin">
        <color indexed="64"/>
      </top>
      <bottom style="medium">
        <color auto="1"/>
      </bottom>
      <diagonal/>
    </border>
    <border>
      <left style="thin">
        <color indexed="64"/>
      </left>
      <right/>
      <top style="thin">
        <color indexed="64"/>
      </top>
      <bottom style="medium">
        <color auto="1"/>
      </bottom>
      <diagonal/>
    </border>
    <border>
      <left/>
      <right style="thin">
        <color indexed="64"/>
      </right>
      <top style="thin">
        <color indexed="64"/>
      </top>
      <bottom style="thin">
        <color indexed="64"/>
      </bottom>
      <diagonal/>
    </border>
    <border>
      <left style="medium">
        <color indexed="64"/>
      </left>
      <right/>
      <top/>
      <bottom/>
      <diagonal/>
    </border>
    <border>
      <left style="thin">
        <color indexed="8"/>
      </left>
      <right style="hair">
        <color indexed="8"/>
      </right>
      <top/>
      <bottom/>
      <diagonal/>
    </border>
    <border>
      <left style="hair">
        <color indexed="8"/>
      </left>
      <right style="hair">
        <color indexed="8"/>
      </right>
      <top/>
      <bottom/>
      <diagonal/>
    </border>
    <border>
      <left style="hair">
        <color indexed="8"/>
      </left>
      <right/>
      <top/>
      <bottom/>
      <diagonal/>
    </border>
    <border>
      <left style="hair">
        <color indexed="8"/>
      </left>
      <right/>
      <top style="hair">
        <color indexed="8"/>
      </top>
      <bottom style="hair">
        <color indexed="8"/>
      </bottom>
      <diagonal/>
    </border>
    <border>
      <left style="hair">
        <color indexed="8"/>
      </left>
      <right/>
      <top style="hair">
        <color indexed="8"/>
      </top>
      <bottom/>
      <diagonal/>
    </border>
    <border>
      <left style="hair">
        <color indexed="8"/>
      </left>
      <right/>
      <top style="double">
        <color indexed="64"/>
      </top>
      <bottom style="hair">
        <color indexed="8"/>
      </bottom>
      <diagonal/>
    </border>
    <border>
      <left style="hair">
        <color indexed="8"/>
      </left>
      <right/>
      <top style="double">
        <color indexed="64"/>
      </top>
      <bottom style="medium">
        <color indexed="64"/>
      </bottom>
      <diagonal/>
    </border>
    <border>
      <left style="thin">
        <color indexed="64"/>
      </left>
      <right style="hair">
        <color indexed="8"/>
      </right>
      <top style="thin">
        <color indexed="64"/>
      </top>
      <bottom style="hair">
        <color indexed="8"/>
      </bottom>
      <diagonal/>
    </border>
    <border>
      <left style="thin">
        <color indexed="64"/>
      </left>
      <right style="hair">
        <color indexed="8"/>
      </right>
      <top style="hair">
        <color indexed="8"/>
      </top>
      <bottom style="hair">
        <color indexed="8"/>
      </bottom>
      <diagonal/>
    </border>
    <border>
      <left style="thin">
        <color indexed="64"/>
      </left>
      <right style="hair">
        <color indexed="8"/>
      </right>
      <top style="hair">
        <color indexed="8"/>
      </top>
      <bottom/>
      <diagonal/>
    </border>
    <border>
      <left style="thin">
        <color indexed="64"/>
      </left>
      <right style="hair">
        <color indexed="8"/>
      </right>
      <top style="double">
        <color indexed="64"/>
      </top>
      <bottom style="hair">
        <color indexed="8"/>
      </bottom>
      <diagonal/>
    </border>
    <border>
      <left style="thin">
        <color indexed="64"/>
      </left>
      <right style="hair">
        <color indexed="8"/>
      </right>
      <top style="double">
        <color indexed="64"/>
      </top>
      <bottom style="medium">
        <color indexed="64"/>
      </bottom>
      <diagonal/>
    </border>
    <border>
      <left style="thin">
        <color indexed="64"/>
      </left>
      <right style="hair">
        <color indexed="8"/>
      </right>
      <top style="hair">
        <color indexed="8"/>
      </top>
      <bottom style="thin">
        <color auto="1"/>
      </bottom>
      <diagonal/>
    </border>
    <border>
      <left style="hair">
        <color indexed="8"/>
      </left>
      <right style="thin">
        <color indexed="64"/>
      </right>
      <top style="hair">
        <color indexed="8"/>
      </top>
      <bottom style="hair">
        <color indexed="8"/>
      </bottom>
      <diagonal/>
    </border>
    <border>
      <left style="hair">
        <color indexed="8"/>
      </left>
      <right style="thin">
        <color indexed="64"/>
      </right>
      <top style="hair">
        <color indexed="8"/>
      </top>
      <bottom/>
      <diagonal/>
    </border>
    <border>
      <left style="thin">
        <color indexed="8"/>
      </left>
      <right style="thin">
        <color indexed="64"/>
      </right>
      <top style="thin">
        <color auto="1"/>
      </top>
      <bottom style="hair">
        <color indexed="8"/>
      </bottom>
      <diagonal/>
    </border>
    <border>
      <left style="thin">
        <color indexed="8"/>
      </left>
      <right style="thin">
        <color indexed="64"/>
      </right>
      <top style="thin">
        <color auto="1"/>
      </top>
      <bottom style="medium">
        <color indexed="64"/>
      </bottom>
      <diagonal/>
    </border>
    <border>
      <left style="medium">
        <color indexed="64"/>
      </left>
      <right/>
      <top style="medium">
        <color indexed="64"/>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style="thin">
        <color indexed="64"/>
      </bottom>
      <diagonal/>
    </border>
    <border>
      <left style="thin">
        <color indexed="64"/>
      </left>
      <right style="medium">
        <color indexed="64"/>
      </right>
      <top/>
      <bottom style="thin">
        <color indexed="64"/>
      </bottom>
      <diagonal/>
    </border>
    <border>
      <left style="thin">
        <color indexed="8"/>
      </left>
      <right/>
      <top style="thin">
        <color auto="1"/>
      </top>
      <bottom/>
      <diagonal/>
    </border>
    <border>
      <left style="thin">
        <color indexed="8"/>
      </left>
      <right/>
      <top style="hair">
        <color indexed="64"/>
      </top>
      <bottom style="hair">
        <color indexed="64"/>
      </bottom>
      <diagonal/>
    </border>
    <border>
      <left style="thin">
        <color indexed="8"/>
      </left>
      <right/>
      <top/>
      <bottom style="hair">
        <color indexed="8"/>
      </bottom>
      <diagonal/>
    </border>
    <border>
      <left style="thin">
        <color indexed="8"/>
      </left>
      <right/>
      <top style="double">
        <color indexed="64"/>
      </top>
      <bottom/>
      <diagonal/>
    </border>
    <border>
      <left style="thin">
        <color indexed="8"/>
      </left>
      <right/>
      <top style="medium">
        <color indexed="64"/>
      </top>
      <bottom style="double">
        <color indexed="64"/>
      </bottom>
      <diagonal/>
    </border>
    <border>
      <left style="thin">
        <color indexed="8"/>
      </left>
      <right/>
      <top style="double">
        <color indexed="64"/>
      </top>
      <bottom style="medium">
        <color indexed="64"/>
      </bottom>
      <diagonal/>
    </border>
    <border>
      <left style="hair">
        <color indexed="8"/>
      </left>
      <right/>
      <top style="double">
        <color indexed="64"/>
      </top>
      <bottom/>
      <diagonal/>
    </border>
    <border>
      <left style="medium">
        <color auto="1"/>
      </left>
      <right/>
      <top style="thin">
        <color auto="1"/>
      </top>
      <bottom style="hair">
        <color auto="1"/>
      </bottom>
      <diagonal/>
    </border>
    <border>
      <left/>
      <right style="thin">
        <color auto="1"/>
      </right>
      <top style="medium">
        <color auto="1"/>
      </top>
      <bottom style="thin">
        <color auto="1"/>
      </bottom>
      <diagonal/>
    </border>
    <border>
      <left style="hair">
        <color auto="1"/>
      </left>
      <right style="medium">
        <color auto="1"/>
      </right>
      <top style="thin">
        <color auto="1"/>
      </top>
      <bottom style="hair">
        <color auto="1"/>
      </bottom>
      <diagonal/>
    </border>
    <border>
      <left style="hair">
        <color auto="1"/>
      </left>
      <right style="medium">
        <color auto="1"/>
      </right>
      <top/>
      <bottom style="hair">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indexed="64"/>
      </left>
      <right/>
      <top style="thin">
        <color indexed="64"/>
      </top>
      <bottom style="thin">
        <color indexed="64"/>
      </bottom>
      <diagonal/>
    </border>
    <border>
      <left/>
      <right style="thin">
        <color auto="1"/>
      </right>
      <top style="thin">
        <color indexed="64"/>
      </top>
      <bottom style="thin">
        <color indexed="64"/>
      </bottom>
      <diagonal/>
    </border>
    <border>
      <left style="hair">
        <color auto="1"/>
      </left>
      <right style="hair">
        <color auto="1"/>
      </right>
      <top/>
      <bottom style="medium">
        <color auto="1"/>
      </bottom>
      <diagonal/>
    </border>
    <border>
      <left style="hair">
        <color auto="1"/>
      </left>
      <right style="medium">
        <color auto="1"/>
      </right>
      <top/>
      <bottom style="medium">
        <color auto="1"/>
      </bottom>
      <diagonal/>
    </border>
    <border>
      <left/>
      <right style="thin">
        <color auto="1"/>
      </right>
      <top style="double">
        <color indexed="64"/>
      </top>
      <bottom style="medium">
        <color indexed="64"/>
      </bottom>
      <diagonal/>
    </border>
    <border>
      <left/>
      <right style="hair">
        <color auto="1"/>
      </right>
      <top style="double">
        <color indexed="64"/>
      </top>
      <bottom style="medium">
        <color indexed="64"/>
      </bottom>
      <diagonal/>
    </border>
    <border>
      <left style="hair">
        <color auto="1"/>
      </left>
      <right style="medium">
        <color auto="1"/>
      </right>
      <top style="double">
        <color indexed="64"/>
      </top>
      <bottom style="medium">
        <color indexed="64"/>
      </bottom>
      <diagonal/>
    </border>
    <border>
      <left style="medium">
        <color indexed="64"/>
      </left>
      <right style="medium">
        <color indexed="64"/>
      </right>
      <top style="dashed">
        <color indexed="64"/>
      </top>
      <bottom style="dashed">
        <color indexed="64"/>
      </bottom>
      <diagonal/>
    </border>
    <border>
      <left style="medium">
        <color auto="1"/>
      </left>
      <right style="thin">
        <color auto="1"/>
      </right>
      <top style="medium">
        <color auto="1"/>
      </top>
      <bottom style="dashed">
        <color auto="1"/>
      </bottom>
      <diagonal/>
    </border>
    <border>
      <left style="thin">
        <color auto="1"/>
      </left>
      <right style="thin">
        <color auto="1"/>
      </right>
      <top style="medium">
        <color auto="1"/>
      </top>
      <bottom style="dashed">
        <color auto="1"/>
      </bottom>
      <diagonal/>
    </border>
    <border>
      <left style="thin">
        <color auto="1"/>
      </left>
      <right style="medium">
        <color auto="1"/>
      </right>
      <top style="medium">
        <color auto="1"/>
      </top>
      <bottom style="dashed">
        <color auto="1"/>
      </bottom>
      <diagonal/>
    </border>
    <border>
      <left style="medium">
        <color auto="1"/>
      </left>
      <right/>
      <top/>
      <bottom style="dashed">
        <color auto="1"/>
      </bottom>
      <diagonal/>
    </border>
    <border>
      <left style="thin">
        <color auto="1"/>
      </left>
      <right style="thin">
        <color auto="1"/>
      </right>
      <top/>
      <bottom style="dashed">
        <color auto="1"/>
      </bottom>
      <diagonal/>
    </border>
    <border>
      <left style="thin">
        <color auto="1"/>
      </left>
      <right style="medium">
        <color auto="1"/>
      </right>
      <top/>
      <bottom style="dashed">
        <color auto="1"/>
      </bottom>
      <diagonal/>
    </border>
    <border>
      <left style="hair">
        <color auto="1"/>
      </left>
      <right style="hair">
        <color auto="1"/>
      </right>
      <top style="thin">
        <color auto="1"/>
      </top>
      <bottom style="hair">
        <color auto="1"/>
      </bottom>
      <diagonal/>
    </border>
    <border>
      <left style="medium">
        <color indexed="64"/>
      </left>
      <right/>
      <top style="thin">
        <color indexed="64"/>
      </top>
      <bottom style="medium">
        <color indexed="64"/>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bottom style="medium">
        <color auto="1"/>
      </bottom>
      <diagonal/>
    </border>
    <border>
      <left/>
      <right/>
      <top style="medium">
        <color auto="1"/>
      </top>
      <bottom style="medium">
        <color auto="1"/>
      </bottom>
      <diagonal/>
    </border>
    <border>
      <left/>
      <right style="medium">
        <color auto="1"/>
      </right>
      <top/>
      <bottom/>
      <diagonal/>
    </border>
    <border>
      <left/>
      <right style="medium">
        <color auto="1"/>
      </right>
      <top style="medium">
        <color auto="1"/>
      </top>
      <bottom/>
      <diagonal/>
    </border>
    <border>
      <left style="medium">
        <color auto="1"/>
      </left>
      <right/>
      <top/>
      <bottom style="medium">
        <color auto="1"/>
      </bottom>
      <diagonal/>
    </border>
    <border>
      <left/>
      <right style="medium">
        <color auto="1"/>
      </right>
      <top/>
      <bottom style="medium">
        <color auto="1"/>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hair">
        <color rgb="FF000000"/>
      </bottom>
      <diagonal/>
    </border>
    <border>
      <left style="medium">
        <color indexed="64"/>
      </left>
      <right style="thin">
        <color indexed="64"/>
      </right>
      <top style="medium">
        <color indexed="64"/>
      </top>
      <bottom style="medium">
        <color indexed="64"/>
      </bottom>
      <diagonal/>
    </border>
    <border>
      <left/>
      <right style="thin">
        <color auto="1"/>
      </right>
      <top style="medium">
        <color indexed="64"/>
      </top>
      <bottom style="medium">
        <color indexed="64"/>
      </bottom>
      <diagonal/>
    </border>
    <border>
      <left/>
      <right style="thin">
        <color rgb="FF000000"/>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hair">
        <color auto="1"/>
      </left>
      <right/>
      <top style="hair">
        <color auto="1"/>
      </top>
      <bottom style="medium">
        <color indexed="64"/>
      </bottom>
      <diagonal/>
    </border>
    <border>
      <left/>
      <right/>
      <top style="medium">
        <color indexed="64"/>
      </top>
      <bottom style="hair">
        <color auto="1"/>
      </bottom>
      <diagonal/>
    </border>
    <border>
      <left/>
      <right style="medium">
        <color indexed="64"/>
      </right>
      <top style="medium">
        <color indexed="64"/>
      </top>
      <bottom style="hair">
        <color auto="1"/>
      </bottom>
      <diagonal/>
    </border>
    <border>
      <left/>
      <right style="medium">
        <color indexed="64"/>
      </right>
      <top style="hair">
        <color auto="1"/>
      </top>
      <bottom style="hair">
        <color auto="1"/>
      </bottom>
      <diagonal/>
    </border>
    <border>
      <left/>
      <right style="medium">
        <color indexed="64"/>
      </right>
      <top style="hair">
        <color auto="1"/>
      </top>
      <bottom style="medium">
        <color indexed="64"/>
      </bottom>
      <diagonal/>
    </border>
    <border>
      <left/>
      <right style="medium">
        <color indexed="64"/>
      </right>
      <top/>
      <bottom style="hair">
        <color auto="1"/>
      </bottom>
      <diagonal/>
    </border>
    <border>
      <left style="hair">
        <color auto="1"/>
      </left>
      <right/>
      <top style="medium">
        <color auto="1"/>
      </top>
      <bottom style="hair">
        <color auto="1"/>
      </bottom>
      <diagonal/>
    </border>
    <border>
      <left/>
      <right style="hair">
        <color auto="1"/>
      </right>
      <top style="medium">
        <color auto="1"/>
      </top>
      <bottom style="hair">
        <color auto="1"/>
      </bottom>
      <diagonal/>
    </border>
    <border>
      <left style="thin">
        <color rgb="FF000000"/>
      </left>
      <right/>
      <top style="thin">
        <color indexed="64"/>
      </top>
      <bottom style="thin">
        <color rgb="FF000000"/>
      </bottom>
      <diagonal/>
    </border>
    <border>
      <left/>
      <right style="thin">
        <color rgb="FF000000"/>
      </right>
      <top style="thin">
        <color indexed="64"/>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medium">
        <color indexed="64"/>
      </left>
      <right style="thin">
        <color indexed="64"/>
      </right>
      <top style="double">
        <color indexed="64"/>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thin">
        <color auto="1"/>
      </right>
      <top style="medium">
        <color auto="1"/>
      </top>
      <bottom style="hair">
        <color auto="1"/>
      </bottom>
      <diagonal/>
    </border>
    <border>
      <left style="thin">
        <color auto="1"/>
      </left>
      <right style="medium">
        <color auto="1"/>
      </right>
      <top style="medium">
        <color auto="1"/>
      </top>
      <bottom style="hair">
        <color auto="1"/>
      </bottom>
      <diagonal/>
    </border>
    <border>
      <left style="thin">
        <color auto="1"/>
      </left>
      <right style="thin">
        <color auto="1"/>
      </right>
      <top style="hair">
        <color auto="1"/>
      </top>
      <bottom style="hair">
        <color auto="1"/>
      </bottom>
      <diagonal/>
    </border>
    <border>
      <left style="thin">
        <color auto="1"/>
      </left>
      <right style="medium">
        <color auto="1"/>
      </right>
      <top style="hair">
        <color auto="1"/>
      </top>
      <bottom style="hair">
        <color auto="1"/>
      </bottom>
      <diagonal/>
    </border>
    <border>
      <left style="thin">
        <color auto="1"/>
      </left>
      <right style="thin">
        <color auto="1"/>
      </right>
      <top style="double">
        <color auto="1"/>
      </top>
      <bottom style="medium">
        <color auto="1"/>
      </bottom>
      <diagonal/>
    </border>
    <border>
      <left style="thin">
        <color auto="1"/>
      </left>
      <right/>
      <top style="double">
        <color auto="1"/>
      </top>
      <bottom style="medium">
        <color auto="1"/>
      </bottom>
      <diagonal/>
    </border>
    <border>
      <left/>
      <right style="thin">
        <color auto="1"/>
      </right>
      <top style="double">
        <color auto="1"/>
      </top>
      <bottom style="medium">
        <color auto="1"/>
      </bottom>
      <diagonal/>
    </border>
    <border>
      <left style="thin">
        <color auto="1"/>
      </left>
      <right style="medium">
        <color auto="1"/>
      </right>
      <top style="double">
        <color auto="1"/>
      </top>
      <bottom style="medium">
        <color auto="1"/>
      </bottom>
      <diagonal/>
    </border>
    <border>
      <left/>
      <right style="medium">
        <color auto="1"/>
      </right>
      <top style="double">
        <color auto="1"/>
      </top>
      <bottom style="medium">
        <color auto="1"/>
      </bottom>
      <diagonal/>
    </border>
    <border>
      <left style="thin">
        <color auto="1"/>
      </left>
      <right/>
      <top style="medium">
        <color auto="1"/>
      </top>
      <bottom style="medium">
        <color auto="1"/>
      </bottom>
      <diagonal/>
    </border>
    <border>
      <left style="thin">
        <color rgb="FF000000"/>
      </left>
      <right/>
      <top style="medium">
        <color auto="1"/>
      </top>
      <bottom style="medium">
        <color auto="1"/>
      </bottom>
      <diagonal/>
    </border>
    <border>
      <left style="thin">
        <color auto="1"/>
      </left>
      <right style="thin">
        <color auto="1"/>
      </right>
      <top style="hair">
        <color auto="1"/>
      </top>
      <bottom style="double">
        <color auto="1"/>
      </bottom>
      <diagonal/>
    </border>
    <border>
      <left style="thin">
        <color auto="1"/>
      </left>
      <right style="thin">
        <color auto="1"/>
      </right>
      <top/>
      <bottom style="hair">
        <color auto="1"/>
      </bottom>
      <diagonal/>
    </border>
    <border>
      <left style="thin">
        <color auto="1"/>
      </left>
      <right style="medium">
        <color auto="1"/>
      </right>
      <top/>
      <bottom style="hair">
        <color auto="1"/>
      </bottom>
      <diagonal/>
    </border>
    <border>
      <left style="thin">
        <color auto="1"/>
      </left>
      <right style="thin">
        <color auto="1"/>
      </right>
      <top style="hair">
        <color auto="1"/>
      </top>
      <bottom/>
      <diagonal/>
    </border>
    <border>
      <left style="thin">
        <color auto="1"/>
      </left>
      <right style="medium">
        <color auto="1"/>
      </right>
      <top style="hair">
        <color auto="1"/>
      </top>
      <bottom/>
      <diagonal/>
    </border>
    <border>
      <left/>
      <right/>
      <top style="double">
        <color auto="1"/>
      </top>
      <bottom style="medium">
        <color auto="1"/>
      </bottom>
      <diagonal/>
    </border>
    <border>
      <left style="medium">
        <color indexed="64"/>
      </left>
      <right/>
      <top style="medium">
        <color indexed="64"/>
      </top>
      <bottom style="hair">
        <color indexed="64"/>
      </bottom>
      <diagonal/>
    </border>
    <border>
      <left/>
      <right style="thin">
        <color auto="1"/>
      </right>
      <top style="medium">
        <color indexed="64"/>
      </top>
      <bottom style="hair">
        <color indexed="64"/>
      </bottom>
      <diagonal/>
    </border>
    <border>
      <left style="medium">
        <color indexed="64"/>
      </left>
      <right/>
      <top style="hair">
        <color indexed="64"/>
      </top>
      <bottom style="hair">
        <color indexed="64"/>
      </bottom>
      <diagonal/>
    </border>
    <border>
      <left/>
      <right style="thin">
        <color auto="1"/>
      </right>
      <top style="hair">
        <color indexed="64"/>
      </top>
      <bottom style="hair">
        <color indexed="64"/>
      </bottom>
      <diagonal/>
    </border>
    <border>
      <left style="medium">
        <color indexed="64"/>
      </left>
      <right/>
      <top style="hair">
        <color indexed="64"/>
      </top>
      <bottom/>
      <diagonal/>
    </border>
    <border>
      <left/>
      <right style="thin">
        <color auto="1"/>
      </right>
      <top style="hair">
        <color indexed="64"/>
      </top>
      <bottom/>
      <diagonal/>
    </border>
    <border>
      <left style="medium">
        <color indexed="64"/>
      </left>
      <right/>
      <top style="hair">
        <color indexed="64"/>
      </top>
      <bottom style="thin">
        <color indexed="64"/>
      </bottom>
      <diagonal/>
    </border>
    <border>
      <left/>
      <right style="medium">
        <color auto="1"/>
      </right>
      <top style="thin">
        <color indexed="64"/>
      </top>
      <bottom style="medium">
        <color auto="1"/>
      </bottom>
      <diagonal/>
    </border>
    <border>
      <left style="thin">
        <color auto="1"/>
      </left>
      <right/>
      <top/>
      <bottom style="hair">
        <color auto="1"/>
      </bottom>
      <diagonal/>
    </border>
    <border>
      <left style="thin">
        <color auto="1"/>
      </left>
      <right/>
      <top style="hair">
        <color auto="1"/>
      </top>
      <bottom style="hair">
        <color auto="1"/>
      </bottom>
      <diagonal/>
    </border>
    <border>
      <left style="thin">
        <color auto="1"/>
      </left>
      <right/>
      <top style="medium">
        <color auto="1"/>
      </top>
      <bottom style="hair">
        <color auto="1"/>
      </bottom>
      <diagonal/>
    </border>
    <border>
      <left/>
      <right style="medium">
        <color auto="1"/>
      </right>
      <top style="thin">
        <color indexed="64"/>
      </top>
      <bottom style="thin">
        <color auto="1"/>
      </bottom>
      <diagonal/>
    </border>
    <border>
      <left style="thin">
        <color auto="1"/>
      </left>
      <right/>
      <top style="hair">
        <color auto="1"/>
      </top>
      <bottom/>
      <diagonal/>
    </border>
    <border>
      <left/>
      <right style="medium">
        <color indexed="64"/>
      </right>
      <top style="hair">
        <color auto="1"/>
      </top>
      <bottom/>
      <diagonal/>
    </border>
    <border>
      <left style="medium">
        <color indexed="64"/>
      </left>
      <right/>
      <top/>
      <bottom style="hair">
        <color indexed="64"/>
      </bottom>
      <diagonal/>
    </border>
    <border>
      <left/>
      <right style="thin">
        <color auto="1"/>
      </right>
      <top/>
      <bottom style="hair">
        <color indexed="64"/>
      </bottom>
      <diagonal/>
    </border>
    <border>
      <left style="thin">
        <color auto="1"/>
      </left>
      <right/>
      <top style="thin">
        <color auto="1"/>
      </top>
      <bottom style="hair">
        <color auto="1"/>
      </bottom>
      <diagonal/>
    </border>
    <border>
      <left/>
      <right style="medium">
        <color auto="1"/>
      </right>
      <top style="thin">
        <color auto="1"/>
      </top>
      <bottom style="hair">
        <color auto="1"/>
      </bottom>
      <diagonal/>
    </border>
    <border>
      <left style="medium">
        <color indexed="64"/>
      </left>
      <right/>
      <top/>
      <bottom style="hair">
        <color indexed="64"/>
      </bottom>
      <diagonal/>
    </border>
    <border>
      <left/>
      <right/>
      <top/>
      <bottom style="hair">
        <color indexed="64"/>
      </bottom>
      <diagonal/>
    </border>
    <border>
      <left/>
      <right style="thin">
        <color auto="1"/>
      </right>
      <top/>
      <bottom style="hair">
        <color indexed="64"/>
      </bottom>
      <diagonal/>
    </border>
    <border>
      <left/>
      <right style="medium">
        <color indexed="64"/>
      </right>
      <top/>
      <bottom style="hair">
        <color auto="1"/>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medium">
        <color indexed="64"/>
      </left>
      <right style="thin">
        <color auto="1"/>
      </right>
      <top style="thin">
        <color indexed="64"/>
      </top>
      <bottom style="thin">
        <color indexed="64"/>
      </bottom>
      <diagonal/>
    </border>
    <border>
      <left/>
      <right/>
      <top style="hair">
        <color indexed="64"/>
      </top>
      <bottom style="thin">
        <color indexed="64"/>
      </bottom>
      <diagonal/>
    </border>
    <border>
      <left/>
      <right style="thin">
        <color auto="1"/>
      </right>
      <top style="hair">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thin">
        <color auto="1"/>
      </top>
      <bottom style="thin">
        <color auto="1"/>
      </bottom>
      <diagonal/>
    </border>
    <border>
      <left style="thin">
        <color indexed="64"/>
      </left>
      <right style="thin">
        <color indexed="64"/>
      </right>
      <top style="thin">
        <color auto="1"/>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medium">
        <color indexed="64"/>
      </right>
      <top style="hair">
        <color indexed="8"/>
      </top>
      <bottom style="hair">
        <color indexed="8"/>
      </bottom>
      <diagonal/>
    </border>
    <border>
      <left style="thin">
        <color indexed="64"/>
      </left>
      <right style="thin">
        <color indexed="64"/>
      </right>
      <top style="hair">
        <color indexed="8"/>
      </top>
      <bottom/>
      <diagonal/>
    </border>
    <border>
      <left style="thin">
        <color indexed="64"/>
      </left>
      <right style="medium">
        <color indexed="64"/>
      </right>
      <top style="hair">
        <color indexed="8"/>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hair">
        <color indexed="8"/>
      </top>
      <bottom style="double">
        <color indexed="64"/>
      </bottom>
      <diagonal/>
    </border>
    <border>
      <left style="thin">
        <color indexed="64"/>
      </left>
      <right style="medium">
        <color indexed="64"/>
      </right>
      <top style="hair">
        <color indexed="8"/>
      </top>
      <bottom style="double">
        <color indexed="64"/>
      </bottom>
      <diagonal/>
    </border>
    <border>
      <left style="thin">
        <color indexed="64"/>
      </left>
      <right style="medium">
        <color indexed="64"/>
      </right>
      <top/>
      <bottom style="medium">
        <color indexed="64"/>
      </bottom>
      <diagonal/>
    </border>
    <border>
      <left style="thin">
        <color auto="1"/>
      </left>
      <right style="hair">
        <color auto="1"/>
      </right>
      <top style="medium">
        <color indexed="64"/>
      </top>
      <bottom style="hair">
        <color auto="1"/>
      </bottom>
      <diagonal/>
    </border>
    <border>
      <left style="hair">
        <color auto="1"/>
      </left>
      <right style="hair">
        <color auto="1"/>
      </right>
      <top style="medium">
        <color indexed="64"/>
      </top>
      <bottom style="hair">
        <color auto="1"/>
      </bottom>
      <diagonal/>
    </border>
    <border>
      <left style="medium">
        <color indexed="64"/>
      </left>
      <right style="thin">
        <color indexed="64"/>
      </right>
      <top style="hair">
        <color auto="1"/>
      </top>
      <bottom style="hair">
        <color auto="1"/>
      </bottom>
      <diagonal/>
    </border>
    <border>
      <left style="medium">
        <color indexed="64"/>
      </left>
      <right style="thin">
        <color indexed="64"/>
      </right>
      <top style="hair">
        <color auto="1"/>
      </top>
      <bottom style="medium">
        <color indexed="64"/>
      </bottom>
      <diagonal/>
    </border>
    <border>
      <left style="thin">
        <color indexed="64"/>
      </left>
      <right style="thin">
        <color indexed="64"/>
      </right>
      <top style="hair">
        <color auto="1"/>
      </top>
      <bottom style="medium">
        <color indexed="64"/>
      </bottom>
      <diagonal/>
    </border>
    <border>
      <left style="thin">
        <color indexed="64"/>
      </left>
      <right style="medium">
        <color indexed="64"/>
      </right>
      <top style="hair">
        <color auto="1"/>
      </top>
      <bottom style="medium">
        <color indexed="64"/>
      </bottom>
      <diagonal/>
    </border>
    <border>
      <left style="medium">
        <color indexed="64"/>
      </left>
      <right style="thin">
        <color indexed="64"/>
      </right>
      <top/>
      <bottom style="hair">
        <color auto="1"/>
      </bottom>
      <diagonal/>
    </border>
    <border>
      <left style="thin">
        <color auto="1"/>
      </left>
      <right/>
      <top style="thin">
        <color auto="1"/>
      </top>
      <bottom/>
      <diagonal/>
    </border>
    <border>
      <left style="hair">
        <color auto="1"/>
      </left>
      <right style="hair">
        <color auto="1"/>
      </right>
      <top style="thin">
        <color auto="1"/>
      </top>
      <bottom style="hair">
        <color indexed="8"/>
      </bottom>
      <diagonal/>
    </border>
    <border>
      <left style="hair">
        <color auto="1"/>
      </left>
      <right style="medium">
        <color auto="1"/>
      </right>
      <top style="thin">
        <color auto="1"/>
      </top>
      <bottom style="hair">
        <color indexed="8"/>
      </bottom>
      <diagonal/>
    </border>
    <border>
      <left style="hair">
        <color auto="1"/>
      </left>
      <right style="hair">
        <color auto="1"/>
      </right>
      <top style="hair">
        <color indexed="8"/>
      </top>
      <bottom style="double">
        <color auto="1"/>
      </bottom>
      <diagonal/>
    </border>
    <border>
      <left style="medium">
        <color auto="1"/>
      </left>
      <right style="hair">
        <color auto="1"/>
      </right>
      <top style="thin">
        <color auto="1"/>
      </top>
      <bottom style="hair">
        <color auto="1"/>
      </bottom>
      <diagonal/>
    </border>
    <border>
      <left style="medium">
        <color auto="1"/>
      </left>
      <right style="hair">
        <color auto="1"/>
      </right>
      <top style="hair">
        <color auto="1"/>
      </top>
      <bottom style="double">
        <color auto="1"/>
      </bottom>
      <diagonal/>
    </border>
    <border>
      <left style="hair">
        <color auto="1"/>
      </left>
      <right style="medium">
        <color auto="1"/>
      </right>
      <top style="hair">
        <color indexed="8"/>
      </top>
      <bottom style="double">
        <color auto="1"/>
      </bottom>
      <diagonal/>
    </border>
    <border>
      <left style="hair">
        <color auto="1"/>
      </left>
      <right style="hair">
        <color auto="1"/>
      </right>
      <top style="thin">
        <color auto="1"/>
      </top>
      <bottom style="hair">
        <color auto="1"/>
      </bottom>
      <diagonal/>
    </border>
    <border>
      <left style="hair">
        <color auto="1"/>
      </left>
      <right style="medium">
        <color auto="1"/>
      </right>
      <top style="thin">
        <color auto="1"/>
      </top>
      <bottom style="hair">
        <color auto="1"/>
      </bottom>
      <diagonal/>
    </border>
    <border>
      <left style="thin">
        <color rgb="FF000000"/>
      </left>
      <right/>
      <top/>
      <bottom style="thin">
        <color rgb="FF000000"/>
      </bottom>
      <diagonal/>
    </border>
    <border>
      <left/>
      <right/>
      <top/>
      <bottom style="thin">
        <color rgb="FF000000"/>
      </bottom>
      <diagonal/>
    </border>
    <border>
      <left style="thin">
        <color rgb="FF000000"/>
      </left>
      <right/>
      <top/>
      <bottom style="thin">
        <color indexed="64"/>
      </bottom>
      <diagonal/>
    </border>
    <border>
      <left style="thin">
        <color rgb="FF000000"/>
      </left>
      <right/>
      <top style="hair">
        <color rgb="FF000000"/>
      </top>
      <bottom/>
      <diagonal/>
    </border>
    <border>
      <left style="thin">
        <color rgb="FF000000"/>
      </left>
      <right style="thin">
        <color rgb="FF000000"/>
      </right>
      <top style="thin">
        <color rgb="FF000000"/>
      </top>
      <bottom style="thin">
        <color indexed="64"/>
      </bottom>
      <diagonal/>
    </border>
    <border>
      <left style="thin">
        <color rgb="FF000000"/>
      </left>
      <right/>
      <top style="thin">
        <color rgb="FF000000"/>
      </top>
      <bottom style="thin">
        <color indexed="64"/>
      </bottom>
      <diagonal/>
    </border>
    <border>
      <left/>
      <right style="thin">
        <color rgb="FF000000"/>
      </right>
      <top style="thin">
        <color rgb="FF000000"/>
      </top>
      <bottom style="thin">
        <color indexed="64"/>
      </bottom>
      <diagonal/>
    </border>
    <border>
      <left style="hair">
        <color auto="1"/>
      </left>
      <right/>
      <top/>
      <bottom/>
      <diagonal/>
    </border>
    <border>
      <left style="hair">
        <color auto="1"/>
      </left>
      <right style="hair">
        <color auto="1"/>
      </right>
      <top style="hair">
        <color auto="1"/>
      </top>
      <bottom style="hair">
        <color auto="1"/>
      </bottom>
      <diagonal/>
    </border>
    <border>
      <left style="hair">
        <color auto="1"/>
      </left>
      <right style="medium">
        <color auto="1"/>
      </right>
      <top style="hair">
        <color auto="1"/>
      </top>
      <bottom style="hair">
        <color auto="1"/>
      </bottom>
      <diagonal/>
    </border>
    <border>
      <left style="hair">
        <color auto="1"/>
      </left>
      <right style="hair">
        <color auto="1"/>
      </right>
      <top/>
      <bottom/>
      <diagonal/>
    </border>
    <border>
      <left style="hair">
        <color auto="1"/>
      </left>
      <right style="medium">
        <color auto="1"/>
      </right>
      <top/>
      <bottom/>
      <diagonal/>
    </border>
    <border>
      <left style="thin">
        <color auto="1"/>
      </left>
      <right style="hair">
        <color auto="1"/>
      </right>
      <top style="thin">
        <color auto="1"/>
      </top>
      <bottom style="thin">
        <color auto="1"/>
      </bottom>
      <diagonal/>
    </border>
    <border>
      <left/>
      <right style="hair">
        <color auto="1"/>
      </right>
      <top style="hair">
        <color auto="1"/>
      </top>
      <bottom style="hair">
        <color auto="1"/>
      </bottom>
      <diagonal/>
    </border>
    <border>
      <left/>
      <right style="hair">
        <color auto="1"/>
      </right>
      <top/>
      <bottom/>
      <diagonal/>
    </border>
    <border>
      <left style="thin">
        <color indexed="64"/>
      </left>
      <right style="hair">
        <color indexed="64"/>
      </right>
      <top style="medium">
        <color indexed="64"/>
      </top>
      <bottom style="medium">
        <color indexed="64"/>
      </bottom>
      <diagonal/>
    </border>
    <border>
      <left style="thin">
        <color auto="1"/>
      </left>
      <right/>
      <top style="hair">
        <color auto="1"/>
      </top>
      <bottom style="hair">
        <color auto="1"/>
      </bottom>
      <diagonal/>
    </border>
    <border>
      <left/>
      <right style="medium">
        <color indexed="64"/>
      </right>
      <top style="hair">
        <color indexed="64"/>
      </top>
      <bottom style="hair">
        <color auto="1"/>
      </bottom>
      <diagonal/>
    </border>
    <border>
      <left style="thin">
        <color auto="1"/>
      </left>
      <right/>
      <top style="hair">
        <color indexed="64"/>
      </top>
      <bottom style="thin">
        <color indexed="64"/>
      </bottom>
      <diagonal/>
    </border>
    <border>
      <left/>
      <right style="medium">
        <color auto="1"/>
      </right>
      <top style="hair">
        <color indexed="64"/>
      </top>
      <bottom style="thin">
        <color indexed="64"/>
      </bottom>
      <diagonal/>
    </border>
    <border>
      <left style="thin">
        <color auto="1"/>
      </left>
      <right style="medium">
        <color auto="1"/>
      </right>
      <top style="hair">
        <color auto="1"/>
      </top>
      <bottom style="double">
        <color auto="1"/>
      </bottom>
      <diagonal/>
    </border>
    <border>
      <left style="thin">
        <color auto="1"/>
      </left>
      <right style="thin">
        <color auto="1"/>
      </right>
      <top style="hair">
        <color auto="1"/>
      </top>
      <bottom style="double">
        <color auto="1"/>
      </bottom>
      <diagonal/>
    </border>
    <border>
      <left style="thin">
        <color auto="1"/>
      </left>
      <right/>
      <top style="hair">
        <color auto="1"/>
      </top>
      <bottom style="medium">
        <color indexed="64"/>
      </bottom>
      <diagonal/>
    </border>
    <border>
      <left/>
      <right style="thin">
        <color auto="1"/>
      </right>
      <top style="hair">
        <color auto="1"/>
      </top>
      <bottom style="medium">
        <color indexed="64"/>
      </bottom>
      <diagonal/>
    </border>
    <border>
      <left style="hair">
        <color auto="1"/>
      </left>
      <right/>
      <top style="hair">
        <color auto="1"/>
      </top>
      <bottom style="hair">
        <color indexed="64"/>
      </bottom>
      <diagonal/>
    </border>
    <border>
      <left style="hair">
        <color auto="1"/>
      </left>
      <right style="medium">
        <color auto="1"/>
      </right>
      <top style="medium">
        <color indexed="64"/>
      </top>
      <bottom style="medium">
        <color indexed="64"/>
      </bottom>
      <diagonal/>
    </border>
    <border>
      <left style="medium">
        <color indexed="64"/>
      </left>
      <right style="hair">
        <color auto="1"/>
      </right>
      <top style="hair">
        <color indexed="64"/>
      </top>
      <bottom style="medium">
        <color indexed="64"/>
      </bottom>
      <diagonal/>
    </border>
    <border>
      <left style="hair">
        <color auto="1"/>
      </left>
      <right style="hair">
        <color auto="1"/>
      </right>
      <top style="hair">
        <color indexed="64"/>
      </top>
      <bottom/>
      <diagonal/>
    </border>
    <border>
      <left style="hair">
        <color auto="1"/>
      </left>
      <right style="hair">
        <color auto="1"/>
      </right>
      <top style="hair">
        <color indexed="64"/>
      </top>
      <bottom style="medium">
        <color indexed="64"/>
      </bottom>
      <diagonal/>
    </border>
    <border>
      <left style="hair">
        <color auto="1"/>
      </left>
      <right style="medium">
        <color auto="1"/>
      </right>
      <top style="hair">
        <color auto="1"/>
      </top>
      <bottom style="medium">
        <color indexed="64"/>
      </bottom>
      <diagonal/>
    </border>
    <border>
      <left style="thin">
        <color indexed="64"/>
      </left>
      <right style="hair">
        <color auto="1"/>
      </right>
      <top style="hair">
        <color auto="1"/>
      </top>
      <bottom style="medium">
        <color indexed="64"/>
      </bottom>
      <diagonal/>
    </border>
    <border>
      <left style="medium">
        <color indexed="64"/>
      </left>
      <right/>
      <top style="thin">
        <color indexed="64"/>
      </top>
      <bottom/>
      <diagonal/>
    </border>
    <border>
      <left/>
      <right style="thin">
        <color auto="1"/>
      </right>
      <top style="thin">
        <color indexed="64"/>
      </top>
      <bottom/>
      <diagonal/>
    </border>
    <border>
      <left style="hair">
        <color auto="1"/>
      </left>
      <right style="medium">
        <color auto="1"/>
      </right>
      <top style="hair">
        <color auto="1"/>
      </top>
      <bottom/>
      <diagonal/>
    </border>
    <border>
      <left/>
      <right/>
      <top/>
      <bottom style="thin">
        <color auto="1"/>
      </bottom>
      <diagonal/>
    </border>
    <border>
      <left style="thin">
        <color indexed="64"/>
      </left>
      <right style="hair">
        <color indexed="64"/>
      </right>
      <top style="double">
        <color indexed="64"/>
      </top>
      <bottom style="medium">
        <color indexed="64"/>
      </bottom>
      <diagonal/>
    </border>
    <border>
      <left style="medium">
        <color auto="1"/>
      </left>
      <right style="hair">
        <color auto="1"/>
      </right>
      <top/>
      <bottom style="hair">
        <color auto="1"/>
      </bottom>
      <diagonal/>
    </border>
    <border>
      <left style="medium">
        <color auto="1"/>
      </left>
      <right style="hair">
        <color auto="1"/>
      </right>
      <top style="hair">
        <color auto="1"/>
      </top>
      <bottom style="hair">
        <color auto="1"/>
      </bottom>
      <diagonal/>
    </border>
    <border>
      <left style="thin">
        <color indexed="64"/>
      </left>
      <right style="thin">
        <color indexed="64"/>
      </right>
      <top style="double">
        <color auto="1"/>
      </top>
      <bottom style="medium">
        <color auto="1"/>
      </bottom>
      <diagonal/>
    </border>
    <border>
      <left style="thin">
        <color indexed="64"/>
      </left>
      <right style="medium">
        <color auto="1"/>
      </right>
      <top style="double">
        <color auto="1"/>
      </top>
      <bottom style="medium">
        <color auto="1"/>
      </bottom>
      <diagonal/>
    </border>
    <border>
      <left style="medium">
        <color auto="1"/>
      </left>
      <right/>
      <top style="thin">
        <color rgb="FF000000"/>
      </top>
      <bottom style="hair">
        <color rgb="FF000000"/>
      </bottom>
      <diagonal/>
    </border>
    <border>
      <left style="hair">
        <color auto="1"/>
      </left>
      <right style="hair">
        <color auto="1"/>
      </right>
      <top style="hair">
        <color indexed="64"/>
      </top>
      <bottom style="double">
        <color auto="1"/>
      </bottom>
      <diagonal/>
    </border>
    <border>
      <left style="hair">
        <color auto="1"/>
      </left>
      <right style="medium">
        <color auto="1"/>
      </right>
      <top style="hair">
        <color auto="1"/>
      </top>
      <bottom style="double">
        <color auto="1"/>
      </bottom>
      <diagonal/>
    </border>
    <border>
      <left style="medium">
        <color auto="1"/>
      </left>
      <right/>
      <top/>
      <bottom style="hair">
        <color rgb="FF000000"/>
      </bottom>
      <diagonal/>
    </border>
    <border>
      <left style="medium">
        <color auto="1"/>
      </left>
      <right style="hair">
        <color auto="1"/>
      </right>
      <top style="medium">
        <color indexed="64"/>
      </top>
      <bottom style="medium">
        <color indexed="64"/>
      </bottom>
      <diagonal/>
    </border>
    <border>
      <left style="hair">
        <color auto="1"/>
      </left>
      <right style="hair">
        <color auto="1"/>
      </right>
      <top style="medium">
        <color indexed="64"/>
      </top>
      <bottom style="medium">
        <color indexed="64"/>
      </bottom>
      <diagonal/>
    </border>
    <border>
      <left style="hair">
        <color auto="1"/>
      </left>
      <right style="medium">
        <color auto="1"/>
      </right>
      <top style="hair">
        <color auto="1"/>
      </top>
      <bottom style="thin">
        <color auto="1"/>
      </bottom>
      <diagonal/>
    </border>
    <border>
      <left style="hair">
        <color auto="1"/>
      </left>
      <right style="medium">
        <color auto="1"/>
      </right>
      <top style="medium">
        <color indexed="64"/>
      </top>
      <bottom style="hair">
        <color auto="1"/>
      </bottom>
      <diagonal/>
    </border>
    <border>
      <left style="hair">
        <color auto="1"/>
      </left>
      <right style="medium">
        <color auto="1"/>
      </right>
      <top/>
      <bottom style="medium">
        <color auto="1"/>
      </bottom>
      <diagonal/>
    </border>
    <border>
      <left style="thin">
        <color auto="1"/>
      </left>
      <right style="medium">
        <color auto="1"/>
      </right>
      <top style="thin">
        <color auto="1"/>
      </top>
      <bottom style="thin">
        <color auto="1"/>
      </bottom>
      <diagonal/>
    </border>
    <border>
      <left style="medium">
        <color indexed="64"/>
      </left>
      <right style="hair">
        <color auto="1"/>
      </right>
      <top style="medium">
        <color indexed="64"/>
      </top>
      <bottom/>
      <diagonal/>
    </border>
    <border>
      <left style="hair">
        <color auto="1"/>
      </left>
      <right style="hair">
        <color auto="1"/>
      </right>
      <top style="medium">
        <color indexed="64"/>
      </top>
      <bottom/>
      <diagonal/>
    </border>
  </borders>
  <cellStyleXfs count="16225">
    <xf numFmtId="0" fontId="0" fillId="0" borderId="0"/>
    <xf numFmtId="168" fontId="12" fillId="0" borderId="0" applyFill="0" applyBorder="0" applyAlignment="0" applyProtection="0"/>
    <xf numFmtId="0" fontId="8" fillId="0" borderId="0"/>
    <xf numFmtId="9" fontId="8" fillId="0" borderId="0" applyFont="0" applyFill="0" applyBorder="0" applyAlignment="0" applyProtection="0"/>
    <xf numFmtId="0" fontId="23" fillId="3" borderId="0" applyNumberFormat="0" applyBorder="0" applyAlignment="0" applyProtection="0"/>
    <xf numFmtId="0" fontId="23" fillId="4" borderId="0" applyNumberFormat="0" applyBorder="0" applyAlignment="0" applyProtection="0"/>
    <xf numFmtId="0" fontId="23" fillId="5" borderId="0" applyNumberFormat="0" applyBorder="0" applyAlignment="0" applyProtection="0"/>
    <xf numFmtId="0" fontId="23" fillId="6" borderId="0" applyNumberFormat="0" applyBorder="0" applyAlignment="0" applyProtection="0"/>
    <xf numFmtId="0" fontId="23" fillId="7" borderId="0" applyNumberFormat="0" applyBorder="0" applyAlignment="0" applyProtection="0"/>
    <xf numFmtId="0" fontId="23" fillId="8" borderId="0" applyNumberFormat="0" applyBorder="0" applyAlignment="0" applyProtection="0"/>
    <xf numFmtId="0" fontId="23" fillId="9" borderId="0" applyNumberFormat="0" applyBorder="0" applyAlignment="0" applyProtection="0"/>
    <xf numFmtId="0" fontId="23" fillId="10" borderId="0" applyNumberFormat="0" applyBorder="0" applyAlignment="0" applyProtection="0"/>
    <xf numFmtId="0" fontId="23" fillId="11" borderId="0" applyNumberFormat="0" applyBorder="0" applyAlignment="0" applyProtection="0"/>
    <xf numFmtId="0" fontId="23" fillId="6" borderId="0" applyNumberFormat="0" applyBorder="0" applyAlignment="0" applyProtection="0"/>
    <xf numFmtId="0" fontId="23" fillId="9" borderId="0" applyNumberFormat="0" applyBorder="0" applyAlignment="0" applyProtection="0"/>
    <xf numFmtId="0" fontId="23" fillId="12" borderId="0" applyNumberFormat="0" applyBorder="0" applyAlignment="0" applyProtection="0"/>
    <xf numFmtId="0" fontId="24" fillId="13" borderId="0" applyNumberFormat="0" applyBorder="0" applyAlignment="0" applyProtection="0"/>
    <xf numFmtId="0" fontId="24" fillId="10" borderId="0" applyNumberFormat="0" applyBorder="0" applyAlignment="0" applyProtection="0"/>
    <xf numFmtId="0" fontId="24" fillId="11" borderId="0" applyNumberFormat="0" applyBorder="0" applyAlignment="0" applyProtection="0"/>
    <xf numFmtId="0" fontId="24" fillId="14" borderId="0" applyNumberFormat="0" applyBorder="0" applyAlignment="0" applyProtection="0"/>
    <xf numFmtId="0" fontId="24" fillId="15" borderId="0" applyNumberFormat="0" applyBorder="0" applyAlignment="0" applyProtection="0"/>
    <xf numFmtId="0" fontId="24" fillId="16" borderId="0" applyNumberFormat="0" applyBorder="0" applyAlignment="0" applyProtection="0"/>
    <xf numFmtId="0" fontId="24" fillId="17" borderId="0" applyNumberFormat="0" applyBorder="0" applyAlignment="0" applyProtection="0"/>
    <xf numFmtId="0" fontId="24" fillId="18" borderId="0" applyNumberFormat="0" applyBorder="0" applyAlignment="0" applyProtection="0"/>
    <xf numFmtId="0" fontId="24" fillId="19" borderId="0" applyNumberFormat="0" applyBorder="0" applyAlignment="0" applyProtection="0"/>
    <xf numFmtId="0" fontId="24" fillId="14" borderId="0" applyNumberFormat="0" applyBorder="0" applyAlignment="0" applyProtection="0"/>
    <xf numFmtId="0" fontId="24" fillId="15" borderId="0" applyNumberFormat="0" applyBorder="0" applyAlignment="0" applyProtection="0"/>
    <xf numFmtId="0" fontId="24" fillId="20" borderId="0" applyNumberFormat="0" applyBorder="0" applyAlignment="0" applyProtection="0"/>
    <xf numFmtId="0" fontId="25" fillId="21" borderId="90" applyNumberFormat="0" applyAlignment="0" applyProtection="0"/>
    <xf numFmtId="0" fontId="26" fillId="21" borderId="91" applyNumberFormat="0" applyAlignment="0" applyProtection="0"/>
    <xf numFmtId="165" fontId="12" fillId="0" borderId="0" applyFont="0" applyFill="0" applyBorder="0" applyAlignment="0" applyProtection="0"/>
    <xf numFmtId="165" fontId="12" fillId="0" borderId="0" applyFont="0" applyFill="0" applyBorder="0" applyAlignment="0" applyProtection="0"/>
    <xf numFmtId="165" fontId="27"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7"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7" fillId="0" borderId="0" applyFont="0" applyFill="0" applyBorder="0" applyAlignment="0" applyProtection="0"/>
    <xf numFmtId="165" fontId="12" fillId="0" borderId="0" applyFont="0" applyFill="0" applyBorder="0" applyAlignment="0" applyProtection="0"/>
    <xf numFmtId="165" fontId="27"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7"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7"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7"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71" fontId="12" fillId="0" borderId="0" applyFont="0" applyFill="0" applyBorder="0" applyAlignment="0" applyProtection="0"/>
    <xf numFmtId="165" fontId="27" fillId="0" borderId="0" applyFont="0" applyFill="0" applyBorder="0" applyAlignment="0" applyProtection="0"/>
    <xf numFmtId="165" fontId="12"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7" fillId="0" borderId="0" applyFont="0" applyFill="0" applyBorder="0" applyAlignment="0" applyProtection="0"/>
    <xf numFmtId="165" fontId="12"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72" fontId="12" fillId="0" borderId="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72" fontId="12" fillId="0" borderId="0" applyFill="0" applyBorder="0" applyAlignment="0" applyProtection="0"/>
    <xf numFmtId="172" fontId="12" fillId="0" borderId="0" applyFill="0" applyBorder="0" applyAlignment="0" applyProtection="0"/>
    <xf numFmtId="165" fontId="12" fillId="0" borderId="0" applyFont="0" applyFill="0" applyBorder="0" applyAlignment="0" applyProtection="0"/>
    <xf numFmtId="172" fontId="12" fillId="0" borderId="0" applyFill="0" applyBorder="0" applyAlignment="0" applyProtection="0"/>
    <xf numFmtId="172" fontId="12" fillId="0" borderId="0" applyFill="0" applyBorder="0" applyAlignment="0" applyProtection="0"/>
    <xf numFmtId="172" fontId="12" fillId="0" borderId="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71"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72" fontId="12" fillId="0" borderId="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72" fontId="12" fillId="0" borderId="0" applyFill="0" applyBorder="0" applyAlignment="0" applyProtection="0"/>
    <xf numFmtId="165" fontId="12"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71"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71"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71"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71"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7"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7"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7"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7"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7"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7"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71"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71"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71"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71" fontId="12"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71" fontId="12" fillId="0" borderId="0" applyFont="0" applyFill="0" applyBorder="0" applyAlignment="0" applyProtection="0"/>
    <xf numFmtId="165" fontId="12" fillId="0" borderId="0" applyFont="0" applyFill="0" applyBorder="0" applyAlignment="0" applyProtection="0"/>
    <xf numFmtId="171" fontId="12" fillId="0" borderId="0" applyFont="0" applyFill="0" applyBorder="0" applyAlignment="0" applyProtection="0"/>
    <xf numFmtId="171"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71"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71"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71"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71" fontId="12" fillId="0" borderId="0" applyFont="0" applyFill="0" applyBorder="0" applyAlignment="0" applyProtection="0"/>
    <xf numFmtId="165" fontId="12" fillId="0" borderId="0" applyFont="0" applyFill="0" applyBorder="0" applyAlignment="0" applyProtection="0"/>
    <xf numFmtId="171" fontId="12" fillId="0" borderId="0" applyFont="0" applyFill="0" applyBorder="0" applyAlignment="0" applyProtection="0"/>
    <xf numFmtId="171" fontId="12" fillId="0" borderId="0" applyFont="0" applyFill="0" applyBorder="0" applyAlignment="0" applyProtection="0"/>
    <xf numFmtId="165" fontId="12"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71"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71" fontId="12" fillId="0" borderId="0" applyFont="0" applyFill="0" applyBorder="0" applyAlignment="0" applyProtection="0"/>
    <xf numFmtId="165" fontId="12" fillId="0" borderId="0" applyFont="0" applyFill="0" applyBorder="0" applyAlignment="0" applyProtection="0"/>
    <xf numFmtId="171" fontId="12" fillId="0" borderId="0" applyFont="0" applyFill="0" applyBorder="0" applyAlignment="0" applyProtection="0"/>
    <xf numFmtId="171"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71" fontId="12" fillId="0" borderId="0" applyFont="0" applyFill="0" applyBorder="0" applyAlignment="0" applyProtection="0"/>
    <xf numFmtId="165" fontId="12" fillId="0" borderId="0" applyFont="0" applyFill="0" applyBorder="0" applyAlignment="0" applyProtection="0"/>
    <xf numFmtId="171" fontId="12" fillId="0" borderId="0" applyFont="0" applyFill="0" applyBorder="0" applyAlignment="0" applyProtection="0"/>
    <xf numFmtId="171"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71"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71" fontId="12" fillId="0" borderId="0" applyFont="0" applyFill="0" applyBorder="0" applyAlignment="0" applyProtection="0"/>
    <xf numFmtId="165" fontId="12" fillId="0" borderId="0" applyFont="0" applyFill="0" applyBorder="0" applyAlignment="0" applyProtection="0"/>
    <xf numFmtId="171" fontId="12" fillId="0" borderId="0" applyFont="0" applyFill="0" applyBorder="0" applyAlignment="0" applyProtection="0"/>
    <xf numFmtId="171"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71"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71"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71"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12"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71" fontId="12" fillId="0" borderId="0" applyFont="0" applyFill="0" applyBorder="0" applyAlignment="0" applyProtection="0"/>
    <xf numFmtId="165" fontId="28" fillId="0" borderId="0" applyFont="0" applyFill="0" applyBorder="0" applyAlignment="0" applyProtection="0"/>
    <xf numFmtId="172" fontId="12" fillId="0" borderId="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72" fontId="12" fillId="0" borderId="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2" fillId="0" borderId="0" applyFont="0" applyFill="0" applyBorder="0" applyAlignment="0" applyProtection="0"/>
    <xf numFmtId="171" fontId="12" fillId="0" borderId="0" applyFont="0" applyFill="0" applyBorder="0" applyAlignment="0" applyProtection="0"/>
    <xf numFmtId="165" fontId="7"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71" fontId="12" fillId="0" borderId="0" applyFont="0" applyFill="0" applyBorder="0" applyAlignment="0" applyProtection="0"/>
    <xf numFmtId="165" fontId="12" fillId="0" borderId="0" applyFont="0" applyFill="0" applyBorder="0" applyAlignment="0" applyProtection="0"/>
    <xf numFmtId="171"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71"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71"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72" fontId="12" fillId="0" borderId="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72" fontId="12" fillId="0" borderId="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71"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72" fontId="12" fillId="0" borderId="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72" fontId="12" fillId="0" borderId="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71" fontId="12" fillId="0" borderId="0" applyFont="0" applyFill="0" applyBorder="0" applyAlignment="0" applyProtection="0"/>
    <xf numFmtId="165" fontId="12" fillId="0" borderId="0" applyFont="0" applyFill="0" applyBorder="0" applyAlignment="0" applyProtection="0"/>
    <xf numFmtId="171" fontId="12" fillId="0" borderId="0" applyFont="0" applyFill="0" applyBorder="0" applyAlignment="0" applyProtection="0"/>
    <xf numFmtId="165" fontId="12" fillId="0" borderId="0" applyFont="0" applyFill="0" applyBorder="0" applyAlignment="0" applyProtection="0"/>
    <xf numFmtId="171" fontId="12" fillId="0" borderId="0" applyFont="0" applyFill="0" applyBorder="0" applyAlignment="0" applyProtection="0"/>
    <xf numFmtId="171" fontId="12" fillId="0" borderId="0" applyFont="0" applyFill="0" applyBorder="0" applyAlignment="0" applyProtection="0"/>
    <xf numFmtId="165" fontId="12" fillId="0" borderId="0" applyFont="0" applyFill="0" applyBorder="0" applyAlignment="0" applyProtection="0"/>
    <xf numFmtId="171" fontId="12" fillId="0" borderId="0" applyFont="0" applyFill="0" applyBorder="0" applyAlignment="0" applyProtection="0"/>
    <xf numFmtId="165" fontId="12" fillId="0" borderId="0" applyFont="0" applyFill="0" applyBorder="0" applyAlignment="0" applyProtection="0"/>
    <xf numFmtId="171" fontId="12" fillId="0" borderId="0" applyFont="0" applyFill="0" applyBorder="0" applyAlignment="0" applyProtection="0"/>
    <xf numFmtId="165" fontId="28" fillId="0" borderId="0" applyFont="0" applyFill="0" applyBorder="0" applyAlignment="0" applyProtection="0"/>
    <xf numFmtId="171"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71" fontId="12" fillId="0" borderId="0" applyFont="0" applyFill="0" applyBorder="0" applyAlignment="0" applyProtection="0"/>
    <xf numFmtId="0" fontId="27" fillId="0" borderId="0"/>
    <xf numFmtId="165" fontId="28" fillId="0" borderId="0" applyFont="0" applyFill="0" applyBorder="0" applyAlignment="0" applyProtection="0"/>
    <xf numFmtId="0" fontId="27" fillId="0" borderId="0"/>
    <xf numFmtId="0" fontId="27" fillId="0" borderId="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7" fillId="0" borderId="0" applyFont="0" applyFill="0" applyBorder="0" applyAlignment="0" applyProtection="0"/>
    <xf numFmtId="0" fontId="27" fillId="0" borderId="0"/>
    <xf numFmtId="165" fontId="7" fillId="0" borderId="0" applyFont="0" applyFill="0" applyBorder="0" applyAlignment="0" applyProtection="0"/>
    <xf numFmtId="165" fontId="28" fillId="0" borderId="0" applyFont="0" applyFill="0" applyBorder="0" applyAlignment="0" applyProtection="0"/>
    <xf numFmtId="0" fontId="27" fillId="0" borderId="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71" fontId="12" fillId="0" borderId="0" applyFont="0" applyFill="0" applyBorder="0" applyAlignment="0" applyProtection="0"/>
    <xf numFmtId="165" fontId="12" fillId="0" borderId="0" applyFont="0" applyFill="0" applyBorder="0" applyAlignment="0" applyProtection="0"/>
    <xf numFmtId="171" fontId="12" fillId="0" borderId="0" applyFont="0" applyFill="0" applyBorder="0" applyAlignment="0" applyProtection="0"/>
    <xf numFmtId="0" fontId="27" fillId="0" borderId="0"/>
    <xf numFmtId="0" fontId="27" fillId="0" borderId="0"/>
    <xf numFmtId="165" fontId="28" fillId="0" borderId="0" applyFont="0" applyFill="0" applyBorder="0" applyAlignment="0" applyProtection="0"/>
    <xf numFmtId="0" fontId="27" fillId="0" borderId="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7" fillId="0" borderId="0" applyFont="0" applyFill="0" applyBorder="0" applyAlignment="0" applyProtection="0"/>
    <xf numFmtId="0" fontId="27" fillId="0" borderId="0"/>
    <xf numFmtId="165" fontId="7" fillId="0" borderId="0" applyFont="0" applyFill="0" applyBorder="0" applyAlignment="0" applyProtection="0"/>
    <xf numFmtId="165" fontId="28" fillId="0" borderId="0" applyFont="0" applyFill="0" applyBorder="0" applyAlignment="0" applyProtection="0"/>
    <xf numFmtId="0" fontId="27" fillId="0" borderId="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71" fontId="12" fillId="0" borderId="0" applyFont="0" applyFill="0" applyBorder="0" applyAlignment="0" applyProtection="0"/>
    <xf numFmtId="165" fontId="28" fillId="0" borderId="0" applyFont="0" applyFill="0" applyBorder="0" applyAlignment="0" applyProtection="0"/>
    <xf numFmtId="0" fontId="27" fillId="0" borderId="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7" fillId="0" borderId="0" applyFont="0" applyFill="0" applyBorder="0" applyAlignment="0" applyProtection="0"/>
    <xf numFmtId="0" fontId="27" fillId="0" borderId="0"/>
    <xf numFmtId="165" fontId="7" fillId="0" borderId="0" applyFont="0" applyFill="0" applyBorder="0" applyAlignment="0" applyProtection="0"/>
    <xf numFmtId="165" fontId="28" fillId="0" borderId="0" applyFont="0" applyFill="0" applyBorder="0" applyAlignment="0" applyProtection="0"/>
    <xf numFmtId="0" fontId="27" fillId="0" borderId="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7" fillId="0" borderId="0" applyFont="0" applyFill="0" applyBorder="0" applyAlignment="0" applyProtection="0"/>
    <xf numFmtId="0" fontId="27" fillId="0" borderId="0"/>
    <xf numFmtId="165" fontId="7" fillId="0" borderId="0" applyFont="0" applyFill="0" applyBorder="0" applyAlignment="0" applyProtection="0"/>
    <xf numFmtId="165" fontId="28" fillId="0" borderId="0" applyFont="0" applyFill="0" applyBorder="0" applyAlignment="0" applyProtection="0"/>
    <xf numFmtId="0" fontId="27" fillId="0" borderId="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12" fillId="0" borderId="0" applyFont="0" applyFill="0" applyBorder="0" applyAlignment="0" applyProtection="0"/>
    <xf numFmtId="0" fontId="27" fillId="0" borderId="0"/>
    <xf numFmtId="165" fontId="12" fillId="0" borderId="0" applyFont="0" applyFill="0" applyBorder="0" applyAlignment="0" applyProtection="0"/>
    <xf numFmtId="0" fontId="27" fillId="0" borderId="0"/>
    <xf numFmtId="165" fontId="12" fillId="0" borderId="0" applyFont="0" applyFill="0" applyBorder="0" applyAlignment="0" applyProtection="0"/>
    <xf numFmtId="0" fontId="27" fillId="0" borderId="0"/>
    <xf numFmtId="165" fontId="12" fillId="0" borderId="0" applyFont="0" applyFill="0" applyBorder="0" applyAlignment="0" applyProtection="0"/>
    <xf numFmtId="0" fontId="27" fillId="0" borderId="0"/>
    <xf numFmtId="165" fontId="12" fillId="0" borderId="0" applyFont="0" applyFill="0" applyBorder="0" applyAlignment="0" applyProtection="0"/>
    <xf numFmtId="0" fontId="27" fillId="0" borderId="0"/>
    <xf numFmtId="165" fontId="12" fillId="0" borderId="0" applyFont="0" applyFill="0" applyBorder="0" applyAlignment="0" applyProtection="0"/>
    <xf numFmtId="0" fontId="27" fillId="0" borderId="0"/>
    <xf numFmtId="165" fontId="12" fillId="0" borderId="0" applyFont="0" applyFill="0" applyBorder="0" applyAlignment="0" applyProtection="0"/>
    <xf numFmtId="0" fontId="27" fillId="0" borderId="0"/>
    <xf numFmtId="165" fontId="7" fillId="0" borderId="0" applyFont="0" applyFill="0" applyBorder="0" applyAlignment="0" applyProtection="0"/>
    <xf numFmtId="165" fontId="7" fillId="0" borderId="0" applyFont="0" applyFill="0" applyBorder="0" applyAlignment="0" applyProtection="0"/>
    <xf numFmtId="165" fontId="12" fillId="0" borderId="0" applyFont="0" applyFill="0" applyBorder="0" applyAlignment="0" applyProtection="0"/>
    <xf numFmtId="172" fontId="12" fillId="0" borderId="0" applyFill="0" applyBorder="0" applyAlignment="0" applyProtection="0"/>
    <xf numFmtId="165" fontId="12" fillId="0" borderId="0" applyFont="0" applyFill="0" applyBorder="0" applyAlignment="0" applyProtection="0"/>
    <xf numFmtId="171" fontId="12" fillId="0" borderId="0" applyFont="0" applyFill="0" applyBorder="0" applyAlignment="0" applyProtection="0"/>
    <xf numFmtId="0" fontId="27" fillId="0" borderId="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72" fontId="12" fillId="0" borderId="0" applyFill="0" applyBorder="0" applyAlignment="0" applyProtection="0"/>
    <xf numFmtId="165" fontId="12"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7" fillId="0" borderId="0" applyFont="0" applyFill="0" applyBorder="0" applyAlignment="0" applyProtection="0"/>
    <xf numFmtId="0" fontId="27" fillId="0" borderId="0"/>
    <xf numFmtId="165" fontId="7" fillId="0" borderId="0" applyFont="0" applyFill="0" applyBorder="0" applyAlignment="0" applyProtection="0"/>
    <xf numFmtId="165" fontId="28" fillId="0" borderId="0" applyFont="0" applyFill="0" applyBorder="0" applyAlignment="0" applyProtection="0"/>
    <xf numFmtId="0" fontId="27" fillId="0" borderId="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71" fontId="12" fillId="0" borderId="0" applyFont="0" applyFill="0" applyBorder="0" applyAlignment="0" applyProtection="0"/>
    <xf numFmtId="0" fontId="27" fillId="0" borderId="0"/>
    <xf numFmtId="165" fontId="12" fillId="0" borderId="0" applyFont="0" applyFill="0" applyBorder="0" applyAlignment="0" applyProtection="0"/>
    <xf numFmtId="165" fontId="12" fillId="0" borderId="0" applyFont="0" applyFill="0" applyBorder="0" applyAlignment="0" applyProtection="0"/>
    <xf numFmtId="171" fontId="12" fillId="0" borderId="0" applyFont="0" applyFill="0" applyBorder="0" applyAlignment="0" applyProtection="0"/>
    <xf numFmtId="165" fontId="12" fillId="0" borderId="0" applyFont="0" applyFill="0" applyBorder="0" applyAlignment="0" applyProtection="0"/>
    <xf numFmtId="171" fontId="12" fillId="0" borderId="0" applyFont="0" applyFill="0" applyBorder="0" applyAlignment="0" applyProtection="0"/>
    <xf numFmtId="165" fontId="12" fillId="0" borderId="0" applyFont="0" applyFill="0" applyBorder="0" applyAlignment="0" applyProtection="0"/>
    <xf numFmtId="0" fontId="27" fillId="0" borderId="0"/>
    <xf numFmtId="0" fontId="27" fillId="0" borderId="0"/>
    <xf numFmtId="0" fontId="27" fillId="0" borderId="0"/>
    <xf numFmtId="0" fontId="27" fillId="0" borderId="0"/>
    <xf numFmtId="165" fontId="12" fillId="0" borderId="0" applyFont="0" applyFill="0" applyBorder="0" applyAlignment="0" applyProtection="0"/>
    <xf numFmtId="0" fontId="27" fillId="0" borderId="0"/>
    <xf numFmtId="0" fontId="27" fillId="0" borderId="0"/>
    <xf numFmtId="171" fontId="12" fillId="0" borderId="0" applyFont="0" applyFill="0" applyBorder="0" applyAlignment="0" applyProtection="0"/>
    <xf numFmtId="165" fontId="12" fillId="0" borderId="0" applyFont="0" applyFill="0" applyBorder="0" applyAlignment="0" applyProtection="0"/>
    <xf numFmtId="0" fontId="27" fillId="0" borderId="0"/>
    <xf numFmtId="0" fontId="27" fillId="0" borderId="0"/>
    <xf numFmtId="165" fontId="12" fillId="0" borderId="0" applyFont="0" applyFill="0" applyBorder="0" applyAlignment="0" applyProtection="0"/>
    <xf numFmtId="165" fontId="12" fillId="0" borderId="0" applyFont="0" applyFill="0" applyBorder="0" applyAlignment="0" applyProtection="0"/>
    <xf numFmtId="171" fontId="12" fillId="0" borderId="0" applyFont="0" applyFill="0" applyBorder="0" applyAlignment="0" applyProtection="0"/>
    <xf numFmtId="165" fontId="12" fillId="0" borderId="0" applyFont="0" applyFill="0" applyBorder="0" applyAlignment="0" applyProtection="0"/>
    <xf numFmtId="0" fontId="27" fillId="0" borderId="0"/>
    <xf numFmtId="0" fontId="27" fillId="0" borderId="0"/>
    <xf numFmtId="0" fontId="27" fillId="0" borderId="0"/>
    <xf numFmtId="165" fontId="12" fillId="0" borderId="0" applyFont="0" applyFill="0" applyBorder="0" applyAlignment="0" applyProtection="0"/>
    <xf numFmtId="165" fontId="12" fillId="0" borderId="0" applyFont="0" applyFill="0" applyBorder="0" applyAlignment="0" applyProtection="0"/>
    <xf numFmtId="0" fontId="27" fillId="0" borderId="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72" fontId="12" fillId="0" borderId="0" applyFill="0" applyBorder="0" applyAlignment="0" applyProtection="0"/>
    <xf numFmtId="172" fontId="12" fillId="0" borderId="0" applyFill="0" applyBorder="0" applyAlignment="0" applyProtection="0"/>
    <xf numFmtId="165" fontId="12" fillId="0" borderId="0" applyFont="0" applyFill="0" applyBorder="0" applyAlignment="0" applyProtection="0"/>
    <xf numFmtId="0" fontId="27" fillId="0" borderId="0"/>
    <xf numFmtId="165" fontId="12" fillId="0" borderId="0" applyFont="0" applyFill="0" applyBorder="0" applyAlignment="0" applyProtection="0"/>
    <xf numFmtId="172" fontId="12" fillId="0" borderId="0" applyFill="0" applyBorder="0" applyAlignment="0" applyProtection="0"/>
    <xf numFmtId="0" fontId="27" fillId="0" borderId="0"/>
    <xf numFmtId="172" fontId="12" fillId="0" borderId="0" applyFill="0" applyBorder="0" applyAlignment="0" applyProtection="0"/>
    <xf numFmtId="0" fontId="27" fillId="0" borderId="0"/>
    <xf numFmtId="0" fontId="27" fillId="0" borderId="0"/>
    <xf numFmtId="165" fontId="12" fillId="0" borderId="0" applyFont="0" applyFill="0" applyBorder="0" applyAlignment="0" applyProtection="0"/>
    <xf numFmtId="172" fontId="12" fillId="0" borderId="0" applyFill="0" applyBorder="0" applyAlignment="0" applyProtection="0"/>
    <xf numFmtId="0" fontId="27" fillId="0" borderId="0"/>
    <xf numFmtId="0" fontId="27" fillId="0" borderId="0"/>
    <xf numFmtId="165" fontId="12" fillId="0" borderId="0" applyFont="0" applyFill="0" applyBorder="0" applyAlignment="0" applyProtection="0"/>
    <xf numFmtId="0" fontId="27" fillId="0" borderId="0"/>
    <xf numFmtId="165" fontId="12" fillId="0" borderId="0" applyFont="0" applyFill="0" applyBorder="0" applyAlignment="0" applyProtection="0"/>
    <xf numFmtId="0" fontId="27" fillId="0" borderId="0"/>
    <xf numFmtId="172" fontId="12" fillId="0" borderId="0" applyFill="0" applyBorder="0" applyAlignment="0" applyProtection="0"/>
    <xf numFmtId="0" fontId="27" fillId="0" borderId="0"/>
    <xf numFmtId="172" fontId="12" fillId="0" borderId="0" applyFill="0" applyBorder="0" applyAlignment="0" applyProtection="0"/>
    <xf numFmtId="0" fontId="27" fillId="0" borderId="0"/>
    <xf numFmtId="172" fontId="12" fillId="0" borderId="0" applyFill="0" applyBorder="0" applyAlignment="0" applyProtection="0"/>
    <xf numFmtId="0" fontId="27" fillId="0" borderId="0"/>
    <xf numFmtId="165" fontId="12" fillId="0" borderId="0" applyFont="0" applyFill="0" applyBorder="0" applyAlignment="0" applyProtection="0"/>
    <xf numFmtId="0" fontId="27" fillId="0" borderId="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7" fillId="0" borderId="0" applyFont="0" applyFill="0" applyBorder="0" applyAlignment="0" applyProtection="0"/>
    <xf numFmtId="0" fontId="27" fillId="0" borderId="0"/>
    <xf numFmtId="165" fontId="7" fillId="0" borderId="0" applyFont="0" applyFill="0" applyBorder="0" applyAlignment="0" applyProtection="0"/>
    <xf numFmtId="165" fontId="28" fillId="0" borderId="0" applyFont="0" applyFill="0" applyBorder="0" applyAlignment="0" applyProtection="0"/>
    <xf numFmtId="0" fontId="27" fillId="0" borderId="0"/>
    <xf numFmtId="172" fontId="12" fillId="0" borderId="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7"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7"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72" fontId="12" fillId="0" borderId="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0" fontId="27" fillId="0" borderId="0"/>
    <xf numFmtId="165" fontId="7" fillId="0" borderId="0" applyFont="0" applyFill="0" applyBorder="0" applyAlignment="0" applyProtection="0"/>
    <xf numFmtId="171"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12" fillId="0" borderId="0" applyFont="0" applyFill="0" applyBorder="0" applyAlignment="0" applyProtection="0"/>
    <xf numFmtId="0" fontId="27" fillId="0" borderId="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0" fontId="27" fillId="0" borderId="0"/>
    <xf numFmtId="165" fontId="12"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12"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7" fillId="0" borderId="0" applyFont="0" applyFill="0" applyBorder="0" applyAlignment="0" applyProtection="0"/>
    <xf numFmtId="0" fontId="27" fillId="0" borderId="0"/>
    <xf numFmtId="165" fontId="7" fillId="0" borderId="0" applyFont="0" applyFill="0" applyBorder="0" applyAlignment="0" applyProtection="0"/>
    <xf numFmtId="165" fontId="28" fillId="0" borderId="0" applyFont="0" applyFill="0" applyBorder="0" applyAlignment="0" applyProtection="0"/>
    <xf numFmtId="0" fontId="27" fillId="0" borderId="0"/>
    <xf numFmtId="165" fontId="12"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7" fillId="0" borderId="0" applyFont="0" applyFill="0" applyBorder="0" applyAlignment="0" applyProtection="0"/>
    <xf numFmtId="0" fontId="27" fillId="0" borderId="0"/>
    <xf numFmtId="165" fontId="7" fillId="0" borderId="0" applyFont="0" applyFill="0" applyBorder="0" applyAlignment="0" applyProtection="0"/>
    <xf numFmtId="165" fontId="28" fillId="0" borderId="0" applyFont="0" applyFill="0" applyBorder="0" applyAlignment="0" applyProtection="0"/>
    <xf numFmtId="0" fontId="27" fillId="0" borderId="0"/>
    <xf numFmtId="165" fontId="12"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7"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7"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0" fontId="27" fillId="0" borderId="0"/>
    <xf numFmtId="165" fontId="7" fillId="0" borderId="0" applyFont="0" applyFill="0" applyBorder="0" applyAlignment="0" applyProtection="0"/>
    <xf numFmtId="171"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12" fillId="0" borderId="0" applyFont="0" applyFill="0" applyBorder="0" applyAlignment="0" applyProtection="0"/>
    <xf numFmtId="0" fontId="27" fillId="0" borderId="0"/>
    <xf numFmtId="165" fontId="12" fillId="0" borderId="0" applyFont="0" applyFill="0" applyBorder="0" applyAlignment="0" applyProtection="0"/>
    <xf numFmtId="0" fontId="27" fillId="0" borderId="0"/>
    <xf numFmtId="165" fontId="12" fillId="0" borderId="0" applyFont="0" applyFill="0" applyBorder="0" applyAlignment="0" applyProtection="0"/>
    <xf numFmtId="0" fontId="27" fillId="0" borderId="0"/>
    <xf numFmtId="165" fontId="12" fillId="0" borderId="0" applyFont="0" applyFill="0" applyBorder="0" applyAlignment="0" applyProtection="0"/>
    <xf numFmtId="0" fontId="27" fillId="0" borderId="0"/>
    <xf numFmtId="165" fontId="12" fillId="0" borderId="0" applyFont="0" applyFill="0" applyBorder="0" applyAlignment="0" applyProtection="0"/>
    <xf numFmtId="172" fontId="12" fillId="0" borderId="0" applyFill="0" applyBorder="0" applyAlignment="0" applyProtection="0"/>
    <xf numFmtId="165" fontId="12" fillId="0" borderId="0" applyFont="0" applyFill="0" applyBorder="0" applyAlignment="0" applyProtection="0"/>
    <xf numFmtId="172" fontId="12" fillId="0" borderId="0" applyFill="0" applyBorder="0" applyAlignment="0" applyProtection="0"/>
    <xf numFmtId="172" fontId="12" fillId="0" borderId="0" applyFill="0" applyBorder="0" applyAlignment="0" applyProtection="0"/>
    <xf numFmtId="172" fontId="12" fillId="0" borderId="0" applyFill="0" applyBorder="0" applyAlignment="0" applyProtection="0"/>
    <xf numFmtId="172" fontId="12" fillId="0" borderId="0" applyFill="0" applyBorder="0" applyAlignment="0" applyProtection="0"/>
    <xf numFmtId="0" fontId="27" fillId="0" borderId="0"/>
    <xf numFmtId="165" fontId="12" fillId="0" borderId="0" applyFont="0" applyFill="0" applyBorder="0" applyAlignment="0" applyProtection="0"/>
    <xf numFmtId="172" fontId="12" fillId="0" borderId="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7" fillId="0" borderId="0" applyFont="0" applyFill="0" applyBorder="0" applyAlignment="0" applyProtection="0"/>
    <xf numFmtId="0" fontId="27" fillId="0" borderId="0"/>
    <xf numFmtId="165" fontId="7" fillId="0" borderId="0" applyFont="0" applyFill="0" applyBorder="0" applyAlignment="0" applyProtection="0"/>
    <xf numFmtId="165" fontId="28" fillId="0" borderId="0" applyFont="0" applyFill="0" applyBorder="0" applyAlignment="0" applyProtection="0"/>
    <xf numFmtId="0" fontId="27" fillId="0" borderId="0"/>
    <xf numFmtId="172" fontId="12" fillId="0" borderId="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0" fontId="27" fillId="0" borderId="0"/>
    <xf numFmtId="165" fontId="7"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72" fontId="12" fillId="0" borderId="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7" fillId="0" borderId="0" applyFont="0" applyFill="0" applyBorder="0" applyAlignment="0" applyProtection="0"/>
    <xf numFmtId="0" fontId="27" fillId="0" borderId="0"/>
    <xf numFmtId="165" fontId="7" fillId="0" borderId="0" applyFont="0" applyFill="0" applyBorder="0" applyAlignment="0" applyProtection="0"/>
    <xf numFmtId="165" fontId="28" fillId="0" borderId="0" applyFont="0" applyFill="0" applyBorder="0" applyAlignment="0" applyProtection="0"/>
    <xf numFmtId="0" fontId="27" fillId="0" borderId="0"/>
    <xf numFmtId="172" fontId="12" fillId="0" borderId="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12" fillId="0" borderId="0" applyFont="0" applyFill="0" applyBorder="0" applyAlignment="0" applyProtection="0"/>
    <xf numFmtId="171" fontId="12" fillId="0" borderId="0" applyFont="0" applyFill="0" applyBorder="0" applyAlignment="0" applyProtection="0"/>
    <xf numFmtId="165" fontId="12" fillId="0" borderId="0" applyFont="0" applyFill="0" applyBorder="0" applyAlignment="0" applyProtection="0"/>
    <xf numFmtId="171" fontId="12" fillId="0" borderId="0" applyFont="0" applyFill="0" applyBorder="0" applyAlignment="0" applyProtection="0"/>
    <xf numFmtId="0" fontId="27" fillId="0" borderId="0"/>
    <xf numFmtId="0" fontId="27" fillId="0" borderId="0"/>
    <xf numFmtId="0" fontId="27" fillId="0" borderId="0"/>
    <xf numFmtId="0" fontId="27" fillId="0" borderId="0"/>
    <xf numFmtId="165" fontId="7" fillId="0" borderId="0" applyFont="0" applyFill="0" applyBorder="0" applyAlignment="0" applyProtection="0"/>
    <xf numFmtId="171" fontId="12" fillId="0" borderId="0" applyFont="0" applyFill="0" applyBorder="0" applyAlignment="0" applyProtection="0"/>
    <xf numFmtId="0" fontId="27" fillId="0" borderId="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72" fontId="12" fillId="0" borderId="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71" fontId="12" fillId="0" borderId="0" applyFont="0" applyFill="0" applyBorder="0" applyAlignment="0" applyProtection="0"/>
    <xf numFmtId="0" fontId="27" fillId="0" borderId="0"/>
    <xf numFmtId="165" fontId="7"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7" fillId="0" borderId="0" applyFont="0" applyFill="0" applyBorder="0" applyAlignment="0" applyProtection="0"/>
    <xf numFmtId="0" fontId="27" fillId="0" borderId="0"/>
    <xf numFmtId="165" fontId="7" fillId="0" borderId="0" applyFont="0" applyFill="0" applyBorder="0" applyAlignment="0" applyProtection="0"/>
    <xf numFmtId="165" fontId="28" fillId="0" borderId="0" applyFont="0" applyFill="0" applyBorder="0" applyAlignment="0" applyProtection="0"/>
    <xf numFmtId="0" fontId="27" fillId="0" borderId="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71" fontId="12" fillId="0" borderId="0" applyFont="0" applyFill="0" applyBorder="0" applyAlignment="0" applyProtection="0"/>
    <xf numFmtId="165" fontId="12" fillId="0" borderId="0" applyFont="0" applyFill="0" applyBorder="0" applyAlignment="0" applyProtection="0"/>
    <xf numFmtId="171" fontId="12" fillId="0" borderId="0" applyFont="0" applyFill="0" applyBorder="0" applyAlignment="0" applyProtection="0"/>
    <xf numFmtId="0" fontId="27" fillId="0" borderId="0"/>
    <xf numFmtId="0" fontId="27" fillId="0" borderId="0"/>
    <xf numFmtId="165" fontId="28" fillId="0" borderId="0" applyFont="0" applyFill="0" applyBorder="0" applyAlignment="0" applyProtection="0"/>
    <xf numFmtId="0" fontId="27" fillId="0" borderId="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7" fillId="0" borderId="0" applyFont="0" applyFill="0" applyBorder="0" applyAlignment="0" applyProtection="0"/>
    <xf numFmtId="0" fontId="27" fillId="0" borderId="0"/>
    <xf numFmtId="165" fontId="7" fillId="0" borderId="0" applyFont="0" applyFill="0" applyBorder="0" applyAlignment="0" applyProtection="0"/>
    <xf numFmtId="165" fontId="28" fillId="0" borderId="0" applyFont="0" applyFill="0" applyBorder="0" applyAlignment="0" applyProtection="0"/>
    <xf numFmtId="0" fontId="27" fillId="0" borderId="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71" fontId="12" fillId="0" borderId="0" applyFont="0" applyFill="0" applyBorder="0" applyAlignment="0" applyProtection="0"/>
    <xf numFmtId="165" fontId="28" fillId="0" borderId="0" applyFont="0" applyFill="0" applyBorder="0" applyAlignment="0" applyProtection="0"/>
    <xf numFmtId="0" fontId="27" fillId="0" borderId="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7" fillId="0" borderId="0" applyFont="0" applyFill="0" applyBorder="0" applyAlignment="0" applyProtection="0"/>
    <xf numFmtId="0" fontId="27" fillId="0" borderId="0"/>
    <xf numFmtId="165" fontId="7" fillId="0" borderId="0" applyFont="0" applyFill="0" applyBorder="0" applyAlignment="0" applyProtection="0"/>
    <xf numFmtId="165" fontId="28" fillId="0" borderId="0" applyFont="0" applyFill="0" applyBorder="0" applyAlignment="0" applyProtection="0"/>
    <xf numFmtId="0" fontId="27" fillId="0" borderId="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7" fillId="0" borderId="0" applyFont="0" applyFill="0" applyBorder="0" applyAlignment="0" applyProtection="0"/>
    <xf numFmtId="165" fontId="12"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12"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12" fillId="0" borderId="0" applyFont="0" applyFill="0" applyBorder="0" applyAlignment="0" applyProtection="0"/>
    <xf numFmtId="0" fontId="27" fillId="0" borderId="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0" fontId="27" fillId="0" borderId="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12" fillId="0" borderId="0" applyFont="0" applyFill="0" applyBorder="0" applyAlignment="0" applyProtection="0"/>
    <xf numFmtId="0" fontId="27" fillId="0" borderId="0"/>
    <xf numFmtId="0" fontId="27" fillId="0" borderId="0"/>
    <xf numFmtId="165" fontId="27" fillId="0" borderId="0" applyFont="0" applyFill="0" applyBorder="0" applyAlignment="0" applyProtection="0"/>
    <xf numFmtId="0" fontId="27" fillId="0" borderId="0"/>
    <xf numFmtId="165" fontId="12" fillId="0" borderId="0" applyFont="0" applyFill="0" applyBorder="0" applyAlignment="0" applyProtection="0"/>
    <xf numFmtId="0" fontId="27" fillId="0" borderId="0"/>
    <xf numFmtId="165" fontId="12" fillId="0" borderId="0" applyFont="0" applyFill="0" applyBorder="0" applyAlignment="0" applyProtection="0"/>
    <xf numFmtId="0" fontId="27" fillId="0" borderId="0"/>
    <xf numFmtId="165" fontId="12" fillId="0" borderId="0" applyFont="0" applyFill="0" applyBorder="0" applyAlignment="0" applyProtection="0"/>
    <xf numFmtId="0" fontId="27" fillId="0" borderId="0"/>
    <xf numFmtId="165" fontId="27" fillId="0" borderId="0" applyFont="0" applyFill="0" applyBorder="0" applyAlignment="0" applyProtection="0"/>
    <xf numFmtId="0" fontId="27" fillId="0" borderId="0"/>
    <xf numFmtId="165" fontId="12" fillId="0" borderId="0" applyFont="0" applyFill="0" applyBorder="0" applyAlignment="0" applyProtection="0"/>
    <xf numFmtId="165" fontId="12" fillId="0" borderId="0" applyFont="0" applyFill="0" applyBorder="0" applyAlignment="0" applyProtection="0"/>
    <xf numFmtId="0" fontId="27" fillId="0" borderId="0"/>
    <xf numFmtId="165" fontId="2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7" fillId="0" borderId="0" applyFont="0" applyFill="0" applyBorder="0" applyAlignment="0" applyProtection="0"/>
    <xf numFmtId="165" fontId="27" fillId="0" borderId="0" applyFont="0" applyFill="0" applyBorder="0" applyAlignment="0" applyProtection="0"/>
    <xf numFmtId="165" fontId="7" fillId="0" borderId="0" applyFont="0" applyFill="0" applyBorder="0" applyAlignment="0" applyProtection="0"/>
    <xf numFmtId="165" fontId="27" fillId="0" borderId="0" applyFont="0" applyFill="0" applyBorder="0" applyAlignment="0" applyProtection="0"/>
    <xf numFmtId="165" fontId="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0" fontId="27" fillId="0" borderId="0"/>
    <xf numFmtId="165" fontId="7" fillId="0" borderId="0" applyFont="0" applyFill="0" applyBorder="0" applyAlignment="0" applyProtection="0"/>
    <xf numFmtId="165" fontId="28" fillId="0" borderId="0" applyFont="0" applyFill="0" applyBorder="0" applyAlignment="0" applyProtection="0"/>
    <xf numFmtId="165" fontId="27"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2" fillId="0" borderId="0" applyFont="0" applyFill="0" applyBorder="0" applyAlignment="0" applyProtection="0"/>
    <xf numFmtId="0" fontId="27" fillId="0" borderId="0"/>
    <xf numFmtId="165" fontId="28" fillId="0" borderId="0" applyFont="0" applyFill="0" applyBorder="0" applyAlignment="0" applyProtection="0"/>
    <xf numFmtId="0" fontId="27" fillId="0" borderId="0"/>
    <xf numFmtId="165" fontId="12" fillId="0" borderId="0" applyFont="0" applyFill="0" applyBorder="0" applyAlignment="0" applyProtection="0"/>
    <xf numFmtId="0" fontId="27" fillId="0" borderId="0"/>
    <xf numFmtId="165" fontId="12" fillId="0" borderId="0" applyFont="0" applyFill="0" applyBorder="0" applyAlignment="0" applyProtection="0"/>
    <xf numFmtId="0" fontId="27" fillId="0" borderId="0"/>
    <xf numFmtId="165" fontId="12" fillId="0" borderId="0" applyFont="0" applyFill="0" applyBorder="0" applyAlignment="0" applyProtection="0"/>
    <xf numFmtId="0" fontId="27" fillId="0" borderId="0"/>
    <xf numFmtId="165" fontId="12" fillId="0" borderId="0" applyFont="0" applyFill="0" applyBorder="0" applyAlignment="0" applyProtection="0"/>
    <xf numFmtId="0" fontId="27" fillId="0" borderId="0"/>
    <xf numFmtId="165" fontId="12" fillId="0" borderId="0" applyFont="0" applyFill="0" applyBorder="0" applyAlignment="0" applyProtection="0"/>
    <xf numFmtId="0" fontId="27" fillId="0" borderId="0"/>
    <xf numFmtId="165" fontId="12" fillId="0" borderId="0" applyFont="0" applyFill="0" applyBorder="0" applyAlignment="0" applyProtection="0"/>
    <xf numFmtId="0" fontId="27" fillId="0" borderId="0"/>
    <xf numFmtId="165" fontId="12"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12" fillId="0" borderId="0" applyFont="0" applyFill="0" applyBorder="0" applyAlignment="0" applyProtection="0"/>
    <xf numFmtId="165" fontId="7" fillId="0" borderId="0" applyFont="0" applyFill="0" applyBorder="0" applyAlignment="0" applyProtection="0"/>
    <xf numFmtId="165" fontId="12" fillId="0" borderId="0" applyFont="0" applyFill="0" applyBorder="0" applyAlignment="0" applyProtection="0"/>
    <xf numFmtId="165" fontId="7" fillId="0" borderId="0" applyFont="0" applyFill="0" applyBorder="0" applyAlignment="0" applyProtection="0"/>
    <xf numFmtId="0" fontId="27" fillId="0" borderId="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7"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71"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0" fontId="27" fillId="0" borderId="0"/>
    <xf numFmtId="165" fontId="7" fillId="0" borderId="0" applyFont="0" applyFill="0" applyBorder="0" applyAlignment="0" applyProtection="0"/>
    <xf numFmtId="0" fontId="27" fillId="0" borderId="0"/>
    <xf numFmtId="165" fontId="7" fillId="0" borderId="0" applyFont="0" applyFill="0" applyBorder="0" applyAlignment="0" applyProtection="0"/>
    <xf numFmtId="165" fontId="28" fillId="0" borderId="0" applyFont="0" applyFill="0" applyBorder="0" applyAlignment="0" applyProtection="0"/>
    <xf numFmtId="0" fontId="27" fillId="0" borderId="0"/>
    <xf numFmtId="165" fontId="27" fillId="0" borderId="0" applyFont="0" applyFill="0" applyBorder="0" applyAlignment="0" applyProtection="0"/>
    <xf numFmtId="165" fontId="28" fillId="0" borderId="0" applyFont="0" applyFill="0" applyBorder="0" applyAlignment="0" applyProtection="0"/>
    <xf numFmtId="165" fontId="2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0" fontId="27" fillId="0" borderId="0"/>
    <xf numFmtId="165" fontId="12" fillId="0" borderId="0" applyFont="0" applyFill="0" applyBorder="0" applyAlignment="0" applyProtection="0"/>
    <xf numFmtId="0" fontId="27" fillId="0" borderId="0"/>
    <xf numFmtId="165" fontId="2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0" fontId="27" fillId="0" borderId="0"/>
    <xf numFmtId="165" fontId="28" fillId="0" borderId="0" applyFont="0" applyFill="0" applyBorder="0" applyAlignment="0" applyProtection="0"/>
    <xf numFmtId="0" fontId="27" fillId="0" borderId="0"/>
    <xf numFmtId="165" fontId="7" fillId="0" borderId="0" applyFont="0" applyFill="0" applyBorder="0" applyAlignment="0" applyProtection="0"/>
    <xf numFmtId="165" fontId="7"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0" fontId="27" fillId="0" borderId="0"/>
    <xf numFmtId="165" fontId="28" fillId="0" borderId="0" applyFont="0" applyFill="0" applyBorder="0" applyAlignment="0" applyProtection="0"/>
    <xf numFmtId="0" fontId="27" fillId="0" borderId="0"/>
    <xf numFmtId="165" fontId="28" fillId="0" borderId="0" applyFont="0" applyFill="0" applyBorder="0" applyAlignment="0" applyProtection="0"/>
    <xf numFmtId="0" fontId="27" fillId="0" borderId="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0" fontId="27" fillId="0" borderId="0"/>
    <xf numFmtId="165" fontId="28" fillId="0" borderId="0" applyFont="0" applyFill="0" applyBorder="0" applyAlignment="0" applyProtection="0"/>
    <xf numFmtId="0" fontId="27" fillId="0" borderId="0"/>
    <xf numFmtId="165" fontId="28" fillId="0" borderId="0" applyFont="0" applyFill="0" applyBorder="0" applyAlignment="0" applyProtection="0"/>
    <xf numFmtId="0" fontId="27" fillId="0" borderId="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0" fontId="27" fillId="0" borderId="0"/>
    <xf numFmtId="165" fontId="28" fillId="0" borderId="0" applyFont="0" applyFill="0" applyBorder="0" applyAlignment="0" applyProtection="0"/>
    <xf numFmtId="0" fontId="27" fillId="0" borderId="0"/>
    <xf numFmtId="165" fontId="28" fillId="0" borderId="0" applyFont="0" applyFill="0" applyBorder="0" applyAlignment="0" applyProtection="0"/>
    <xf numFmtId="0" fontId="27" fillId="0" borderId="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0" fontId="27" fillId="0" borderId="0"/>
    <xf numFmtId="165" fontId="28" fillId="0" borderId="0" applyFont="0" applyFill="0" applyBorder="0" applyAlignment="0" applyProtection="0"/>
    <xf numFmtId="0" fontId="27" fillId="0" borderId="0"/>
    <xf numFmtId="165" fontId="28" fillId="0" borderId="0" applyFont="0" applyFill="0" applyBorder="0" applyAlignment="0" applyProtection="0"/>
    <xf numFmtId="0" fontId="27" fillId="0" borderId="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0" fontId="27" fillId="0" borderId="0"/>
    <xf numFmtId="165" fontId="28" fillId="0" borderId="0" applyFont="0" applyFill="0" applyBorder="0" applyAlignment="0" applyProtection="0"/>
    <xf numFmtId="0" fontId="27" fillId="0" borderId="0"/>
    <xf numFmtId="165" fontId="28" fillId="0" borderId="0" applyFont="0" applyFill="0" applyBorder="0" applyAlignment="0" applyProtection="0"/>
    <xf numFmtId="0" fontId="27" fillId="0" borderId="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7"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0" fontId="27" fillId="0" borderId="0"/>
    <xf numFmtId="165" fontId="12" fillId="0" borderId="0" applyFont="0" applyFill="0" applyBorder="0" applyAlignment="0" applyProtection="0"/>
    <xf numFmtId="165" fontId="12" fillId="0" borderId="0" applyFont="0" applyFill="0" applyBorder="0" applyAlignment="0" applyProtection="0"/>
    <xf numFmtId="0" fontId="27" fillId="0" borderId="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0" fontId="27" fillId="0" borderId="0"/>
    <xf numFmtId="165" fontId="12" fillId="0" borderId="0" applyFont="0" applyFill="0" applyBorder="0" applyAlignment="0" applyProtection="0"/>
    <xf numFmtId="165" fontId="12" fillId="0" borderId="0" applyFont="0" applyFill="0" applyBorder="0" applyAlignment="0" applyProtection="0"/>
    <xf numFmtId="0" fontId="27" fillId="0" borderId="0"/>
    <xf numFmtId="165" fontId="12" fillId="0" borderId="0" applyFont="0" applyFill="0" applyBorder="0" applyAlignment="0" applyProtection="0"/>
    <xf numFmtId="0" fontId="27" fillId="0" borderId="0"/>
    <xf numFmtId="165" fontId="12" fillId="0" borderId="0" applyFont="0" applyFill="0" applyBorder="0" applyAlignment="0" applyProtection="0"/>
    <xf numFmtId="0" fontId="27" fillId="0" borderId="0"/>
    <xf numFmtId="165" fontId="12" fillId="0" borderId="0" applyFont="0" applyFill="0" applyBorder="0" applyAlignment="0" applyProtection="0"/>
    <xf numFmtId="0" fontId="27" fillId="0" borderId="0"/>
    <xf numFmtId="165" fontId="7" fillId="0" borderId="0" applyFont="0" applyFill="0" applyBorder="0" applyAlignment="0" applyProtection="0"/>
    <xf numFmtId="0" fontId="27" fillId="0" borderId="0"/>
    <xf numFmtId="165" fontId="7" fillId="0" borderId="0" applyFont="0" applyFill="0" applyBorder="0" applyAlignment="0" applyProtection="0"/>
    <xf numFmtId="165" fontId="7" fillId="0" borderId="0" applyFont="0" applyFill="0" applyBorder="0" applyAlignment="0" applyProtection="0"/>
    <xf numFmtId="0" fontId="27" fillId="0" borderId="0"/>
    <xf numFmtId="165" fontId="7" fillId="0" borderId="0" applyFont="0" applyFill="0" applyBorder="0" applyAlignment="0" applyProtection="0"/>
    <xf numFmtId="165" fontId="27" fillId="0" borderId="0" applyFont="0" applyFill="0" applyBorder="0" applyAlignment="0" applyProtection="0"/>
    <xf numFmtId="0" fontId="27" fillId="0" borderId="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0" fontId="27" fillId="0" borderId="0"/>
    <xf numFmtId="165" fontId="12" fillId="0" borderId="0" applyFont="0" applyFill="0" applyBorder="0" applyAlignment="0" applyProtection="0"/>
    <xf numFmtId="165" fontId="12" fillId="0" borderId="0" applyFont="0" applyFill="0" applyBorder="0" applyAlignment="0" applyProtection="0"/>
    <xf numFmtId="0" fontId="27" fillId="0" borderId="0"/>
    <xf numFmtId="165" fontId="12" fillId="0" borderId="0" applyFont="0" applyFill="0" applyBorder="0" applyAlignment="0" applyProtection="0"/>
    <xf numFmtId="0" fontId="27" fillId="0" borderId="0"/>
    <xf numFmtId="165" fontId="12" fillId="0" borderId="0" applyFont="0" applyFill="0" applyBorder="0" applyAlignment="0" applyProtection="0"/>
    <xf numFmtId="0" fontId="27" fillId="0" borderId="0"/>
    <xf numFmtId="165" fontId="12" fillId="0" borderId="0" applyFont="0" applyFill="0" applyBorder="0" applyAlignment="0" applyProtection="0"/>
    <xf numFmtId="0" fontId="27" fillId="0" borderId="0"/>
    <xf numFmtId="165" fontId="12" fillId="0" borderId="0" applyFont="0" applyFill="0" applyBorder="0" applyAlignment="0" applyProtection="0"/>
    <xf numFmtId="0" fontId="27" fillId="0" borderId="0"/>
    <xf numFmtId="165" fontId="12" fillId="0" borderId="0" applyFont="0" applyFill="0" applyBorder="0" applyAlignment="0" applyProtection="0"/>
    <xf numFmtId="0" fontId="27" fillId="0" borderId="0"/>
    <xf numFmtId="165" fontId="12" fillId="0" borderId="0" applyFont="0" applyFill="0" applyBorder="0" applyAlignment="0" applyProtection="0"/>
    <xf numFmtId="0" fontId="27" fillId="0" borderId="0"/>
    <xf numFmtId="165" fontId="12" fillId="0" borderId="0" applyFont="0" applyFill="0" applyBorder="0" applyAlignment="0" applyProtection="0"/>
    <xf numFmtId="0" fontId="27" fillId="0" borderId="0"/>
    <xf numFmtId="165" fontId="12" fillId="0" borderId="0" applyFont="0" applyFill="0" applyBorder="0" applyAlignment="0" applyProtection="0"/>
    <xf numFmtId="0" fontId="27" fillId="0" borderId="0"/>
    <xf numFmtId="165" fontId="12" fillId="0" borderId="0" applyFont="0" applyFill="0" applyBorder="0" applyAlignment="0" applyProtection="0"/>
    <xf numFmtId="0" fontId="27" fillId="0" borderId="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0" fontId="27" fillId="0" borderId="0"/>
    <xf numFmtId="165" fontId="12" fillId="0" borderId="0" applyFont="0" applyFill="0" applyBorder="0" applyAlignment="0" applyProtection="0"/>
    <xf numFmtId="0" fontId="27" fillId="0" borderId="0"/>
    <xf numFmtId="165" fontId="28" fillId="0" borderId="0" applyFont="0" applyFill="0" applyBorder="0" applyAlignment="0" applyProtection="0"/>
    <xf numFmtId="0" fontId="27" fillId="0" borderId="0"/>
    <xf numFmtId="165" fontId="12" fillId="0" borderId="0" applyFont="0" applyFill="0" applyBorder="0" applyAlignment="0" applyProtection="0"/>
    <xf numFmtId="0" fontId="27" fillId="0" borderId="0"/>
    <xf numFmtId="165" fontId="12" fillId="0" borderId="0" applyFont="0" applyFill="0" applyBorder="0" applyAlignment="0" applyProtection="0"/>
    <xf numFmtId="0" fontId="27" fillId="0" borderId="0"/>
    <xf numFmtId="165" fontId="12" fillId="0" borderId="0" applyFont="0" applyFill="0" applyBorder="0" applyAlignment="0" applyProtection="0"/>
    <xf numFmtId="0" fontId="27" fillId="0" borderId="0"/>
    <xf numFmtId="165" fontId="12" fillId="0" borderId="0" applyFont="0" applyFill="0" applyBorder="0" applyAlignment="0" applyProtection="0"/>
    <xf numFmtId="0" fontId="27" fillId="0" borderId="0"/>
    <xf numFmtId="165" fontId="12" fillId="0" borderId="0" applyFont="0" applyFill="0" applyBorder="0" applyAlignment="0" applyProtection="0"/>
    <xf numFmtId="0" fontId="27" fillId="0" borderId="0"/>
    <xf numFmtId="165" fontId="12" fillId="0" borderId="0" applyFont="0" applyFill="0" applyBorder="0" applyAlignment="0" applyProtection="0"/>
    <xf numFmtId="0" fontId="27" fillId="0" borderId="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0" fontId="27" fillId="0" borderId="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0" fontId="27" fillId="0" borderId="0"/>
    <xf numFmtId="165" fontId="7" fillId="0" borderId="0" applyFont="0" applyFill="0" applyBorder="0" applyAlignment="0" applyProtection="0"/>
    <xf numFmtId="0" fontId="27" fillId="0" borderId="0"/>
    <xf numFmtId="165" fontId="7" fillId="0" borderId="0" applyFont="0" applyFill="0" applyBorder="0" applyAlignment="0" applyProtection="0"/>
    <xf numFmtId="165" fontId="28" fillId="0" borderId="0" applyFont="0" applyFill="0" applyBorder="0" applyAlignment="0" applyProtection="0"/>
    <xf numFmtId="0" fontId="27" fillId="0" borderId="0"/>
    <xf numFmtId="165" fontId="7" fillId="0" borderId="0" applyFont="0" applyFill="0" applyBorder="0" applyAlignment="0" applyProtection="0"/>
    <xf numFmtId="165" fontId="7"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0" fontId="27" fillId="0" borderId="0"/>
    <xf numFmtId="165" fontId="12" fillId="0" borderId="0" applyFont="0" applyFill="0" applyBorder="0" applyAlignment="0" applyProtection="0"/>
    <xf numFmtId="0" fontId="27" fillId="0" borderId="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0" fontId="27" fillId="0" borderId="0"/>
    <xf numFmtId="165" fontId="28" fillId="0" borderId="0" applyFont="0" applyFill="0" applyBorder="0" applyAlignment="0" applyProtection="0"/>
    <xf numFmtId="0" fontId="27" fillId="0" borderId="0"/>
    <xf numFmtId="165" fontId="7" fillId="0" borderId="0" applyFont="0" applyFill="0" applyBorder="0" applyAlignment="0" applyProtection="0"/>
    <xf numFmtId="165" fontId="7" fillId="0" borderId="0" applyFont="0" applyFill="0" applyBorder="0" applyAlignment="0" applyProtection="0"/>
    <xf numFmtId="171"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0" fontId="27" fillId="0" borderId="0"/>
    <xf numFmtId="165" fontId="28" fillId="0" borderId="0" applyFont="0" applyFill="0" applyBorder="0" applyAlignment="0" applyProtection="0"/>
    <xf numFmtId="0" fontId="27" fillId="0" borderId="0"/>
    <xf numFmtId="165" fontId="28" fillId="0" borderId="0" applyFont="0" applyFill="0" applyBorder="0" applyAlignment="0" applyProtection="0"/>
    <xf numFmtId="0" fontId="27" fillId="0" borderId="0"/>
    <xf numFmtId="165" fontId="7" fillId="0" borderId="0" applyFont="0" applyFill="0" applyBorder="0" applyAlignment="0" applyProtection="0"/>
    <xf numFmtId="165" fontId="7"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0" fontId="27" fillId="0" borderId="0"/>
    <xf numFmtId="165" fontId="28" fillId="0" borderId="0" applyFont="0" applyFill="0" applyBorder="0" applyAlignment="0" applyProtection="0"/>
    <xf numFmtId="0" fontId="27" fillId="0" borderId="0"/>
    <xf numFmtId="165" fontId="28" fillId="0" borderId="0" applyFont="0" applyFill="0" applyBorder="0" applyAlignment="0" applyProtection="0"/>
    <xf numFmtId="0" fontId="27" fillId="0" borderId="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0" fontId="27" fillId="0" borderId="0"/>
    <xf numFmtId="165" fontId="28" fillId="0" borderId="0" applyFont="0" applyFill="0" applyBorder="0" applyAlignment="0" applyProtection="0"/>
    <xf numFmtId="0" fontId="27" fillId="0" borderId="0"/>
    <xf numFmtId="165" fontId="28" fillId="0" borderId="0" applyFont="0" applyFill="0" applyBorder="0" applyAlignment="0" applyProtection="0"/>
    <xf numFmtId="0" fontId="27" fillId="0" borderId="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0" fontId="27" fillId="0" borderId="0"/>
    <xf numFmtId="165" fontId="28" fillId="0" borderId="0" applyFont="0" applyFill="0" applyBorder="0" applyAlignment="0" applyProtection="0"/>
    <xf numFmtId="0" fontId="27" fillId="0" borderId="0"/>
    <xf numFmtId="165" fontId="28" fillId="0" borderId="0" applyFont="0" applyFill="0" applyBorder="0" applyAlignment="0" applyProtection="0"/>
    <xf numFmtId="0" fontId="27" fillId="0" borderId="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0" fontId="27" fillId="0" borderId="0"/>
    <xf numFmtId="165" fontId="28" fillId="0" borderId="0" applyFont="0" applyFill="0" applyBorder="0" applyAlignment="0" applyProtection="0"/>
    <xf numFmtId="0" fontId="27" fillId="0" borderId="0"/>
    <xf numFmtId="165" fontId="28" fillId="0" borderId="0" applyFont="0" applyFill="0" applyBorder="0" applyAlignment="0" applyProtection="0"/>
    <xf numFmtId="0" fontId="27" fillId="0" borderId="0"/>
    <xf numFmtId="165" fontId="7" fillId="0" borderId="0" applyFont="0" applyFill="0" applyBorder="0" applyAlignment="0" applyProtection="0"/>
    <xf numFmtId="165" fontId="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12" fillId="0" borderId="0" applyFont="0" applyFill="0" applyBorder="0" applyAlignment="0" applyProtection="0"/>
    <xf numFmtId="0" fontId="27" fillId="0" borderId="0"/>
    <xf numFmtId="165" fontId="12" fillId="0" borderId="0" applyFont="0" applyFill="0" applyBorder="0" applyAlignment="0" applyProtection="0"/>
    <xf numFmtId="0" fontId="27" fillId="0" borderId="0"/>
    <xf numFmtId="165" fontId="12" fillId="0" borderId="0" applyFont="0" applyFill="0" applyBorder="0" applyAlignment="0" applyProtection="0"/>
    <xf numFmtId="0" fontId="27" fillId="0" borderId="0"/>
    <xf numFmtId="165" fontId="12" fillId="0" borderId="0" applyFont="0" applyFill="0" applyBorder="0" applyAlignment="0" applyProtection="0"/>
    <xf numFmtId="0" fontId="27" fillId="0" borderId="0"/>
    <xf numFmtId="165" fontId="12" fillId="0" borderId="0" applyFont="0" applyFill="0" applyBorder="0" applyAlignment="0" applyProtection="0"/>
    <xf numFmtId="0" fontId="27" fillId="0" borderId="0"/>
    <xf numFmtId="165" fontId="12" fillId="0" borderId="0" applyFont="0" applyFill="0" applyBorder="0" applyAlignment="0" applyProtection="0"/>
    <xf numFmtId="0" fontId="27" fillId="0" borderId="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12" fillId="0" borderId="0" applyFont="0" applyFill="0" applyBorder="0" applyAlignment="0" applyProtection="0"/>
    <xf numFmtId="0" fontId="27" fillId="0" borderId="0"/>
    <xf numFmtId="165" fontId="28" fillId="0" borderId="0" applyFont="0" applyFill="0" applyBorder="0" applyAlignment="0" applyProtection="0"/>
    <xf numFmtId="165" fontId="12"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0" fontId="27" fillId="0" borderId="0"/>
    <xf numFmtId="0" fontId="27" fillId="0" borderId="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0" fontId="27" fillId="0" borderId="0"/>
    <xf numFmtId="0" fontId="27" fillId="0" borderId="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0" fontId="27" fillId="0" borderId="0"/>
    <xf numFmtId="0" fontId="27" fillId="0" borderId="0"/>
    <xf numFmtId="165" fontId="12" fillId="0" borderId="0" applyFont="0" applyFill="0" applyBorder="0" applyAlignment="0" applyProtection="0"/>
    <xf numFmtId="165" fontId="28" fillId="0" borderId="0" applyFont="0" applyFill="0" applyBorder="0" applyAlignment="0" applyProtection="0"/>
    <xf numFmtId="165" fontId="12" fillId="0" borderId="0" applyFont="0" applyFill="0" applyBorder="0" applyAlignment="0" applyProtection="0"/>
    <xf numFmtId="0" fontId="27" fillId="0" borderId="0"/>
    <xf numFmtId="0" fontId="27" fillId="0" borderId="0"/>
    <xf numFmtId="165" fontId="12" fillId="0" borderId="0" applyFont="0" applyFill="0" applyBorder="0" applyAlignment="0" applyProtection="0"/>
    <xf numFmtId="0" fontId="27" fillId="0" borderId="0"/>
    <xf numFmtId="165" fontId="12" fillId="0" borderId="0" applyFont="0" applyFill="0" applyBorder="0" applyAlignment="0" applyProtection="0"/>
    <xf numFmtId="0" fontId="27" fillId="0" borderId="0"/>
    <xf numFmtId="165" fontId="12" fillId="0" borderId="0" applyFont="0" applyFill="0" applyBorder="0" applyAlignment="0" applyProtection="0"/>
    <xf numFmtId="0" fontId="27" fillId="0" borderId="0"/>
    <xf numFmtId="165" fontId="12" fillId="0" borderId="0" applyFont="0" applyFill="0" applyBorder="0" applyAlignment="0" applyProtection="0"/>
    <xf numFmtId="0" fontId="27" fillId="0" borderId="0"/>
    <xf numFmtId="165" fontId="12" fillId="0" borderId="0" applyFont="0" applyFill="0" applyBorder="0" applyAlignment="0" applyProtection="0"/>
    <xf numFmtId="165" fontId="12"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43" fontId="12" fillId="0" borderId="0" applyFont="0" applyFill="0" applyBorder="0" applyAlignment="0" applyProtection="0"/>
    <xf numFmtId="165" fontId="12" fillId="0" borderId="0" applyFont="0" applyFill="0" applyBorder="0" applyAlignment="0" applyProtection="0"/>
    <xf numFmtId="172" fontId="12" fillId="0" borderId="0" applyFill="0" applyBorder="0" applyAlignment="0" applyProtection="0"/>
    <xf numFmtId="165" fontId="12" fillId="0" borderId="0" applyFont="0" applyFill="0" applyBorder="0" applyAlignment="0" applyProtection="0"/>
    <xf numFmtId="171"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72" fontId="12" fillId="0" borderId="0" applyFill="0" applyBorder="0" applyAlignment="0" applyProtection="0"/>
    <xf numFmtId="165" fontId="12" fillId="0" borderId="0" applyFont="0" applyFill="0" applyBorder="0" applyAlignment="0" applyProtection="0"/>
    <xf numFmtId="171" fontId="12" fillId="0" borderId="0" applyFont="0" applyFill="0" applyBorder="0" applyAlignment="0" applyProtection="0"/>
    <xf numFmtId="0" fontId="27" fillId="0" borderId="0"/>
    <xf numFmtId="165" fontId="12" fillId="0" borderId="0" applyFont="0" applyFill="0" applyBorder="0" applyAlignment="0" applyProtection="0"/>
    <xf numFmtId="171" fontId="12" fillId="0" borderId="0" applyFont="0" applyFill="0" applyBorder="0" applyAlignment="0" applyProtection="0"/>
    <xf numFmtId="0" fontId="27" fillId="0" borderId="0"/>
    <xf numFmtId="165" fontId="12" fillId="0" borderId="0" applyFont="0" applyFill="0" applyBorder="0" applyAlignment="0" applyProtection="0"/>
    <xf numFmtId="165" fontId="12" fillId="0" borderId="0" applyFont="0" applyFill="0" applyBorder="0" applyAlignment="0" applyProtection="0"/>
    <xf numFmtId="165" fontId="27"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65" fontId="12" fillId="0" borderId="0" applyFont="0" applyFill="0" applyBorder="0" applyAlignment="0" applyProtection="0"/>
    <xf numFmtId="165" fontId="27" fillId="0" borderId="0" applyFont="0" applyFill="0" applyBorder="0" applyAlignment="0" applyProtection="0"/>
    <xf numFmtId="165" fontId="12"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12" fillId="0" borderId="0" applyFont="0" applyFill="0" applyBorder="0" applyAlignment="0" applyProtection="0"/>
    <xf numFmtId="0" fontId="27" fillId="0" borderId="0"/>
    <xf numFmtId="165" fontId="12" fillId="0" borderId="0" applyFont="0" applyFill="0" applyBorder="0" applyAlignment="0" applyProtection="0"/>
    <xf numFmtId="0" fontId="27" fillId="0" borderId="0"/>
    <xf numFmtId="165" fontId="12" fillId="0" borderId="0" applyFont="0" applyFill="0" applyBorder="0" applyAlignment="0" applyProtection="0"/>
    <xf numFmtId="0" fontId="27" fillId="0" borderId="0"/>
    <xf numFmtId="165" fontId="12" fillId="0" borderId="0" applyFont="0" applyFill="0" applyBorder="0" applyAlignment="0" applyProtection="0"/>
    <xf numFmtId="0" fontId="27" fillId="0" borderId="0"/>
    <xf numFmtId="165" fontId="12" fillId="0" borderId="0" applyFont="0" applyFill="0" applyBorder="0" applyAlignment="0" applyProtection="0"/>
    <xf numFmtId="0" fontId="27" fillId="0" borderId="0"/>
    <xf numFmtId="165" fontId="12" fillId="0" borderId="0" applyFont="0" applyFill="0" applyBorder="0" applyAlignment="0" applyProtection="0"/>
    <xf numFmtId="0" fontId="27" fillId="0" borderId="0"/>
    <xf numFmtId="165" fontId="12" fillId="0" borderId="0" applyFont="0" applyFill="0" applyBorder="0" applyAlignment="0" applyProtection="0"/>
    <xf numFmtId="0" fontId="27" fillId="0" borderId="0"/>
    <xf numFmtId="165" fontId="12" fillId="0" borderId="0" applyFont="0" applyFill="0" applyBorder="0" applyAlignment="0" applyProtection="0"/>
    <xf numFmtId="0" fontId="27" fillId="0" borderId="0"/>
    <xf numFmtId="165" fontId="12" fillId="0" borderId="0" applyFont="0" applyFill="0" applyBorder="0" applyAlignment="0" applyProtection="0"/>
    <xf numFmtId="165" fontId="27"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7" fillId="0" borderId="0" applyFont="0" applyFill="0" applyBorder="0" applyAlignment="0" applyProtection="0"/>
    <xf numFmtId="43"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7" fillId="0" borderId="0" applyFont="0" applyFill="0" applyBorder="0" applyAlignment="0" applyProtection="0"/>
    <xf numFmtId="165" fontId="29"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0" fontId="27" fillId="0" borderId="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0" fontId="27" fillId="0" borderId="0"/>
    <xf numFmtId="165" fontId="27" fillId="0" borderId="0" applyFont="0" applyFill="0" applyBorder="0" applyAlignment="0" applyProtection="0"/>
    <xf numFmtId="165" fontId="27" fillId="0" borderId="0" applyFont="0" applyFill="0" applyBorder="0" applyAlignment="0" applyProtection="0"/>
    <xf numFmtId="0" fontId="27" fillId="0" borderId="0"/>
    <xf numFmtId="165" fontId="27" fillId="0" borderId="0" applyFont="0" applyFill="0" applyBorder="0" applyAlignment="0" applyProtection="0"/>
    <xf numFmtId="165" fontId="27" fillId="0" borderId="0" applyFont="0" applyFill="0" applyBorder="0" applyAlignment="0" applyProtection="0"/>
    <xf numFmtId="0" fontId="27" fillId="0" borderId="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0" fontId="27" fillId="0" borderId="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0" fontId="27" fillId="0" borderId="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0" fontId="27" fillId="0" borderId="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0" fontId="27" fillId="0" borderId="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0" fontId="27" fillId="0" borderId="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0" fontId="27" fillId="0" borderId="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0" fontId="27" fillId="0" borderId="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0" fontId="27" fillId="0" borderId="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0" fontId="27" fillId="0" borderId="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0" fontId="27" fillId="0" borderId="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0" fontId="27" fillId="0" borderId="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0" fontId="27" fillId="0" borderId="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0" fontId="27" fillId="0" borderId="0"/>
    <xf numFmtId="165" fontId="27" fillId="0" borderId="0" applyFont="0" applyFill="0" applyBorder="0" applyAlignment="0" applyProtection="0"/>
    <xf numFmtId="165" fontId="29" fillId="0" borderId="0" applyFont="0" applyFill="0" applyBorder="0" applyAlignment="0" applyProtection="0"/>
    <xf numFmtId="0" fontId="27" fillId="0" borderId="0"/>
    <xf numFmtId="165" fontId="12" fillId="0" borderId="0" applyFont="0" applyFill="0" applyBorder="0" applyAlignment="0" applyProtection="0"/>
    <xf numFmtId="165" fontId="29"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0" fontId="27" fillId="0" borderId="0"/>
    <xf numFmtId="165" fontId="29"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43" fontId="7" fillId="0" borderId="0" applyFont="0" applyFill="0" applyBorder="0" applyAlignment="0" applyProtection="0"/>
    <xf numFmtId="165" fontId="27"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0" fontId="27" fillId="0" borderId="0"/>
    <xf numFmtId="165" fontId="29"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7"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0" fontId="27" fillId="0" borderId="0"/>
    <xf numFmtId="165" fontId="28" fillId="0" borderId="0" applyFont="0" applyFill="0" applyBorder="0" applyAlignment="0" applyProtection="0"/>
    <xf numFmtId="165" fontId="28"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0" fontId="27" fillId="0" borderId="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0" fontId="27" fillId="0" borderId="0"/>
    <xf numFmtId="165" fontId="27" fillId="0" borderId="0" applyFont="0" applyFill="0" applyBorder="0" applyAlignment="0" applyProtection="0"/>
    <xf numFmtId="0" fontId="27" fillId="0" borderId="0"/>
    <xf numFmtId="173" fontId="12" fillId="0" borderId="0" applyFont="0" applyFill="0" applyBorder="0" applyAlignment="0" applyProtection="0"/>
    <xf numFmtId="165" fontId="12" fillId="0" borderId="0" applyFont="0" applyFill="0" applyBorder="0" applyAlignment="0" applyProtection="0"/>
    <xf numFmtId="173"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73" fontId="12" fillId="0" borderId="0" applyFont="0" applyFill="0" applyBorder="0" applyAlignment="0" applyProtection="0"/>
    <xf numFmtId="165" fontId="28" fillId="0" borderId="0" applyFont="0" applyFill="0" applyBorder="0" applyAlignment="0" applyProtection="0"/>
    <xf numFmtId="173" fontId="12" fillId="0" borderId="0" applyFont="0" applyFill="0" applyBorder="0" applyAlignment="0" applyProtection="0"/>
    <xf numFmtId="165" fontId="28" fillId="0" borderId="0" applyFont="0" applyFill="0" applyBorder="0" applyAlignment="0" applyProtection="0"/>
    <xf numFmtId="0" fontId="27" fillId="0" borderId="0"/>
    <xf numFmtId="165" fontId="12" fillId="0" borderId="0" applyFont="0" applyFill="0" applyBorder="0" applyAlignment="0" applyProtection="0"/>
    <xf numFmtId="173" fontId="12" fillId="0" borderId="0" applyFont="0" applyFill="0" applyBorder="0" applyAlignment="0" applyProtection="0"/>
    <xf numFmtId="165" fontId="28" fillId="0" borderId="0" applyFont="0" applyFill="0" applyBorder="0" applyAlignment="0" applyProtection="0"/>
    <xf numFmtId="0" fontId="27" fillId="0" borderId="0"/>
    <xf numFmtId="165" fontId="28" fillId="0" borderId="0" applyFont="0" applyFill="0" applyBorder="0" applyAlignment="0" applyProtection="0"/>
    <xf numFmtId="0" fontId="27" fillId="0" borderId="0"/>
    <xf numFmtId="165" fontId="28" fillId="0" borderId="0" applyFont="0" applyFill="0" applyBorder="0" applyAlignment="0" applyProtection="0"/>
    <xf numFmtId="0" fontId="27" fillId="0" borderId="0"/>
    <xf numFmtId="165" fontId="12" fillId="0" borderId="0" applyFont="0" applyFill="0" applyBorder="0" applyAlignment="0" applyProtection="0"/>
    <xf numFmtId="165" fontId="12" fillId="0" borderId="0" applyFont="0" applyFill="0" applyBorder="0" applyAlignment="0" applyProtection="0"/>
    <xf numFmtId="165" fontId="27"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7"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9" fillId="0" borderId="0" applyFont="0" applyFill="0" applyBorder="0" applyAlignment="0" applyProtection="0"/>
    <xf numFmtId="165" fontId="12"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0" fontId="27" fillId="0" borderId="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0" fontId="27" fillId="0" borderId="0"/>
    <xf numFmtId="165" fontId="29"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0" fontId="27" fillId="0" borderId="0"/>
    <xf numFmtId="165" fontId="12" fillId="0" borderId="0" applyFont="0" applyFill="0" applyBorder="0" applyAlignment="0" applyProtection="0"/>
    <xf numFmtId="165" fontId="29" fillId="0" borderId="0" applyFont="0" applyFill="0" applyBorder="0" applyAlignment="0" applyProtection="0"/>
    <xf numFmtId="165" fontId="12" fillId="0" borderId="0" applyFont="0" applyFill="0" applyBorder="0" applyAlignment="0" applyProtection="0"/>
    <xf numFmtId="0" fontId="27" fillId="0" borderId="0"/>
    <xf numFmtId="165" fontId="28"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9" fillId="0" borderId="0" applyFont="0" applyFill="0" applyBorder="0" applyAlignment="0" applyProtection="0"/>
    <xf numFmtId="165" fontId="12" fillId="0" borderId="0" applyFont="0" applyFill="0" applyBorder="0" applyAlignment="0" applyProtection="0"/>
    <xf numFmtId="0" fontId="27" fillId="0" borderId="0"/>
    <xf numFmtId="0" fontId="27" fillId="0" borderId="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0" fontId="27" fillId="0" borderId="0"/>
    <xf numFmtId="0" fontId="27" fillId="0" borderId="0"/>
    <xf numFmtId="165" fontId="12" fillId="0" borderId="0" applyFont="0" applyFill="0" applyBorder="0" applyAlignment="0" applyProtection="0"/>
    <xf numFmtId="0" fontId="27" fillId="0" borderId="0"/>
    <xf numFmtId="165" fontId="12" fillId="0" borderId="0" applyFont="0" applyFill="0" applyBorder="0" applyAlignment="0" applyProtection="0"/>
    <xf numFmtId="0" fontId="27" fillId="0" borderId="0"/>
    <xf numFmtId="174" fontId="27" fillId="0" borderId="0" applyFont="0" applyFill="0" applyBorder="0" applyAlignment="0" applyProtection="0"/>
    <xf numFmtId="174" fontId="27" fillId="0" borderId="0" applyFont="0" applyFill="0" applyBorder="0" applyAlignment="0" applyProtection="0"/>
    <xf numFmtId="174" fontId="27" fillId="0" borderId="0" applyFont="0" applyFill="0" applyBorder="0" applyAlignment="0" applyProtection="0"/>
    <xf numFmtId="174" fontId="12" fillId="0" borderId="0" applyFill="0" applyBorder="0" applyAlignment="0" applyProtection="0"/>
    <xf numFmtId="174" fontId="27" fillId="0" borderId="0" applyFont="0" applyFill="0" applyBorder="0" applyAlignment="0" applyProtection="0"/>
    <xf numFmtId="174" fontId="12" fillId="0" borderId="0" applyFill="0" applyBorder="0" applyAlignment="0" applyProtection="0"/>
    <xf numFmtId="174" fontId="27" fillId="0" borderId="0" applyFont="0" applyFill="0" applyBorder="0" applyAlignment="0" applyProtection="0"/>
    <xf numFmtId="174" fontId="27" fillId="0" borderId="0" applyFont="0" applyFill="0" applyBorder="0" applyAlignment="0" applyProtection="0"/>
    <xf numFmtId="174" fontId="27" fillId="0" borderId="0" applyFont="0" applyFill="0" applyBorder="0" applyAlignment="0" applyProtection="0"/>
    <xf numFmtId="174" fontId="27" fillId="0" borderId="0" applyFont="0" applyFill="0" applyBorder="0" applyAlignment="0" applyProtection="0"/>
    <xf numFmtId="174" fontId="27" fillId="0" borderId="0" applyFont="0" applyFill="0" applyBorder="0" applyAlignment="0" applyProtection="0"/>
    <xf numFmtId="174" fontId="27" fillId="0" borderId="0" applyFont="0" applyFill="0" applyBorder="0" applyAlignment="0" applyProtection="0"/>
    <xf numFmtId="174" fontId="27" fillId="0" borderId="0" applyFont="0" applyFill="0" applyBorder="0" applyAlignment="0" applyProtection="0"/>
    <xf numFmtId="174" fontId="27" fillId="0" borderId="0" applyFont="0" applyFill="0" applyBorder="0" applyAlignment="0" applyProtection="0"/>
    <xf numFmtId="174" fontId="27" fillId="0" borderId="0" applyFont="0" applyFill="0" applyBorder="0" applyAlignment="0" applyProtection="0"/>
    <xf numFmtId="174" fontId="12" fillId="0" borderId="0" applyFill="0" applyBorder="0" applyAlignment="0" applyProtection="0"/>
    <xf numFmtId="175" fontId="12" fillId="0" borderId="0" applyFont="0" applyFill="0" applyBorder="0" applyAlignment="0" applyProtection="0"/>
    <xf numFmtId="174" fontId="27" fillId="0" borderId="0" applyFont="0" applyFill="0" applyBorder="0" applyAlignment="0" applyProtection="0"/>
    <xf numFmtId="175" fontId="12" fillId="0" borderId="0" applyFont="0" applyFill="0" applyBorder="0" applyAlignment="0" applyProtection="0"/>
    <xf numFmtId="175" fontId="12" fillId="0" borderId="0" applyFont="0" applyFill="0" applyBorder="0" applyAlignment="0" applyProtection="0"/>
    <xf numFmtId="174" fontId="27" fillId="0" borderId="0" applyFont="0" applyFill="0" applyBorder="0" applyAlignment="0" applyProtection="0"/>
    <xf numFmtId="175" fontId="12" fillId="0" borderId="0" applyFont="0" applyFill="0" applyBorder="0" applyAlignment="0" applyProtection="0"/>
    <xf numFmtId="175" fontId="12" fillId="0" borderId="0" applyFont="0" applyFill="0" applyBorder="0" applyAlignment="0" applyProtection="0"/>
    <xf numFmtId="174" fontId="12" fillId="0" borderId="0" applyFill="0" applyBorder="0" applyAlignment="0" applyProtection="0"/>
    <xf numFmtId="175" fontId="12" fillId="0" borderId="0" applyFont="0" applyFill="0" applyBorder="0" applyAlignment="0" applyProtection="0"/>
    <xf numFmtId="174" fontId="12" fillId="0" borderId="0" applyFill="0" applyBorder="0" applyAlignment="0" applyProtection="0"/>
    <xf numFmtId="175" fontId="12" fillId="0" borderId="0" applyFont="0" applyFill="0" applyBorder="0" applyAlignment="0" applyProtection="0"/>
    <xf numFmtId="175" fontId="12" fillId="0" borderId="0" applyFont="0" applyFill="0" applyBorder="0" applyAlignment="0" applyProtection="0"/>
    <xf numFmtId="175" fontId="12" fillId="0" borderId="0" applyFont="0" applyFill="0" applyBorder="0" applyAlignment="0" applyProtection="0"/>
    <xf numFmtId="175" fontId="12" fillId="0" borderId="0" applyFont="0" applyFill="0" applyBorder="0" applyAlignment="0" applyProtection="0"/>
    <xf numFmtId="175" fontId="12" fillId="0" borderId="0" applyFont="0" applyFill="0" applyBorder="0" applyAlignment="0" applyProtection="0"/>
    <xf numFmtId="175" fontId="12" fillId="0" borderId="0" applyFont="0" applyFill="0" applyBorder="0" applyAlignment="0" applyProtection="0"/>
    <xf numFmtId="174" fontId="27" fillId="0" borderId="0" applyFont="0" applyFill="0" applyBorder="0" applyAlignment="0" applyProtection="0"/>
    <xf numFmtId="175" fontId="12" fillId="0" borderId="0" applyFont="0" applyFill="0" applyBorder="0" applyAlignment="0" applyProtection="0"/>
    <xf numFmtId="174" fontId="27" fillId="0" borderId="0" applyFont="0" applyFill="0" applyBorder="0" applyAlignment="0" applyProtection="0"/>
    <xf numFmtId="174" fontId="27" fillId="0" borderId="0" applyFont="0" applyFill="0" applyBorder="0" applyAlignment="0" applyProtection="0"/>
    <xf numFmtId="174" fontId="27" fillId="0" borderId="0" applyFont="0" applyFill="0" applyBorder="0" applyAlignment="0" applyProtection="0"/>
    <xf numFmtId="174" fontId="27" fillId="0" borderId="0" applyFont="0" applyFill="0" applyBorder="0" applyAlignment="0" applyProtection="0"/>
    <xf numFmtId="174" fontId="12" fillId="0" borderId="0" applyFill="0" applyBorder="0" applyAlignment="0" applyProtection="0"/>
    <xf numFmtId="174" fontId="27" fillId="0" borderId="0" applyFont="0" applyFill="0" applyBorder="0" applyAlignment="0" applyProtection="0"/>
    <xf numFmtId="174" fontId="27" fillId="0" borderId="0" applyFont="0" applyFill="0" applyBorder="0" applyAlignment="0" applyProtection="0"/>
    <xf numFmtId="175" fontId="12" fillId="0" borderId="0" applyFont="0" applyFill="0" applyBorder="0" applyAlignment="0" applyProtection="0"/>
    <xf numFmtId="175" fontId="12" fillId="0" borderId="0" applyFont="0" applyFill="0" applyBorder="0" applyAlignment="0" applyProtection="0"/>
    <xf numFmtId="175" fontId="12" fillId="0" borderId="0" applyFont="0" applyFill="0" applyBorder="0" applyAlignment="0" applyProtection="0"/>
    <xf numFmtId="0" fontId="27" fillId="0" borderId="0"/>
    <xf numFmtId="174" fontId="27" fillId="0" borderId="0" applyFont="0" applyFill="0" applyBorder="0" applyAlignment="0" applyProtection="0"/>
    <xf numFmtId="0" fontId="27" fillId="0" borderId="0"/>
    <xf numFmtId="175" fontId="12" fillId="0" borderId="0" applyFont="0" applyFill="0" applyBorder="0" applyAlignment="0" applyProtection="0"/>
    <xf numFmtId="174" fontId="27" fillId="0" borderId="0" applyFont="0" applyFill="0" applyBorder="0" applyAlignment="0" applyProtection="0"/>
    <xf numFmtId="175" fontId="12" fillId="0" borderId="0" applyFont="0" applyFill="0" applyBorder="0" applyAlignment="0" applyProtection="0"/>
    <xf numFmtId="175" fontId="12" fillId="0" borderId="0" applyFont="0" applyFill="0" applyBorder="0" applyAlignment="0" applyProtection="0"/>
    <xf numFmtId="175" fontId="12" fillId="0" borderId="0" applyFont="0" applyFill="0" applyBorder="0" applyAlignment="0" applyProtection="0"/>
    <xf numFmtId="175" fontId="12" fillId="0" borderId="0" applyFont="0" applyFill="0" applyBorder="0" applyAlignment="0" applyProtection="0"/>
    <xf numFmtId="174" fontId="27" fillId="0" borderId="0" applyFont="0" applyFill="0" applyBorder="0" applyAlignment="0" applyProtection="0"/>
    <xf numFmtId="174" fontId="27" fillId="0" borderId="0" applyFont="0" applyFill="0" applyBorder="0" applyAlignment="0" applyProtection="0"/>
    <xf numFmtId="175" fontId="12" fillId="0" borderId="0" applyFont="0" applyFill="0" applyBorder="0" applyAlignment="0" applyProtection="0"/>
    <xf numFmtId="0" fontId="27" fillId="0" borderId="0"/>
    <xf numFmtId="174" fontId="27" fillId="0" borderId="0" applyFont="0" applyFill="0" applyBorder="0" applyAlignment="0" applyProtection="0"/>
    <xf numFmtId="175" fontId="12" fillId="0" borderId="0" applyFont="0" applyFill="0" applyBorder="0" applyAlignment="0" applyProtection="0"/>
    <xf numFmtId="174" fontId="27" fillId="0" borderId="0" applyFont="0" applyFill="0" applyBorder="0" applyAlignment="0" applyProtection="0"/>
    <xf numFmtId="174" fontId="27" fillId="0" borderId="0" applyFont="0" applyFill="0" applyBorder="0" applyAlignment="0" applyProtection="0"/>
    <xf numFmtId="174" fontId="27" fillId="0" borderId="0" applyFont="0" applyFill="0" applyBorder="0" applyAlignment="0" applyProtection="0"/>
    <xf numFmtId="174" fontId="27" fillId="0" borderId="0" applyFont="0" applyFill="0" applyBorder="0" applyAlignment="0" applyProtection="0"/>
    <xf numFmtId="175" fontId="12" fillId="0" borderId="0" applyFont="0" applyFill="0" applyBorder="0" applyAlignment="0" applyProtection="0"/>
    <xf numFmtId="175" fontId="12" fillId="0" borderId="0" applyFont="0" applyFill="0" applyBorder="0" applyAlignment="0" applyProtection="0"/>
    <xf numFmtId="0" fontId="27" fillId="0" borderId="0"/>
    <xf numFmtId="174" fontId="27" fillId="0" borderId="0" applyFont="0" applyFill="0" applyBorder="0" applyAlignment="0" applyProtection="0"/>
    <xf numFmtId="0" fontId="27" fillId="0" borderId="0"/>
    <xf numFmtId="175" fontId="12" fillId="0" borderId="0" applyFont="0" applyFill="0" applyBorder="0" applyAlignment="0" applyProtection="0"/>
    <xf numFmtId="174" fontId="27" fillId="0" borderId="0" applyFont="0" applyFill="0" applyBorder="0" applyAlignment="0" applyProtection="0"/>
    <xf numFmtId="175" fontId="12" fillId="0" borderId="0" applyFont="0" applyFill="0" applyBorder="0" applyAlignment="0" applyProtection="0"/>
    <xf numFmtId="175" fontId="12" fillId="0" borderId="0" applyFont="0" applyFill="0" applyBorder="0" applyAlignment="0" applyProtection="0"/>
    <xf numFmtId="175" fontId="12" fillId="0" borderId="0" applyFont="0" applyFill="0" applyBorder="0" applyAlignment="0" applyProtection="0"/>
    <xf numFmtId="175" fontId="12" fillId="0" borderId="0" applyFont="0" applyFill="0" applyBorder="0" applyAlignment="0" applyProtection="0"/>
    <xf numFmtId="174" fontId="27" fillId="0" borderId="0" applyFont="0" applyFill="0" applyBorder="0" applyAlignment="0" applyProtection="0"/>
    <xf numFmtId="174" fontId="27" fillId="0" borderId="0" applyFont="0" applyFill="0" applyBorder="0" applyAlignment="0" applyProtection="0"/>
    <xf numFmtId="0" fontId="27" fillId="0" borderId="0"/>
    <xf numFmtId="175" fontId="12" fillId="0" borderId="0" applyFont="0" applyFill="0" applyBorder="0" applyAlignment="0" applyProtection="0"/>
    <xf numFmtId="0" fontId="27" fillId="0" borderId="0"/>
    <xf numFmtId="174" fontId="27" fillId="0" borderId="0" applyFont="0" applyFill="0" applyBorder="0" applyAlignment="0" applyProtection="0"/>
    <xf numFmtId="175" fontId="12" fillId="0" borderId="0" applyFont="0" applyFill="0" applyBorder="0" applyAlignment="0" applyProtection="0"/>
    <xf numFmtId="174" fontId="27" fillId="0" borderId="0" applyFont="0" applyFill="0" applyBorder="0" applyAlignment="0" applyProtection="0"/>
    <xf numFmtId="174" fontId="27" fillId="0" borderId="0" applyFont="0" applyFill="0" applyBorder="0" applyAlignment="0" applyProtection="0"/>
    <xf numFmtId="174" fontId="27" fillId="0" borderId="0" applyFont="0" applyFill="0" applyBorder="0" applyAlignment="0" applyProtection="0"/>
    <xf numFmtId="174" fontId="27" fillId="0" borderId="0" applyFont="0" applyFill="0" applyBorder="0" applyAlignment="0" applyProtection="0"/>
    <xf numFmtId="175" fontId="12" fillId="0" borderId="0" applyFont="0" applyFill="0" applyBorder="0" applyAlignment="0" applyProtection="0"/>
    <xf numFmtId="175" fontId="12" fillId="0" borderId="0" applyFont="0" applyFill="0" applyBorder="0" applyAlignment="0" applyProtection="0"/>
    <xf numFmtId="0" fontId="27" fillId="0" borderId="0"/>
    <xf numFmtId="175" fontId="12" fillId="0" borderId="0" applyFont="0" applyFill="0" applyBorder="0" applyAlignment="0" applyProtection="0"/>
    <xf numFmtId="0" fontId="27" fillId="0" borderId="0"/>
    <xf numFmtId="174" fontId="27" fillId="0" borderId="0" applyFont="0" applyFill="0" applyBorder="0" applyAlignment="0" applyProtection="0"/>
    <xf numFmtId="0" fontId="27" fillId="0" borderId="0"/>
    <xf numFmtId="175" fontId="12" fillId="0" borderId="0" applyFont="0" applyFill="0" applyBorder="0" applyAlignment="0" applyProtection="0"/>
    <xf numFmtId="0" fontId="27" fillId="0" borderId="0"/>
    <xf numFmtId="175" fontId="12" fillId="0" borderId="0" applyFont="0" applyFill="0" applyBorder="0" applyAlignment="0" applyProtection="0"/>
    <xf numFmtId="0" fontId="27" fillId="0" borderId="0"/>
    <xf numFmtId="174" fontId="27" fillId="0" borderId="0" applyFont="0" applyFill="0" applyBorder="0" applyAlignment="0" applyProtection="0"/>
    <xf numFmtId="0" fontId="27" fillId="0" borderId="0"/>
    <xf numFmtId="174" fontId="27" fillId="0" borderId="0" applyFont="0" applyFill="0" applyBorder="0" applyAlignment="0" applyProtection="0"/>
    <xf numFmtId="0" fontId="27" fillId="0" borderId="0"/>
    <xf numFmtId="174" fontId="27" fillId="0" borderId="0" applyFont="0" applyFill="0" applyBorder="0" applyAlignment="0" applyProtection="0"/>
    <xf numFmtId="0" fontId="27" fillId="0" borderId="0"/>
    <xf numFmtId="174" fontId="27" fillId="0" borderId="0" applyFont="0" applyFill="0" applyBorder="0" applyAlignment="0" applyProtection="0"/>
    <xf numFmtId="0" fontId="27" fillId="0" borderId="0"/>
    <xf numFmtId="174" fontId="27" fillId="0" borderId="0" applyFont="0" applyFill="0" applyBorder="0" applyAlignment="0" applyProtection="0"/>
    <xf numFmtId="0" fontId="27" fillId="0" borderId="0"/>
    <xf numFmtId="174" fontId="27" fillId="0" borderId="0" applyFont="0" applyFill="0" applyBorder="0" applyAlignment="0" applyProtection="0"/>
    <xf numFmtId="175" fontId="12" fillId="0" borderId="0" applyFont="0" applyFill="0" applyBorder="0" applyAlignment="0" applyProtection="0"/>
    <xf numFmtId="175" fontId="12" fillId="0" borderId="0" applyFont="0" applyFill="0" applyBorder="0" applyAlignment="0" applyProtection="0"/>
    <xf numFmtId="174" fontId="27" fillId="0" borderId="0" applyFont="0" applyFill="0" applyBorder="0" applyAlignment="0" applyProtection="0"/>
    <xf numFmtId="0" fontId="27" fillId="0" borderId="0"/>
    <xf numFmtId="175" fontId="12" fillId="0" borderId="0" applyFont="0" applyFill="0" applyBorder="0" applyAlignment="0" applyProtection="0"/>
    <xf numFmtId="0" fontId="27" fillId="0" borderId="0"/>
    <xf numFmtId="175" fontId="12" fillId="0" borderId="0" applyFont="0" applyFill="0" applyBorder="0" applyAlignment="0" applyProtection="0"/>
    <xf numFmtId="0" fontId="27" fillId="0" borderId="0"/>
    <xf numFmtId="175" fontId="12" fillId="0" borderId="0" applyFont="0" applyFill="0" applyBorder="0" applyAlignment="0" applyProtection="0"/>
    <xf numFmtId="0" fontId="27" fillId="0" borderId="0"/>
    <xf numFmtId="175" fontId="12" fillId="0" borderId="0" applyFont="0" applyFill="0" applyBorder="0" applyAlignment="0" applyProtection="0"/>
    <xf numFmtId="0" fontId="27" fillId="0" borderId="0"/>
    <xf numFmtId="175" fontId="12" fillId="0" borderId="0" applyFont="0" applyFill="0" applyBorder="0" applyAlignment="0" applyProtection="0"/>
    <xf numFmtId="0" fontId="27" fillId="0" borderId="0"/>
    <xf numFmtId="175" fontId="12" fillId="0" borderId="0" applyFont="0" applyFill="0" applyBorder="0" applyAlignment="0" applyProtection="0"/>
    <xf numFmtId="175" fontId="12" fillId="0" borderId="0" applyFont="0" applyFill="0" applyBorder="0" applyAlignment="0" applyProtection="0"/>
    <xf numFmtId="174" fontId="27" fillId="0" borderId="0" applyFont="0" applyFill="0" applyBorder="0" applyAlignment="0" applyProtection="0"/>
    <xf numFmtId="175" fontId="12" fillId="0" borderId="0" applyFont="0" applyFill="0" applyBorder="0" applyAlignment="0" applyProtection="0"/>
    <xf numFmtId="175" fontId="12" fillId="0" borderId="0" applyFont="0" applyFill="0" applyBorder="0" applyAlignment="0" applyProtection="0"/>
    <xf numFmtId="174" fontId="27" fillId="0" borderId="0" applyFont="0" applyFill="0" applyBorder="0" applyAlignment="0" applyProtection="0"/>
    <xf numFmtId="174" fontId="27" fillId="0" borderId="0" applyFont="0" applyFill="0" applyBorder="0" applyAlignment="0" applyProtection="0"/>
    <xf numFmtId="175" fontId="12" fillId="0" borderId="0" applyFont="0" applyFill="0" applyBorder="0" applyAlignment="0" applyProtection="0"/>
    <xf numFmtId="175" fontId="12" fillId="0" borderId="0" applyFont="0" applyFill="0" applyBorder="0" applyAlignment="0" applyProtection="0"/>
    <xf numFmtId="174" fontId="27" fillId="0" borderId="0" applyFont="0" applyFill="0" applyBorder="0" applyAlignment="0" applyProtection="0"/>
    <xf numFmtId="175" fontId="12" fillId="0" borderId="0" applyFont="0" applyFill="0" applyBorder="0" applyAlignment="0" applyProtection="0"/>
    <xf numFmtId="175" fontId="12" fillId="0" borderId="0" applyFont="0" applyFill="0" applyBorder="0" applyAlignment="0" applyProtection="0"/>
    <xf numFmtId="174" fontId="27" fillId="0" borderId="0" applyFont="0" applyFill="0" applyBorder="0" applyAlignment="0" applyProtection="0"/>
    <xf numFmtId="175" fontId="12" fillId="0" borderId="0" applyFont="0" applyFill="0" applyBorder="0" applyAlignment="0" applyProtection="0"/>
    <xf numFmtId="175" fontId="12" fillId="0" borderId="0" applyFont="0" applyFill="0" applyBorder="0" applyAlignment="0" applyProtection="0"/>
    <xf numFmtId="174" fontId="27" fillId="0" borderId="0" applyFont="0" applyFill="0" applyBorder="0" applyAlignment="0" applyProtection="0"/>
    <xf numFmtId="175" fontId="12" fillId="0" borderId="0" applyFont="0" applyFill="0" applyBorder="0" applyAlignment="0" applyProtection="0"/>
    <xf numFmtId="175" fontId="12" fillId="0" borderId="0" applyFont="0" applyFill="0" applyBorder="0" applyAlignment="0" applyProtection="0"/>
    <xf numFmtId="175" fontId="12" fillId="0" borderId="0" applyFont="0" applyFill="0" applyBorder="0" applyAlignment="0" applyProtection="0"/>
    <xf numFmtId="174" fontId="27" fillId="0" borderId="0" applyFont="0" applyFill="0" applyBorder="0" applyAlignment="0" applyProtection="0"/>
    <xf numFmtId="164" fontId="12" fillId="0" borderId="0" applyFont="0" applyFill="0" applyBorder="0" applyAlignment="0" applyProtection="0"/>
    <xf numFmtId="174" fontId="27" fillId="0" borderId="0" applyFont="0" applyFill="0" applyBorder="0" applyAlignment="0" applyProtection="0"/>
    <xf numFmtId="175" fontId="12" fillId="0" borderId="0" applyFont="0" applyFill="0" applyBorder="0" applyAlignment="0" applyProtection="0"/>
    <xf numFmtId="175" fontId="12" fillId="0" borderId="0" applyFont="0" applyFill="0" applyBorder="0" applyAlignment="0" applyProtection="0"/>
    <xf numFmtId="174" fontId="27" fillId="0" borderId="0" applyFont="0" applyFill="0" applyBorder="0" applyAlignment="0" applyProtection="0"/>
    <xf numFmtId="174" fontId="27" fillId="0" borderId="0" applyFont="0" applyFill="0" applyBorder="0" applyAlignment="0" applyProtection="0"/>
    <xf numFmtId="174" fontId="27" fillId="0" borderId="0" applyFont="0" applyFill="0" applyBorder="0" applyAlignment="0" applyProtection="0"/>
    <xf numFmtId="174" fontId="27" fillId="0" borderId="0" applyFont="0" applyFill="0" applyBorder="0" applyAlignment="0" applyProtection="0"/>
    <xf numFmtId="174" fontId="27" fillId="0" borderId="0" applyFont="0" applyFill="0" applyBorder="0" applyAlignment="0" applyProtection="0"/>
    <xf numFmtId="174" fontId="27" fillId="0" borderId="0" applyFont="0" applyFill="0" applyBorder="0" applyAlignment="0" applyProtection="0"/>
    <xf numFmtId="174" fontId="27" fillId="0" borderId="0" applyFont="0" applyFill="0" applyBorder="0" applyAlignment="0" applyProtection="0"/>
    <xf numFmtId="174" fontId="27" fillId="0" borderId="0" applyFont="0" applyFill="0" applyBorder="0" applyAlignment="0" applyProtection="0"/>
    <xf numFmtId="175" fontId="12" fillId="0" borderId="0" applyFont="0" applyFill="0" applyBorder="0" applyAlignment="0" applyProtection="0"/>
    <xf numFmtId="174" fontId="27" fillId="0" borderId="0" applyFont="0" applyFill="0" applyBorder="0" applyAlignment="0" applyProtection="0"/>
    <xf numFmtId="174" fontId="27" fillId="0" borderId="0" applyFont="0" applyFill="0" applyBorder="0" applyAlignment="0" applyProtection="0"/>
    <xf numFmtId="175" fontId="12" fillId="0" borderId="0" applyFont="0" applyFill="0" applyBorder="0" applyAlignment="0" applyProtection="0"/>
    <xf numFmtId="175" fontId="12" fillId="0" borderId="0" applyFont="0" applyFill="0" applyBorder="0" applyAlignment="0" applyProtection="0"/>
    <xf numFmtId="174" fontId="27" fillId="0" borderId="0" applyFont="0" applyFill="0" applyBorder="0" applyAlignment="0" applyProtection="0"/>
    <xf numFmtId="174" fontId="27" fillId="0" borderId="0" applyFont="0" applyFill="0" applyBorder="0" applyAlignment="0" applyProtection="0"/>
    <xf numFmtId="175" fontId="12" fillId="0" borderId="0" applyFont="0" applyFill="0" applyBorder="0" applyAlignment="0" applyProtection="0"/>
    <xf numFmtId="174" fontId="27" fillId="0" borderId="0" applyFont="0" applyFill="0" applyBorder="0" applyAlignment="0" applyProtection="0"/>
    <xf numFmtId="174" fontId="27" fillId="0" borderId="0" applyFont="0" applyFill="0" applyBorder="0" applyAlignment="0" applyProtection="0"/>
    <xf numFmtId="175" fontId="12" fillId="0" borderId="0" applyFont="0" applyFill="0" applyBorder="0" applyAlignment="0" applyProtection="0"/>
    <xf numFmtId="174" fontId="27" fillId="0" borderId="0" applyFont="0" applyFill="0" applyBorder="0" applyAlignment="0" applyProtection="0"/>
    <xf numFmtId="174" fontId="27" fillId="0" borderId="0" applyFont="0" applyFill="0" applyBorder="0" applyAlignment="0" applyProtection="0"/>
    <xf numFmtId="175" fontId="12" fillId="0" borderId="0" applyFont="0" applyFill="0" applyBorder="0" applyAlignment="0" applyProtection="0"/>
    <xf numFmtId="175" fontId="12" fillId="0" borderId="0" applyFont="0" applyFill="0" applyBorder="0" applyAlignment="0" applyProtection="0"/>
    <xf numFmtId="164" fontId="12" fillId="0" borderId="0" applyFont="0" applyFill="0" applyBorder="0" applyAlignment="0" applyProtection="0"/>
    <xf numFmtId="175" fontId="12" fillId="0" borderId="0" applyFont="0" applyFill="0" applyBorder="0" applyAlignment="0" applyProtection="0"/>
    <xf numFmtId="175" fontId="12" fillId="0" borderId="0" applyFont="0" applyFill="0" applyBorder="0" applyAlignment="0" applyProtection="0"/>
    <xf numFmtId="175"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75" fontId="12" fillId="0" borderId="0" applyFont="0" applyFill="0" applyBorder="0" applyAlignment="0" applyProtection="0"/>
    <xf numFmtId="174" fontId="27" fillId="0" borderId="0" applyFont="0" applyFill="0" applyBorder="0" applyAlignment="0" applyProtection="0"/>
    <xf numFmtId="174" fontId="27" fillId="0" borderId="0" applyFont="0" applyFill="0" applyBorder="0" applyAlignment="0" applyProtection="0"/>
    <xf numFmtId="175" fontId="12" fillId="0" borderId="0" applyFont="0" applyFill="0" applyBorder="0" applyAlignment="0" applyProtection="0"/>
    <xf numFmtId="174" fontId="27" fillId="0" borderId="0" applyFont="0" applyFill="0" applyBorder="0" applyAlignment="0" applyProtection="0"/>
    <xf numFmtId="175" fontId="12" fillId="0" borderId="0" applyFont="0" applyFill="0" applyBorder="0" applyAlignment="0" applyProtection="0"/>
    <xf numFmtId="175" fontId="12" fillId="0" borderId="0" applyFont="0" applyFill="0" applyBorder="0" applyAlignment="0" applyProtection="0"/>
    <xf numFmtId="174" fontId="27" fillId="0" borderId="0" applyFont="0" applyFill="0" applyBorder="0" applyAlignment="0" applyProtection="0"/>
    <xf numFmtId="175" fontId="12" fillId="0" borderId="0" applyFont="0" applyFill="0" applyBorder="0" applyAlignment="0" applyProtection="0"/>
    <xf numFmtId="175" fontId="12" fillId="0" borderId="0" applyFont="0" applyFill="0" applyBorder="0" applyAlignment="0" applyProtection="0"/>
    <xf numFmtId="175" fontId="12" fillId="0" borderId="0" applyFont="0" applyFill="0" applyBorder="0" applyAlignment="0" applyProtection="0"/>
    <xf numFmtId="175" fontId="12" fillId="0" borderId="0" applyFont="0" applyFill="0" applyBorder="0" applyAlignment="0" applyProtection="0"/>
    <xf numFmtId="175" fontId="12" fillId="0" borderId="0" applyFont="0" applyFill="0" applyBorder="0" applyAlignment="0" applyProtection="0"/>
    <xf numFmtId="175" fontId="12" fillId="0" borderId="0" applyFont="0" applyFill="0" applyBorder="0" applyAlignment="0" applyProtection="0"/>
    <xf numFmtId="175" fontId="12" fillId="0" borderId="0" applyFont="0" applyFill="0" applyBorder="0" applyAlignment="0" applyProtection="0"/>
    <xf numFmtId="175" fontId="12" fillId="0" borderId="0" applyFont="0" applyFill="0" applyBorder="0" applyAlignment="0" applyProtection="0"/>
    <xf numFmtId="175" fontId="12" fillId="0" borderId="0" applyFont="0" applyFill="0" applyBorder="0" applyAlignment="0" applyProtection="0"/>
    <xf numFmtId="175" fontId="12" fillId="0" borderId="0" applyFont="0" applyFill="0" applyBorder="0" applyAlignment="0" applyProtection="0"/>
    <xf numFmtId="175" fontId="12" fillId="0" borderId="0" applyFont="0" applyFill="0" applyBorder="0" applyAlignment="0" applyProtection="0"/>
    <xf numFmtId="174" fontId="27" fillId="0" borderId="0" applyFont="0" applyFill="0" applyBorder="0" applyAlignment="0" applyProtection="0"/>
    <xf numFmtId="175" fontId="12" fillId="0" borderId="0" applyFont="0" applyFill="0" applyBorder="0" applyAlignment="0" applyProtection="0"/>
    <xf numFmtId="175" fontId="12" fillId="0" borderId="0" applyFont="0" applyFill="0" applyBorder="0" applyAlignment="0" applyProtection="0"/>
    <xf numFmtId="174" fontId="27" fillId="0" borderId="0" applyFont="0" applyFill="0" applyBorder="0" applyAlignment="0" applyProtection="0"/>
    <xf numFmtId="175" fontId="12" fillId="0" borderId="0" applyFont="0" applyFill="0" applyBorder="0" applyAlignment="0" applyProtection="0"/>
    <xf numFmtId="174" fontId="27" fillId="0" borderId="0" applyFont="0" applyFill="0" applyBorder="0" applyAlignment="0" applyProtection="0"/>
    <xf numFmtId="174" fontId="27" fillId="0" borderId="0" applyFont="0" applyFill="0" applyBorder="0" applyAlignment="0" applyProtection="0"/>
    <xf numFmtId="174" fontId="27" fillId="0" borderId="0" applyFont="0" applyFill="0" applyBorder="0" applyAlignment="0" applyProtection="0"/>
    <xf numFmtId="175" fontId="12" fillId="0" borderId="0" applyFont="0" applyFill="0" applyBorder="0" applyAlignment="0" applyProtection="0"/>
    <xf numFmtId="174" fontId="27" fillId="0" borderId="0" applyFont="0" applyFill="0" applyBorder="0" applyAlignment="0" applyProtection="0"/>
    <xf numFmtId="174" fontId="27" fillId="0" borderId="0" applyFont="0" applyFill="0" applyBorder="0" applyAlignment="0" applyProtection="0"/>
    <xf numFmtId="175" fontId="12" fillId="0" borderId="0" applyFont="0" applyFill="0" applyBorder="0" applyAlignment="0" applyProtection="0"/>
    <xf numFmtId="175" fontId="12" fillId="0" borderId="0" applyFont="0" applyFill="0" applyBorder="0" applyAlignment="0" applyProtection="0"/>
    <xf numFmtId="175" fontId="12" fillId="0" borderId="0" applyFont="0" applyFill="0" applyBorder="0" applyAlignment="0" applyProtection="0"/>
    <xf numFmtId="175" fontId="12" fillId="0" borderId="0" applyFont="0" applyFill="0" applyBorder="0" applyAlignment="0" applyProtection="0"/>
    <xf numFmtId="175" fontId="12" fillId="0" borderId="0" applyFont="0" applyFill="0" applyBorder="0" applyAlignment="0" applyProtection="0"/>
    <xf numFmtId="174" fontId="27" fillId="0" borderId="0" applyFont="0" applyFill="0" applyBorder="0" applyAlignment="0" applyProtection="0"/>
    <xf numFmtId="175" fontId="12" fillId="0" borderId="0" applyFont="0" applyFill="0" applyBorder="0" applyAlignment="0" applyProtection="0"/>
    <xf numFmtId="174" fontId="27" fillId="0" borderId="0" applyFont="0" applyFill="0" applyBorder="0" applyAlignment="0" applyProtection="0"/>
    <xf numFmtId="175" fontId="12" fillId="0" borderId="0" applyFont="0" applyFill="0" applyBorder="0" applyAlignment="0" applyProtection="0"/>
    <xf numFmtId="175" fontId="12" fillId="0" borderId="0" applyFont="0" applyFill="0" applyBorder="0" applyAlignment="0" applyProtection="0"/>
    <xf numFmtId="175" fontId="12" fillId="0" borderId="0" applyFont="0" applyFill="0" applyBorder="0" applyAlignment="0" applyProtection="0"/>
    <xf numFmtId="175" fontId="12" fillId="0" borderId="0" applyFont="0" applyFill="0" applyBorder="0" applyAlignment="0" applyProtection="0"/>
    <xf numFmtId="175" fontId="12" fillId="0" borderId="0" applyFont="0" applyFill="0" applyBorder="0" applyAlignment="0" applyProtection="0"/>
    <xf numFmtId="174" fontId="27" fillId="0" borderId="0" applyFont="0" applyFill="0" applyBorder="0" applyAlignment="0" applyProtection="0"/>
    <xf numFmtId="175" fontId="12" fillId="0" borderId="0" applyFont="0" applyFill="0" applyBorder="0" applyAlignment="0" applyProtection="0"/>
    <xf numFmtId="174" fontId="27" fillId="0" borderId="0" applyFont="0" applyFill="0" applyBorder="0" applyAlignment="0" applyProtection="0"/>
    <xf numFmtId="175" fontId="12" fillId="0" borderId="0" applyFont="0" applyFill="0" applyBorder="0" applyAlignment="0" applyProtection="0"/>
    <xf numFmtId="175" fontId="12" fillId="0" borderId="0" applyFont="0" applyFill="0" applyBorder="0" applyAlignment="0" applyProtection="0"/>
    <xf numFmtId="175" fontId="12" fillId="0" borderId="0" applyFont="0" applyFill="0" applyBorder="0" applyAlignment="0" applyProtection="0"/>
    <xf numFmtId="175" fontId="12" fillId="0" borderId="0" applyFont="0" applyFill="0" applyBorder="0" applyAlignment="0" applyProtection="0"/>
    <xf numFmtId="174" fontId="27" fillId="0" borderId="0" applyFont="0" applyFill="0" applyBorder="0" applyAlignment="0" applyProtection="0"/>
    <xf numFmtId="175" fontId="12" fillId="0" borderId="0" applyFont="0" applyFill="0" applyBorder="0" applyAlignment="0" applyProtection="0"/>
    <xf numFmtId="174" fontId="27" fillId="0" borderId="0" applyFont="0" applyFill="0" applyBorder="0" applyAlignment="0" applyProtection="0"/>
    <xf numFmtId="175" fontId="12" fillId="0" borderId="0" applyFont="0" applyFill="0" applyBorder="0" applyAlignment="0" applyProtection="0"/>
    <xf numFmtId="175" fontId="12" fillId="0" borderId="0" applyFont="0" applyFill="0" applyBorder="0" applyAlignment="0" applyProtection="0"/>
    <xf numFmtId="175" fontId="12" fillId="0" borderId="0" applyFont="0" applyFill="0" applyBorder="0" applyAlignment="0" applyProtection="0"/>
    <xf numFmtId="174" fontId="12" fillId="0" borderId="0" applyFont="0" applyFill="0" applyBorder="0" applyAlignment="0" applyProtection="0"/>
    <xf numFmtId="164" fontId="12" fillId="0" borderId="0" applyFont="0" applyFill="0" applyBorder="0" applyAlignment="0" applyProtection="0"/>
    <xf numFmtId="0" fontId="27" fillId="0" borderId="0"/>
    <xf numFmtId="164" fontId="12" fillId="0" borderId="0" applyFont="0" applyFill="0" applyBorder="0" applyAlignment="0" applyProtection="0"/>
    <xf numFmtId="164" fontId="12" fillId="0" borderId="0" applyFont="0" applyFill="0" applyBorder="0" applyAlignment="0" applyProtection="0"/>
    <xf numFmtId="175" fontId="12" fillId="0" borderId="0" applyFont="0" applyFill="0" applyBorder="0" applyAlignment="0" applyProtection="0"/>
    <xf numFmtId="175" fontId="12" fillId="0" borderId="0" applyFont="0" applyFill="0" applyBorder="0" applyAlignment="0" applyProtection="0"/>
    <xf numFmtId="174" fontId="27" fillId="0" borderId="0" applyFont="0" applyFill="0" applyBorder="0" applyAlignment="0" applyProtection="0"/>
    <xf numFmtId="175" fontId="12" fillId="0" borderId="0" applyFont="0" applyFill="0" applyBorder="0" applyAlignment="0" applyProtection="0"/>
    <xf numFmtId="175" fontId="12" fillId="0" borderId="0" applyFont="0" applyFill="0" applyBorder="0" applyAlignment="0" applyProtection="0"/>
    <xf numFmtId="175" fontId="12" fillId="0" borderId="0" applyFont="0" applyFill="0" applyBorder="0" applyAlignment="0" applyProtection="0"/>
    <xf numFmtId="174" fontId="27" fillId="0" borderId="0" applyFont="0" applyFill="0" applyBorder="0" applyAlignment="0" applyProtection="0"/>
    <xf numFmtId="175" fontId="12" fillId="0" borderId="0" applyFont="0" applyFill="0" applyBorder="0" applyAlignment="0" applyProtection="0"/>
    <xf numFmtId="175" fontId="12" fillId="0" borderId="0" applyFont="0" applyFill="0" applyBorder="0" applyAlignment="0" applyProtection="0"/>
    <xf numFmtId="175" fontId="12" fillId="0" borderId="0" applyFont="0" applyFill="0" applyBorder="0" applyAlignment="0" applyProtection="0"/>
    <xf numFmtId="174" fontId="27" fillId="0" borderId="0" applyFont="0" applyFill="0" applyBorder="0" applyAlignment="0" applyProtection="0"/>
    <xf numFmtId="175" fontId="12" fillId="0" borderId="0" applyFont="0" applyFill="0" applyBorder="0" applyAlignment="0" applyProtection="0"/>
    <xf numFmtId="175" fontId="12" fillId="0" borderId="0" applyFont="0" applyFill="0" applyBorder="0" applyAlignment="0" applyProtection="0"/>
    <xf numFmtId="175" fontId="12" fillId="0" borderId="0" applyFont="0" applyFill="0" applyBorder="0" applyAlignment="0" applyProtection="0"/>
    <xf numFmtId="175" fontId="12" fillId="0" borderId="0" applyFont="0" applyFill="0" applyBorder="0" applyAlignment="0" applyProtection="0"/>
    <xf numFmtId="174" fontId="27" fillId="0" borderId="0" applyFont="0" applyFill="0" applyBorder="0" applyAlignment="0" applyProtection="0"/>
    <xf numFmtId="175" fontId="12" fillId="0" borderId="0" applyFont="0" applyFill="0" applyBorder="0" applyAlignment="0" applyProtection="0"/>
    <xf numFmtId="175" fontId="12" fillId="0" borderId="0" applyFont="0" applyFill="0" applyBorder="0" applyAlignment="0" applyProtection="0"/>
    <xf numFmtId="175" fontId="12" fillId="0" borderId="0" applyFont="0" applyFill="0" applyBorder="0" applyAlignment="0" applyProtection="0"/>
    <xf numFmtId="174" fontId="27" fillId="0" borderId="0" applyFont="0" applyFill="0" applyBorder="0" applyAlignment="0" applyProtection="0"/>
    <xf numFmtId="174" fontId="27" fillId="0" borderId="0" applyFont="0" applyFill="0" applyBorder="0" applyAlignment="0" applyProtection="0"/>
    <xf numFmtId="174" fontId="27" fillId="0" borderId="0" applyFont="0" applyFill="0" applyBorder="0" applyAlignment="0" applyProtection="0"/>
    <xf numFmtId="174" fontId="27" fillId="0" borderId="0" applyFont="0" applyFill="0" applyBorder="0" applyAlignment="0" applyProtection="0"/>
    <xf numFmtId="174" fontId="27" fillId="0" borderId="0" applyFont="0" applyFill="0" applyBorder="0" applyAlignment="0" applyProtection="0"/>
    <xf numFmtId="175" fontId="12" fillId="0" borderId="0" applyFont="0" applyFill="0" applyBorder="0" applyAlignment="0" applyProtection="0"/>
    <xf numFmtId="174" fontId="27" fillId="0" borderId="0" applyFont="0" applyFill="0" applyBorder="0" applyAlignment="0" applyProtection="0"/>
    <xf numFmtId="175" fontId="12" fillId="0" borderId="0" applyFont="0" applyFill="0" applyBorder="0" applyAlignment="0" applyProtection="0"/>
    <xf numFmtId="174" fontId="27" fillId="0" borderId="0" applyFont="0" applyFill="0" applyBorder="0" applyAlignment="0" applyProtection="0"/>
    <xf numFmtId="174" fontId="27" fillId="0" borderId="0" applyFont="0" applyFill="0" applyBorder="0" applyAlignment="0" applyProtection="0"/>
    <xf numFmtId="174" fontId="27" fillId="0" borderId="0" applyFont="0" applyFill="0" applyBorder="0" applyAlignment="0" applyProtection="0"/>
    <xf numFmtId="174" fontId="27" fillId="0" borderId="0" applyFont="0" applyFill="0" applyBorder="0" applyAlignment="0" applyProtection="0"/>
    <xf numFmtId="174" fontId="12" fillId="0" borderId="0" applyFill="0" applyBorder="0" applyAlignment="0" applyProtection="0"/>
    <xf numFmtId="174" fontId="12" fillId="0" borderId="0" applyFill="0" applyBorder="0" applyAlignment="0" applyProtection="0"/>
    <xf numFmtId="164" fontId="12" fillId="0" borderId="0" applyFont="0" applyFill="0" applyBorder="0" applyAlignment="0" applyProtection="0"/>
    <xf numFmtId="174" fontId="12" fillId="0" borderId="0" applyFill="0" applyBorder="0" applyAlignment="0" applyProtection="0"/>
    <xf numFmtId="174" fontId="12" fillId="0" borderId="0" applyFill="0" applyBorder="0" applyAlignment="0" applyProtection="0"/>
    <xf numFmtId="174" fontId="12" fillId="0" borderId="0" applyFill="0" applyBorder="0" applyAlignment="0" applyProtection="0"/>
    <xf numFmtId="164" fontId="12" fillId="0" borderId="0" applyFont="0" applyFill="0" applyBorder="0" applyAlignment="0" applyProtection="0"/>
    <xf numFmtId="174" fontId="12" fillId="0" borderId="0" applyFill="0" applyBorder="0" applyAlignment="0" applyProtection="0"/>
    <xf numFmtId="174" fontId="12" fillId="0" borderId="0" applyFill="0" applyBorder="0" applyAlignment="0" applyProtection="0"/>
    <xf numFmtId="0" fontId="30" fillId="8" borderId="91" applyNumberFormat="0" applyAlignment="0" applyProtection="0"/>
    <xf numFmtId="0" fontId="31" fillId="0" borderId="92" applyNumberFormat="0" applyFill="0" applyAlignment="0" applyProtection="0"/>
    <xf numFmtId="0" fontId="32" fillId="0" borderId="0" applyNumberFormat="0" applyFill="0" applyBorder="0" applyAlignment="0" applyProtection="0"/>
    <xf numFmtId="0" fontId="33" fillId="5" borderId="0" applyNumberFormat="0" applyBorder="0" applyAlignment="0" applyProtection="0"/>
    <xf numFmtId="0" fontId="29" fillId="0" borderId="0"/>
    <xf numFmtId="0" fontId="12" fillId="0" borderId="0"/>
    <xf numFmtId="0" fontId="29" fillId="0" borderId="0"/>
    <xf numFmtId="0" fontId="12" fillId="0" borderId="0"/>
    <xf numFmtId="0" fontId="29" fillId="0" borderId="0"/>
    <xf numFmtId="0" fontId="29" fillId="0" borderId="0"/>
    <xf numFmtId="0" fontId="12" fillId="0" borderId="0"/>
    <xf numFmtId="0" fontId="29" fillId="0" borderId="0"/>
    <xf numFmtId="0" fontId="29" fillId="0" borderId="0"/>
    <xf numFmtId="0" fontId="12" fillId="0" borderId="0"/>
    <xf numFmtId="0" fontId="29" fillId="0" borderId="0"/>
    <xf numFmtId="0" fontId="12" fillId="0" borderId="0"/>
    <xf numFmtId="0" fontId="29" fillId="0" borderId="0"/>
    <xf numFmtId="0" fontId="12" fillId="0" borderId="0"/>
    <xf numFmtId="0" fontId="12" fillId="0" borderId="0"/>
    <xf numFmtId="0" fontId="29" fillId="0" borderId="0"/>
    <xf numFmtId="0" fontId="7" fillId="0" borderId="0"/>
    <xf numFmtId="0" fontId="12" fillId="0" borderId="0"/>
    <xf numFmtId="0" fontId="7" fillId="0" borderId="0"/>
    <xf numFmtId="0" fontId="12" fillId="0" borderId="0"/>
    <xf numFmtId="0" fontId="12" fillId="0" borderId="0"/>
    <xf numFmtId="0" fontId="7" fillId="0" borderId="0"/>
    <xf numFmtId="0" fontId="29" fillId="0" borderId="0"/>
    <xf numFmtId="0" fontId="7" fillId="0" borderId="0"/>
    <xf numFmtId="0" fontId="12" fillId="0" borderId="0"/>
    <xf numFmtId="0" fontId="12" fillId="0" borderId="0"/>
    <xf numFmtId="0" fontId="7" fillId="0" borderId="0"/>
    <xf numFmtId="0" fontId="7" fillId="0" borderId="0"/>
    <xf numFmtId="0" fontId="12" fillId="0" borderId="0"/>
    <xf numFmtId="0" fontId="12" fillId="0" borderId="0"/>
    <xf numFmtId="0" fontId="7" fillId="0" borderId="0"/>
    <xf numFmtId="0" fontId="7" fillId="0" borderId="0"/>
    <xf numFmtId="0" fontId="12" fillId="0" borderId="0"/>
    <xf numFmtId="0" fontId="12" fillId="0" borderId="0"/>
    <xf numFmtId="0" fontId="7" fillId="0" borderId="0"/>
    <xf numFmtId="0" fontId="7" fillId="0" borderId="0"/>
    <xf numFmtId="0" fontId="29" fillId="0" borderId="0"/>
    <xf numFmtId="0" fontId="7" fillId="0" borderId="0"/>
    <xf numFmtId="0" fontId="27" fillId="0" borderId="0"/>
    <xf numFmtId="0" fontId="27" fillId="0" borderId="0"/>
    <xf numFmtId="0" fontId="29" fillId="0" borderId="0"/>
    <xf numFmtId="0" fontId="29" fillId="0" borderId="0"/>
    <xf numFmtId="0" fontId="12" fillId="0" borderId="0"/>
    <xf numFmtId="0" fontId="27" fillId="0" borderId="0"/>
    <xf numFmtId="0" fontId="12" fillId="0" borderId="0"/>
    <xf numFmtId="0" fontId="27" fillId="0" borderId="0"/>
    <xf numFmtId="0" fontId="12" fillId="0" borderId="0"/>
    <xf numFmtId="0" fontId="12" fillId="0" borderId="0"/>
    <xf numFmtId="0" fontId="12" fillId="0" borderId="0"/>
    <xf numFmtId="0" fontId="12" fillId="0" borderId="0"/>
    <xf numFmtId="0" fontId="12" fillId="0" borderId="0"/>
    <xf numFmtId="0" fontId="12" fillId="0" borderId="0"/>
    <xf numFmtId="0" fontId="27" fillId="0" borderId="0"/>
    <xf numFmtId="0" fontId="29" fillId="0" borderId="0"/>
    <xf numFmtId="0" fontId="29" fillId="0" borderId="0"/>
    <xf numFmtId="0" fontId="29" fillId="0" borderId="0"/>
    <xf numFmtId="0" fontId="12" fillId="0" borderId="0"/>
    <xf numFmtId="0" fontId="7" fillId="0" borderId="0"/>
    <xf numFmtId="0" fontId="12" fillId="0" borderId="0"/>
    <xf numFmtId="0" fontId="7" fillId="0" borderId="0"/>
    <xf numFmtId="0" fontId="12" fillId="0" borderId="0"/>
    <xf numFmtId="0" fontId="12" fillId="0" borderId="0"/>
    <xf numFmtId="0" fontId="7" fillId="0" borderId="0"/>
    <xf numFmtId="0" fontId="7" fillId="0" borderId="0"/>
    <xf numFmtId="0" fontId="7" fillId="0" borderId="0"/>
    <xf numFmtId="0" fontId="12" fillId="0" borderId="0"/>
    <xf numFmtId="0" fontId="27" fillId="0" borderId="0"/>
    <xf numFmtId="0" fontId="12" fillId="0" borderId="0"/>
    <xf numFmtId="0" fontId="12" fillId="0" borderId="0"/>
    <xf numFmtId="0" fontId="12" fillId="0" borderId="0"/>
    <xf numFmtId="0" fontId="12" fillId="0" borderId="0"/>
    <xf numFmtId="0" fontId="27" fillId="0" borderId="0"/>
    <xf numFmtId="0" fontId="29" fillId="0" borderId="0"/>
    <xf numFmtId="0" fontId="29" fillId="0" borderId="0"/>
    <xf numFmtId="0" fontId="29" fillId="0" borderId="0"/>
    <xf numFmtId="0" fontId="29" fillId="0" borderId="0"/>
    <xf numFmtId="0" fontId="7" fillId="0" borderId="0"/>
    <xf numFmtId="0" fontId="29" fillId="0" borderId="0"/>
    <xf numFmtId="0" fontId="7" fillId="0" borderId="0"/>
    <xf numFmtId="0" fontId="29" fillId="0" borderId="0"/>
    <xf numFmtId="0" fontId="7" fillId="0" borderId="0"/>
    <xf numFmtId="0" fontId="29" fillId="0" borderId="0"/>
    <xf numFmtId="0" fontId="7" fillId="0" borderId="0"/>
    <xf numFmtId="0" fontId="29" fillId="0" borderId="0"/>
    <xf numFmtId="0" fontId="7" fillId="0" borderId="0"/>
    <xf numFmtId="0" fontId="7" fillId="0" borderId="0"/>
    <xf numFmtId="0" fontId="29" fillId="0" borderId="0"/>
    <xf numFmtId="0" fontId="7" fillId="0" borderId="0"/>
    <xf numFmtId="0" fontId="7" fillId="0" borderId="0"/>
    <xf numFmtId="0" fontId="29" fillId="0" borderId="0"/>
    <xf numFmtId="0" fontId="7" fillId="0" borderId="0"/>
    <xf numFmtId="0" fontId="7" fillId="0" borderId="0"/>
    <xf numFmtId="0" fontId="29" fillId="0" borderId="0"/>
    <xf numFmtId="0" fontId="7" fillId="0" borderId="0"/>
    <xf numFmtId="0" fontId="27" fillId="0" borderId="0"/>
    <xf numFmtId="0" fontId="27" fillId="0" borderId="0"/>
    <xf numFmtId="0" fontId="27" fillId="0" borderId="0"/>
    <xf numFmtId="0" fontId="12" fillId="0" borderId="0"/>
    <xf numFmtId="0" fontId="29" fillId="0" borderId="0"/>
    <xf numFmtId="0" fontId="34" fillId="0" borderId="0"/>
    <xf numFmtId="0" fontId="12" fillId="0" borderId="0"/>
    <xf numFmtId="0" fontId="12" fillId="0" borderId="0"/>
    <xf numFmtId="0" fontId="12" fillId="0" borderId="0"/>
    <xf numFmtId="0" fontId="12" fillId="0" borderId="0"/>
    <xf numFmtId="0" fontId="12" fillId="0" borderId="0"/>
    <xf numFmtId="0" fontId="12" fillId="0" borderId="0"/>
    <xf numFmtId="0" fontId="7" fillId="0" borderId="0"/>
    <xf numFmtId="0" fontId="12" fillId="0" borderId="0"/>
    <xf numFmtId="0" fontId="12" fillId="0" borderId="0"/>
    <xf numFmtId="0" fontId="7" fillId="0" borderId="0"/>
    <xf numFmtId="0" fontId="7" fillId="0" borderId="0"/>
    <xf numFmtId="0" fontId="29" fillId="0" borderId="0"/>
    <xf numFmtId="0" fontId="7" fillId="0" borderId="0"/>
    <xf numFmtId="0" fontId="7" fillId="0" borderId="0"/>
    <xf numFmtId="0" fontId="29" fillId="0" borderId="0"/>
    <xf numFmtId="0" fontId="7" fillId="0" borderId="0"/>
    <xf numFmtId="0" fontId="7" fillId="0" borderId="0"/>
    <xf numFmtId="0" fontId="12" fillId="0" borderId="0"/>
    <xf numFmtId="0" fontId="7" fillId="0" borderId="0"/>
    <xf numFmtId="0" fontId="7" fillId="0" borderId="0"/>
    <xf numFmtId="0" fontId="29"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2" fillId="0" borderId="0"/>
    <xf numFmtId="0" fontId="7" fillId="0" borderId="0"/>
    <xf numFmtId="0" fontId="12" fillId="0" borderId="0"/>
    <xf numFmtId="0" fontId="12" fillId="0" borderId="0"/>
    <xf numFmtId="0" fontId="7" fillId="0" borderId="0"/>
    <xf numFmtId="0" fontId="7" fillId="0" borderId="0"/>
    <xf numFmtId="0" fontId="12" fillId="0" borderId="0"/>
    <xf numFmtId="0" fontId="12" fillId="0" borderId="0"/>
    <xf numFmtId="0" fontId="7" fillId="0" borderId="0"/>
    <xf numFmtId="0" fontId="7" fillId="0" borderId="0"/>
    <xf numFmtId="0" fontId="12" fillId="0" borderId="0"/>
    <xf numFmtId="0" fontId="7" fillId="0" borderId="0"/>
    <xf numFmtId="0" fontId="12" fillId="0" borderId="0"/>
    <xf numFmtId="0" fontId="29" fillId="0" borderId="0"/>
    <xf numFmtId="0" fontId="7" fillId="0" borderId="0"/>
    <xf numFmtId="0" fontId="29" fillId="0" borderId="0"/>
    <xf numFmtId="0" fontId="12" fillId="0" borderId="0"/>
    <xf numFmtId="0" fontId="12" fillId="0" borderId="0"/>
    <xf numFmtId="0" fontId="7" fillId="0" borderId="0"/>
    <xf numFmtId="0" fontId="7" fillId="0" borderId="0"/>
    <xf numFmtId="0" fontId="7" fillId="0" borderId="0"/>
    <xf numFmtId="0" fontId="7" fillId="0" borderId="0"/>
    <xf numFmtId="0" fontId="12" fillId="0" borderId="0"/>
    <xf numFmtId="0" fontId="7" fillId="0" borderId="0"/>
    <xf numFmtId="0" fontId="7" fillId="0" borderId="0"/>
    <xf numFmtId="0" fontId="29" fillId="0" borderId="0"/>
    <xf numFmtId="0" fontId="7" fillId="0" borderId="0"/>
    <xf numFmtId="0" fontId="7" fillId="0" borderId="0"/>
    <xf numFmtId="0" fontId="7" fillId="0" borderId="0"/>
    <xf numFmtId="0" fontId="7" fillId="0" borderId="0"/>
    <xf numFmtId="0" fontId="7" fillId="0" borderId="0"/>
    <xf numFmtId="0" fontId="7" fillId="0" borderId="0"/>
    <xf numFmtId="0" fontId="12" fillId="0" borderId="0"/>
    <xf numFmtId="0" fontId="7" fillId="0" borderId="0"/>
    <xf numFmtId="0" fontId="7" fillId="0" borderId="0"/>
    <xf numFmtId="0" fontId="29" fillId="0" borderId="0"/>
    <xf numFmtId="0" fontId="7" fillId="0" borderId="0"/>
    <xf numFmtId="0" fontId="7" fillId="0" borderId="0"/>
    <xf numFmtId="0" fontId="7" fillId="0" borderId="0"/>
    <xf numFmtId="0" fontId="7" fillId="0" borderId="0"/>
    <xf numFmtId="0" fontId="7" fillId="0" borderId="0"/>
    <xf numFmtId="0" fontId="7" fillId="0" borderId="0"/>
    <xf numFmtId="0" fontId="12" fillId="0" borderId="0"/>
    <xf numFmtId="0" fontId="7" fillId="0" borderId="0"/>
    <xf numFmtId="0" fontId="7" fillId="0" borderId="0"/>
    <xf numFmtId="0" fontId="29" fillId="0" borderId="0"/>
    <xf numFmtId="0" fontId="7" fillId="0" borderId="0"/>
    <xf numFmtId="0" fontId="7" fillId="0" borderId="0"/>
    <xf numFmtId="0" fontId="7" fillId="0" borderId="0"/>
    <xf numFmtId="0" fontId="7" fillId="0" borderId="0"/>
    <xf numFmtId="0" fontId="7" fillId="0" borderId="0"/>
    <xf numFmtId="0" fontId="12"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9" fillId="0" borderId="0"/>
    <xf numFmtId="0" fontId="7" fillId="0" borderId="0"/>
    <xf numFmtId="0" fontId="7" fillId="0" borderId="0"/>
    <xf numFmtId="0" fontId="7" fillId="0" borderId="0"/>
    <xf numFmtId="0" fontId="7" fillId="0" borderId="0"/>
    <xf numFmtId="0" fontId="29"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9" fillId="0" borderId="0"/>
    <xf numFmtId="0" fontId="29" fillId="0" borderId="0"/>
    <xf numFmtId="0" fontId="7" fillId="0" borderId="0"/>
    <xf numFmtId="0" fontId="7" fillId="0" borderId="0"/>
    <xf numFmtId="0" fontId="29" fillId="0" borderId="0"/>
    <xf numFmtId="0" fontId="29" fillId="0" borderId="0"/>
    <xf numFmtId="0" fontId="7" fillId="0" borderId="0"/>
    <xf numFmtId="0" fontId="7" fillId="0" borderId="0"/>
    <xf numFmtId="0" fontId="29" fillId="0" borderId="0"/>
    <xf numFmtId="0" fontId="29" fillId="0" borderId="0"/>
    <xf numFmtId="0" fontId="7" fillId="0" borderId="0"/>
    <xf numFmtId="0" fontId="7" fillId="0" borderId="0"/>
    <xf numFmtId="0" fontId="12" fillId="0" borderId="0"/>
    <xf numFmtId="0" fontId="12" fillId="0" borderId="0"/>
    <xf numFmtId="0" fontId="7" fillId="0" borderId="0"/>
    <xf numFmtId="0" fontId="7" fillId="0" borderId="0"/>
    <xf numFmtId="0" fontId="29" fillId="0" borderId="0"/>
    <xf numFmtId="0" fontId="7" fillId="0" borderId="0"/>
    <xf numFmtId="0" fontId="7" fillId="0" borderId="0"/>
    <xf numFmtId="0" fontId="29" fillId="0" borderId="0"/>
    <xf numFmtId="0" fontId="7" fillId="0" borderId="0"/>
    <xf numFmtId="0" fontId="12"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2" fillId="0" borderId="0"/>
    <xf numFmtId="0" fontId="12" fillId="0" borderId="0"/>
    <xf numFmtId="0" fontId="7" fillId="0" borderId="0"/>
    <xf numFmtId="0" fontId="7" fillId="0" borderId="0"/>
    <xf numFmtId="0" fontId="12" fillId="0" borderId="0"/>
    <xf numFmtId="0" fontId="12" fillId="0" borderId="0"/>
    <xf numFmtId="0" fontId="7" fillId="0" borderId="0"/>
    <xf numFmtId="0" fontId="7" fillId="0" borderId="0"/>
    <xf numFmtId="0" fontId="12" fillId="0" borderId="0"/>
    <xf numFmtId="0" fontId="12" fillId="0" borderId="0"/>
    <xf numFmtId="0" fontId="7" fillId="0" borderId="0"/>
    <xf numFmtId="0" fontId="7" fillId="0" borderId="0"/>
    <xf numFmtId="0" fontId="29" fillId="0" borderId="0"/>
    <xf numFmtId="0" fontId="29" fillId="0" borderId="0"/>
    <xf numFmtId="0" fontId="7" fillId="0" borderId="0"/>
    <xf numFmtId="0" fontId="7" fillId="0" borderId="0"/>
    <xf numFmtId="0" fontId="29" fillId="0" borderId="0"/>
    <xf numFmtId="0" fontId="7" fillId="0" borderId="0"/>
    <xf numFmtId="0" fontId="7" fillId="0" borderId="0"/>
    <xf numFmtId="0" fontId="29" fillId="0" borderId="0"/>
    <xf numFmtId="0" fontId="7" fillId="0" borderId="0"/>
    <xf numFmtId="0" fontId="29" fillId="0" borderId="0"/>
    <xf numFmtId="0" fontId="12" fillId="0" borderId="0"/>
    <xf numFmtId="0" fontId="12" fillId="0" borderId="0"/>
    <xf numFmtId="0" fontId="12" fillId="0" borderId="0"/>
    <xf numFmtId="0" fontId="12" fillId="0" borderId="0"/>
    <xf numFmtId="0" fontId="12" fillId="0" borderId="0"/>
    <xf numFmtId="0" fontId="29" fillId="0" borderId="0"/>
    <xf numFmtId="0" fontId="29" fillId="0" borderId="0"/>
    <xf numFmtId="0" fontId="29" fillId="0" borderId="0"/>
    <xf numFmtId="0" fontId="29" fillId="0" borderId="0"/>
    <xf numFmtId="0" fontId="29" fillId="0" borderId="0"/>
    <xf numFmtId="0" fontId="12" fillId="0" borderId="0"/>
    <xf numFmtId="0" fontId="12" fillId="0" borderId="0"/>
    <xf numFmtId="0" fontId="12" fillId="0" borderId="0"/>
    <xf numFmtId="0" fontId="29" fillId="0" borderId="0"/>
    <xf numFmtId="0" fontId="29" fillId="0" borderId="0"/>
    <xf numFmtId="0" fontId="12" fillId="0" borderId="0"/>
    <xf numFmtId="0" fontId="29" fillId="0" borderId="0"/>
    <xf numFmtId="0" fontId="12" fillId="0" borderId="0"/>
    <xf numFmtId="0" fontId="29" fillId="0" borderId="0"/>
    <xf numFmtId="0" fontId="12" fillId="0" borderId="0"/>
    <xf numFmtId="0" fontId="29" fillId="0" borderId="0"/>
    <xf numFmtId="0" fontId="12" fillId="0" borderId="0"/>
    <xf numFmtId="0" fontId="12" fillId="0" borderId="0"/>
    <xf numFmtId="0" fontId="29"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9" fillId="0" borderId="0"/>
    <xf numFmtId="0" fontId="29" fillId="0" borderId="0"/>
    <xf numFmtId="0" fontId="29" fillId="0" borderId="0"/>
    <xf numFmtId="0" fontId="12" fillId="0" borderId="0"/>
    <xf numFmtId="0" fontId="29" fillId="0" borderId="0"/>
    <xf numFmtId="0" fontId="12" fillId="0" borderId="0"/>
    <xf numFmtId="0" fontId="29" fillId="0" borderId="0"/>
    <xf numFmtId="0" fontId="29" fillId="0" borderId="0"/>
    <xf numFmtId="0" fontId="29" fillId="0" borderId="0"/>
    <xf numFmtId="0" fontId="29" fillId="0" borderId="0"/>
    <xf numFmtId="0" fontId="29" fillId="0" borderId="0"/>
    <xf numFmtId="0" fontId="29" fillId="0" borderId="0"/>
    <xf numFmtId="0" fontId="12" fillId="0" borderId="0"/>
    <xf numFmtId="0" fontId="29" fillId="0" borderId="0"/>
    <xf numFmtId="0" fontId="12" fillId="0" borderId="0"/>
    <xf numFmtId="0" fontId="29" fillId="0" borderId="0"/>
    <xf numFmtId="0" fontId="29" fillId="0" borderId="0"/>
    <xf numFmtId="0" fontId="29" fillId="0" borderId="0"/>
    <xf numFmtId="0" fontId="12" fillId="0" borderId="0"/>
    <xf numFmtId="0" fontId="29" fillId="0" borderId="0"/>
    <xf numFmtId="0" fontId="29" fillId="0" borderId="0"/>
    <xf numFmtId="0" fontId="29" fillId="0" borderId="0"/>
    <xf numFmtId="0" fontId="12" fillId="0" borderId="0"/>
    <xf numFmtId="0" fontId="12" fillId="0" borderId="0"/>
    <xf numFmtId="0" fontId="12" fillId="0" borderId="0"/>
    <xf numFmtId="0" fontId="27" fillId="0" borderId="0"/>
    <xf numFmtId="0" fontId="12" fillId="0" borderId="0"/>
    <xf numFmtId="0" fontId="12" fillId="0" borderId="0"/>
    <xf numFmtId="0" fontId="29" fillId="0" borderId="0"/>
    <xf numFmtId="0" fontId="12" fillId="0" borderId="0"/>
    <xf numFmtId="0" fontId="12" fillId="0" borderId="0"/>
    <xf numFmtId="0" fontId="12" fillId="0" borderId="0"/>
    <xf numFmtId="0" fontId="29" fillId="0" borderId="0"/>
    <xf numFmtId="0" fontId="12" fillId="0" borderId="0"/>
    <xf numFmtId="0" fontId="29" fillId="0" borderId="0"/>
    <xf numFmtId="0" fontId="12" fillId="0" borderId="0"/>
    <xf numFmtId="0" fontId="12" fillId="0" borderId="0"/>
    <xf numFmtId="0" fontId="12" fillId="0" borderId="0"/>
    <xf numFmtId="0" fontId="29" fillId="0" borderId="0"/>
    <xf numFmtId="0" fontId="29" fillId="0" borderId="0"/>
    <xf numFmtId="0" fontId="12" fillId="0" borderId="0"/>
    <xf numFmtId="0" fontId="29"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9" fillId="0" borderId="0"/>
    <xf numFmtId="0" fontId="27" fillId="0" borderId="0"/>
    <xf numFmtId="0" fontId="29" fillId="0" borderId="0"/>
    <xf numFmtId="0" fontId="29" fillId="0" borderId="0"/>
    <xf numFmtId="0" fontId="12" fillId="0" borderId="0"/>
    <xf numFmtId="0" fontId="29" fillId="0" borderId="0"/>
    <xf numFmtId="0" fontId="29" fillId="0" borderId="0"/>
    <xf numFmtId="0" fontId="29" fillId="0" borderId="0"/>
    <xf numFmtId="0" fontId="12" fillId="0" borderId="0"/>
    <xf numFmtId="0" fontId="29" fillId="0" borderId="0"/>
    <xf numFmtId="0" fontId="12" fillId="0" borderId="0"/>
    <xf numFmtId="0" fontId="29" fillId="0" borderId="0"/>
    <xf numFmtId="0" fontId="29" fillId="0" borderId="0"/>
    <xf numFmtId="0" fontId="29" fillId="0" borderId="0"/>
    <xf numFmtId="0" fontId="12" fillId="0" borderId="0"/>
    <xf numFmtId="0" fontId="12" fillId="0" borderId="0"/>
    <xf numFmtId="0" fontId="29" fillId="0" borderId="0"/>
    <xf numFmtId="0" fontId="12"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12" fillId="0" borderId="0"/>
    <xf numFmtId="0" fontId="27" fillId="0" borderId="0"/>
    <xf numFmtId="0" fontId="7" fillId="0" borderId="0"/>
    <xf numFmtId="0" fontId="29" fillId="0" borderId="0"/>
    <xf numFmtId="0" fontId="7" fillId="0" borderId="0"/>
    <xf numFmtId="0" fontId="7" fillId="0" borderId="0"/>
    <xf numFmtId="0" fontId="29" fillId="0" borderId="0"/>
    <xf numFmtId="0" fontId="7" fillId="0" borderId="0"/>
    <xf numFmtId="0" fontId="7" fillId="0" borderId="0"/>
    <xf numFmtId="0" fontId="12" fillId="0" borderId="0"/>
    <xf numFmtId="0" fontId="7" fillId="0" borderId="0"/>
    <xf numFmtId="0" fontId="12" fillId="0" borderId="0"/>
    <xf numFmtId="0" fontId="7" fillId="0" borderId="0"/>
    <xf numFmtId="0" fontId="12" fillId="0" borderId="0"/>
    <xf numFmtId="0" fontId="12" fillId="0" borderId="0"/>
    <xf numFmtId="0" fontId="12" fillId="0" borderId="0"/>
    <xf numFmtId="0" fontId="29" fillId="0" borderId="0"/>
    <xf numFmtId="0" fontId="7" fillId="0" borderId="0"/>
    <xf numFmtId="0" fontId="29" fillId="0" borderId="0"/>
    <xf numFmtId="0" fontId="12" fillId="0" borderId="0"/>
    <xf numFmtId="0" fontId="29" fillId="0" borderId="0"/>
    <xf numFmtId="0" fontId="29" fillId="0" borderId="0"/>
    <xf numFmtId="0" fontId="29" fillId="0" borderId="0"/>
    <xf numFmtId="0" fontId="29" fillId="0" borderId="0"/>
    <xf numFmtId="0" fontId="12" fillId="0" borderId="0"/>
    <xf numFmtId="0" fontId="12" fillId="0" borderId="0"/>
    <xf numFmtId="0" fontId="29" fillId="0" borderId="0"/>
    <xf numFmtId="0" fontId="12" fillId="0" borderId="0"/>
    <xf numFmtId="0" fontId="12" fillId="0" borderId="0"/>
    <xf numFmtId="0" fontId="12" fillId="0" borderId="0"/>
    <xf numFmtId="0" fontId="29" fillId="0" borderId="0"/>
    <xf numFmtId="0" fontId="12" fillId="0" borderId="0"/>
    <xf numFmtId="0" fontId="29" fillId="0" borderId="0"/>
    <xf numFmtId="0" fontId="12" fillId="0" borderId="0"/>
    <xf numFmtId="0" fontId="12" fillId="0" borderId="0"/>
    <xf numFmtId="0" fontId="12" fillId="0" borderId="0"/>
    <xf numFmtId="0" fontId="29" fillId="0" borderId="0"/>
    <xf numFmtId="0" fontId="12" fillId="0" borderId="0"/>
    <xf numFmtId="0" fontId="29" fillId="0" borderId="0"/>
    <xf numFmtId="0" fontId="12" fillId="0" borderId="0"/>
    <xf numFmtId="0" fontId="12" fillId="0" borderId="0"/>
    <xf numFmtId="0" fontId="12" fillId="0" borderId="0"/>
    <xf numFmtId="0" fontId="29"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7" fillId="0" borderId="0"/>
    <xf numFmtId="0" fontId="7" fillId="0" borderId="0"/>
    <xf numFmtId="0" fontId="29" fillId="0" borderId="0"/>
    <xf numFmtId="0" fontId="7" fillId="0" borderId="0"/>
    <xf numFmtId="0" fontId="7" fillId="0" borderId="0"/>
    <xf numFmtId="0" fontId="29" fillId="0" borderId="0"/>
    <xf numFmtId="0" fontId="7" fillId="0" borderId="0"/>
    <xf numFmtId="0" fontId="12" fillId="0" borderId="0"/>
    <xf numFmtId="0" fontId="29" fillId="0" borderId="0"/>
    <xf numFmtId="0" fontId="12" fillId="0" borderId="0"/>
    <xf numFmtId="0" fontId="29" fillId="0" borderId="0"/>
    <xf numFmtId="0" fontId="12" fillId="0" borderId="0"/>
    <xf numFmtId="0" fontId="29" fillId="0" borderId="0"/>
    <xf numFmtId="0" fontId="29" fillId="0" borderId="0"/>
    <xf numFmtId="0" fontId="12" fillId="0" borderId="0"/>
    <xf numFmtId="0" fontId="29" fillId="0" borderId="0"/>
    <xf numFmtId="0" fontId="12" fillId="0" borderId="0"/>
    <xf numFmtId="0" fontId="12" fillId="0" borderId="0"/>
    <xf numFmtId="0" fontId="12" fillId="0" borderId="0"/>
    <xf numFmtId="0" fontId="7" fillId="0" borderId="0"/>
    <xf numFmtId="0" fontId="29" fillId="0" borderId="0"/>
    <xf numFmtId="0" fontId="12" fillId="0" borderId="0"/>
    <xf numFmtId="0" fontId="12" fillId="0" borderId="0"/>
    <xf numFmtId="0" fontId="12" fillId="0" borderId="0"/>
    <xf numFmtId="0" fontId="12" fillId="0" borderId="0"/>
    <xf numFmtId="0" fontId="29" fillId="0" borderId="0"/>
    <xf numFmtId="0" fontId="29" fillId="0" borderId="0"/>
    <xf numFmtId="0" fontId="12" fillId="0" borderId="0"/>
    <xf numFmtId="0" fontId="29" fillId="0" borderId="0"/>
    <xf numFmtId="0" fontId="29" fillId="0" borderId="0"/>
    <xf numFmtId="0" fontId="12" fillId="0" borderId="0"/>
    <xf numFmtId="0" fontId="29" fillId="0" borderId="0"/>
    <xf numFmtId="0" fontId="29" fillId="0" borderId="0"/>
    <xf numFmtId="0" fontId="12" fillId="0" borderId="0"/>
    <xf numFmtId="0" fontId="29" fillId="0" borderId="0"/>
    <xf numFmtId="0" fontId="12" fillId="0" borderId="0"/>
    <xf numFmtId="0" fontId="29" fillId="0" borderId="0"/>
    <xf numFmtId="0" fontId="12" fillId="0" borderId="0"/>
    <xf numFmtId="0" fontId="29" fillId="0" borderId="0"/>
    <xf numFmtId="0" fontId="12" fillId="0" borderId="0"/>
    <xf numFmtId="0" fontId="29" fillId="0" borderId="0"/>
    <xf numFmtId="0" fontId="12" fillId="0" borderId="0"/>
    <xf numFmtId="0" fontId="29"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9" fillId="0" borderId="0"/>
    <xf numFmtId="0" fontId="29" fillId="0" borderId="0"/>
    <xf numFmtId="0" fontId="12" fillId="0" borderId="0"/>
    <xf numFmtId="0" fontId="29"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7" fillId="0" borderId="0"/>
    <xf numFmtId="0" fontId="29" fillId="0" borderId="0"/>
    <xf numFmtId="0" fontId="12" fillId="0" borderId="0"/>
    <xf numFmtId="0" fontId="12" fillId="0" borderId="0"/>
    <xf numFmtId="0" fontId="7" fillId="0" borderId="0"/>
    <xf numFmtId="0" fontId="7" fillId="0" borderId="0"/>
    <xf numFmtId="0" fontId="29" fillId="0" borderId="0"/>
    <xf numFmtId="0" fontId="12" fillId="0" borderId="0"/>
    <xf numFmtId="0" fontId="7" fillId="0" borderId="0"/>
    <xf numFmtId="0" fontId="12" fillId="0" borderId="0"/>
    <xf numFmtId="0" fontId="7" fillId="0" borderId="0"/>
    <xf numFmtId="0" fontId="12" fillId="0" borderId="0"/>
    <xf numFmtId="0" fontId="7" fillId="0" borderId="0"/>
    <xf numFmtId="0" fontId="12" fillId="0" borderId="0"/>
    <xf numFmtId="0" fontId="12" fillId="0" borderId="0"/>
    <xf numFmtId="0" fontId="12" fillId="0" borderId="0"/>
    <xf numFmtId="0" fontId="12" fillId="0" borderId="0"/>
    <xf numFmtId="0" fontId="12" fillId="0" borderId="0"/>
    <xf numFmtId="0" fontId="12"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2" fillId="0" borderId="0"/>
    <xf numFmtId="0" fontId="12" fillId="0" borderId="0"/>
    <xf numFmtId="0" fontId="12" fillId="0" borderId="0"/>
    <xf numFmtId="0" fontId="12" fillId="0" borderId="0"/>
    <xf numFmtId="0" fontId="12" fillId="0" borderId="0"/>
    <xf numFmtId="0" fontId="7" fillId="0" borderId="0"/>
    <xf numFmtId="0" fontId="12"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2" fillId="0" borderId="0"/>
    <xf numFmtId="0" fontId="7" fillId="0" borderId="0"/>
    <xf numFmtId="0" fontId="12" fillId="0" borderId="0"/>
    <xf numFmtId="0" fontId="12" fillId="0" borderId="0"/>
    <xf numFmtId="0" fontId="12" fillId="0" borderId="0"/>
    <xf numFmtId="0" fontId="12" fillId="0" borderId="0"/>
    <xf numFmtId="0" fontId="12" fillId="0" borderId="0"/>
    <xf numFmtId="0" fontId="7" fillId="0" borderId="0"/>
    <xf numFmtId="0" fontId="12" fillId="0" borderId="0"/>
    <xf numFmtId="0" fontId="7" fillId="0" borderId="0"/>
    <xf numFmtId="0" fontId="12" fillId="0" borderId="0"/>
    <xf numFmtId="0" fontId="7" fillId="0" borderId="0"/>
    <xf numFmtId="0" fontId="12"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2" fillId="0" borderId="0"/>
    <xf numFmtId="0" fontId="7" fillId="0" borderId="0"/>
    <xf numFmtId="0" fontId="12" fillId="0" borderId="0"/>
    <xf numFmtId="0" fontId="7" fillId="0" borderId="0"/>
    <xf numFmtId="0" fontId="12" fillId="0" borderId="0"/>
    <xf numFmtId="0" fontId="7" fillId="0" borderId="0"/>
    <xf numFmtId="0" fontId="7" fillId="0" borderId="0"/>
    <xf numFmtId="0" fontId="12" fillId="0" borderId="0"/>
    <xf numFmtId="0" fontId="7" fillId="0" borderId="0"/>
    <xf numFmtId="0" fontId="12" fillId="0" borderId="0"/>
    <xf numFmtId="0" fontId="12" fillId="0" borderId="0"/>
    <xf numFmtId="0" fontId="12" fillId="0" borderId="0"/>
    <xf numFmtId="0" fontId="12" fillId="0" borderId="0"/>
    <xf numFmtId="0" fontId="12" fillId="0" borderId="0"/>
    <xf numFmtId="0" fontId="29" fillId="0" borderId="0"/>
    <xf numFmtId="0" fontId="7" fillId="0" borderId="0"/>
    <xf numFmtId="0" fontId="12" fillId="0" borderId="0"/>
    <xf numFmtId="0" fontId="7" fillId="0" borderId="0"/>
    <xf numFmtId="0" fontId="12" fillId="0" borderId="0"/>
    <xf numFmtId="0" fontId="7" fillId="0" borderId="0"/>
    <xf numFmtId="0" fontId="12" fillId="0" borderId="0"/>
    <xf numFmtId="0" fontId="7" fillId="0" borderId="0"/>
    <xf numFmtId="0" fontId="7" fillId="0" borderId="0"/>
    <xf numFmtId="0" fontId="12" fillId="0" borderId="0"/>
    <xf numFmtId="0" fontId="7" fillId="0" borderId="0"/>
    <xf numFmtId="0" fontId="12" fillId="0" borderId="0"/>
    <xf numFmtId="0" fontId="7" fillId="0" borderId="0"/>
    <xf numFmtId="0" fontId="12" fillId="0" borderId="0"/>
    <xf numFmtId="0" fontId="7" fillId="0" borderId="0"/>
    <xf numFmtId="0" fontId="12"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2" fillId="0" borderId="0"/>
    <xf numFmtId="0" fontId="7" fillId="0" borderId="0"/>
    <xf numFmtId="0" fontId="12" fillId="0" borderId="0"/>
    <xf numFmtId="0" fontId="7" fillId="0" borderId="0"/>
    <xf numFmtId="0" fontId="12" fillId="0" borderId="0"/>
    <xf numFmtId="0" fontId="7" fillId="0" borderId="0"/>
    <xf numFmtId="0" fontId="12" fillId="0" borderId="0"/>
    <xf numFmtId="0" fontId="7" fillId="0" borderId="0"/>
    <xf numFmtId="0" fontId="7" fillId="0" borderId="0"/>
    <xf numFmtId="0" fontId="12" fillId="0" borderId="0"/>
    <xf numFmtId="0" fontId="7" fillId="0" borderId="0"/>
    <xf numFmtId="0" fontId="12" fillId="0" borderId="0"/>
    <xf numFmtId="0" fontId="7" fillId="0" borderId="0"/>
    <xf numFmtId="0" fontId="12" fillId="0" borderId="0"/>
    <xf numFmtId="0" fontId="7" fillId="0" borderId="0"/>
    <xf numFmtId="0" fontId="12" fillId="0" borderId="0"/>
    <xf numFmtId="0" fontId="7" fillId="0" borderId="0"/>
    <xf numFmtId="0" fontId="7" fillId="0" borderId="0"/>
    <xf numFmtId="0" fontId="12" fillId="0" borderId="0"/>
    <xf numFmtId="0" fontId="7" fillId="0" borderId="0"/>
    <xf numFmtId="0" fontId="12" fillId="0" borderId="0"/>
    <xf numFmtId="0" fontId="7" fillId="0" borderId="0"/>
    <xf numFmtId="0" fontId="12" fillId="0" borderId="0"/>
    <xf numFmtId="0" fontId="7" fillId="0" borderId="0"/>
    <xf numFmtId="0" fontId="7" fillId="0" borderId="0"/>
    <xf numFmtId="0" fontId="12" fillId="0" borderId="0"/>
    <xf numFmtId="0" fontId="7" fillId="0" borderId="0"/>
    <xf numFmtId="0" fontId="12" fillId="0" borderId="0"/>
    <xf numFmtId="0" fontId="29" fillId="0" borderId="0"/>
    <xf numFmtId="0" fontId="29" fillId="0" borderId="0"/>
    <xf numFmtId="0" fontId="12" fillId="0" borderId="0"/>
    <xf numFmtId="0" fontId="29" fillId="0" borderId="0"/>
    <xf numFmtId="0" fontId="12" fillId="0" borderId="0"/>
    <xf numFmtId="0" fontId="12" fillId="0" borderId="0"/>
    <xf numFmtId="0" fontId="29" fillId="0" borderId="0"/>
    <xf numFmtId="0" fontId="12" fillId="0" borderId="0"/>
    <xf numFmtId="0" fontId="29" fillId="0" borderId="0"/>
    <xf numFmtId="0" fontId="12" fillId="0" borderId="0"/>
    <xf numFmtId="0" fontId="7" fillId="0" borderId="0"/>
    <xf numFmtId="0" fontId="12" fillId="0" borderId="0"/>
    <xf numFmtId="0" fontId="7" fillId="0" borderId="0"/>
    <xf numFmtId="0" fontId="12" fillId="0" borderId="0"/>
    <xf numFmtId="0" fontId="12" fillId="0" borderId="0"/>
    <xf numFmtId="0" fontId="12" fillId="0" borderId="0"/>
    <xf numFmtId="0" fontId="12" fillId="0" borderId="0"/>
    <xf numFmtId="0" fontId="12" fillId="0" borderId="0"/>
    <xf numFmtId="0" fontId="12"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2" fillId="0" borderId="0"/>
    <xf numFmtId="0" fontId="12" fillId="0" borderId="0"/>
    <xf numFmtId="0" fontId="12" fillId="0" borderId="0"/>
    <xf numFmtId="0" fontId="12" fillId="0" borderId="0"/>
    <xf numFmtId="0" fontId="12" fillId="0" borderId="0"/>
    <xf numFmtId="0" fontId="7" fillId="0" borderId="0"/>
    <xf numFmtId="0" fontId="12"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2" fillId="0" borderId="0"/>
    <xf numFmtId="0" fontId="7" fillId="0" borderId="0"/>
    <xf numFmtId="0" fontId="12" fillId="0" borderId="0"/>
    <xf numFmtId="0" fontId="12" fillId="0" borderId="0"/>
    <xf numFmtId="0" fontId="12" fillId="0" borderId="0"/>
    <xf numFmtId="0" fontId="12" fillId="0" borderId="0"/>
    <xf numFmtId="0" fontId="12" fillId="0" borderId="0"/>
    <xf numFmtId="0" fontId="29" fillId="0" borderId="0"/>
    <xf numFmtId="0" fontId="7" fillId="0" borderId="0"/>
    <xf numFmtId="0" fontId="12" fillId="0" borderId="0"/>
    <xf numFmtId="0" fontId="7" fillId="0" borderId="0"/>
    <xf numFmtId="0" fontId="12"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9" fillId="0" borderId="0"/>
    <xf numFmtId="0" fontId="12" fillId="0" borderId="0"/>
    <xf numFmtId="0" fontId="7" fillId="0" borderId="0"/>
    <xf numFmtId="0" fontId="12" fillId="0" borderId="0"/>
    <xf numFmtId="0" fontId="7" fillId="0" borderId="0"/>
    <xf numFmtId="0" fontId="12" fillId="0" borderId="0"/>
    <xf numFmtId="0" fontId="12" fillId="0" borderId="0"/>
    <xf numFmtId="0" fontId="12" fillId="0" borderId="0"/>
    <xf numFmtId="0" fontId="12" fillId="0" borderId="0"/>
    <xf numFmtId="0" fontId="29" fillId="0" borderId="0"/>
    <xf numFmtId="0" fontId="29" fillId="0" borderId="0"/>
    <xf numFmtId="0" fontId="12" fillId="0" borderId="0"/>
    <xf numFmtId="0" fontId="29" fillId="0" borderId="0"/>
    <xf numFmtId="0" fontId="12" fillId="0" borderId="0"/>
    <xf numFmtId="0" fontId="12" fillId="0" borderId="0"/>
    <xf numFmtId="0" fontId="12" fillId="0" borderId="0"/>
    <xf numFmtId="0" fontId="29" fillId="0" borderId="0"/>
    <xf numFmtId="0" fontId="12" fillId="0" borderId="0"/>
    <xf numFmtId="0" fontId="29" fillId="0" borderId="0"/>
    <xf numFmtId="0" fontId="12" fillId="0" borderId="0"/>
    <xf numFmtId="0" fontId="7" fillId="0" borderId="0"/>
    <xf numFmtId="0" fontId="12" fillId="0" borderId="0"/>
    <xf numFmtId="0" fontId="12" fillId="0" borderId="0"/>
    <xf numFmtId="0" fontId="12" fillId="0" borderId="0"/>
    <xf numFmtId="0" fontId="12" fillId="0" borderId="0"/>
    <xf numFmtId="0" fontId="12" fillId="0" borderId="0"/>
    <xf numFmtId="0" fontId="12"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2" fillId="0" borderId="0"/>
    <xf numFmtId="0" fontId="12" fillId="0" borderId="0"/>
    <xf numFmtId="0" fontId="12" fillId="0" borderId="0"/>
    <xf numFmtId="0" fontId="12" fillId="0" borderId="0"/>
    <xf numFmtId="0" fontId="12" fillId="0" borderId="0"/>
    <xf numFmtId="0" fontId="29"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9" fillId="0" borderId="0"/>
    <xf numFmtId="0" fontId="12" fillId="0" borderId="0"/>
    <xf numFmtId="0" fontId="12" fillId="0" borderId="0"/>
    <xf numFmtId="0" fontId="29" fillId="0" borderId="0"/>
    <xf numFmtId="0" fontId="29" fillId="0" borderId="0"/>
    <xf numFmtId="0" fontId="12" fillId="0" borderId="0"/>
    <xf numFmtId="0" fontId="29" fillId="0" borderId="0"/>
    <xf numFmtId="0" fontId="12" fillId="0" borderId="0"/>
    <xf numFmtId="0" fontId="12" fillId="0" borderId="0"/>
    <xf numFmtId="0" fontId="12" fillId="0" borderId="0"/>
    <xf numFmtId="0" fontId="7" fillId="0" borderId="0"/>
    <xf numFmtId="0" fontId="7" fillId="0" borderId="0"/>
    <xf numFmtId="0" fontId="7" fillId="0" borderId="0"/>
    <xf numFmtId="0" fontId="12" fillId="0" borderId="0"/>
    <xf numFmtId="0" fontId="7" fillId="0" borderId="0"/>
    <xf numFmtId="0" fontId="12" fillId="0" borderId="0"/>
    <xf numFmtId="0" fontId="12" fillId="0" borderId="0"/>
    <xf numFmtId="0" fontId="12" fillId="0" borderId="0"/>
    <xf numFmtId="0" fontId="12" fillId="0" borderId="0"/>
    <xf numFmtId="0" fontId="12" fillId="0" borderId="0"/>
    <xf numFmtId="0" fontId="12"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2" fillId="0" borderId="0"/>
    <xf numFmtId="0" fontId="7" fillId="0" borderId="0"/>
    <xf numFmtId="0" fontId="7" fillId="0" borderId="0"/>
    <xf numFmtId="0" fontId="12" fillId="0" borderId="0"/>
    <xf numFmtId="0" fontId="12" fillId="0" borderId="0"/>
    <xf numFmtId="0" fontId="12"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7" fillId="0" borderId="0"/>
    <xf numFmtId="0" fontId="7" fillId="0" borderId="0"/>
    <xf numFmtId="0" fontId="12" fillId="0" borderId="0"/>
    <xf numFmtId="0" fontId="12"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2" fillId="0" borderId="0"/>
    <xf numFmtId="0" fontId="29" fillId="0" borderId="0"/>
    <xf numFmtId="0" fontId="12" fillId="0" borderId="0"/>
    <xf numFmtId="0" fontId="29" fillId="0" borderId="0"/>
    <xf numFmtId="0" fontId="12" fillId="0" borderId="0"/>
    <xf numFmtId="0" fontId="12" fillId="0" borderId="0"/>
    <xf numFmtId="0" fontId="29" fillId="0" borderId="0"/>
    <xf numFmtId="0" fontId="12" fillId="0" borderId="0"/>
    <xf numFmtId="0" fontId="12" fillId="0" borderId="0"/>
    <xf numFmtId="0" fontId="12" fillId="0" borderId="0"/>
    <xf numFmtId="0" fontId="12" fillId="0" borderId="0"/>
    <xf numFmtId="0" fontId="29" fillId="0" borderId="0"/>
    <xf numFmtId="0" fontId="12" fillId="0" borderId="0"/>
    <xf numFmtId="0" fontId="12" fillId="0" borderId="0"/>
    <xf numFmtId="0" fontId="29" fillId="0" borderId="0"/>
    <xf numFmtId="0" fontId="12" fillId="0" borderId="0"/>
    <xf numFmtId="0" fontId="29" fillId="0" borderId="0"/>
    <xf numFmtId="0" fontId="12" fillId="0" borderId="0"/>
    <xf numFmtId="0" fontId="29" fillId="0" borderId="0"/>
    <xf numFmtId="0" fontId="12" fillId="0" borderId="0"/>
    <xf numFmtId="0" fontId="29" fillId="0" borderId="0"/>
    <xf numFmtId="0" fontId="12" fillId="0" borderId="0"/>
    <xf numFmtId="0" fontId="29" fillId="0" borderId="0"/>
    <xf numFmtId="0" fontId="7" fillId="0" borderId="0"/>
    <xf numFmtId="0" fontId="29" fillId="0" borderId="0"/>
    <xf numFmtId="0" fontId="7" fillId="0" borderId="0"/>
    <xf numFmtId="0" fontId="12" fillId="0" borderId="0"/>
    <xf numFmtId="0" fontId="7" fillId="0" borderId="0"/>
    <xf numFmtId="0" fontId="7" fillId="0" borderId="0"/>
    <xf numFmtId="0" fontId="29" fillId="0" borderId="0"/>
    <xf numFmtId="0" fontId="7" fillId="0" borderId="0"/>
    <xf numFmtId="0" fontId="12" fillId="0" borderId="0"/>
    <xf numFmtId="0" fontId="29" fillId="0" borderId="0"/>
    <xf numFmtId="0" fontId="12" fillId="0" borderId="0"/>
    <xf numFmtId="0" fontId="29" fillId="0" borderId="0"/>
    <xf numFmtId="0" fontId="7" fillId="0" borderId="0"/>
    <xf numFmtId="0" fontId="7" fillId="0" borderId="0"/>
    <xf numFmtId="0" fontId="29" fillId="0" borderId="0"/>
    <xf numFmtId="0" fontId="29" fillId="0" borderId="0"/>
    <xf numFmtId="0" fontId="29" fillId="0" borderId="0"/>
    <xf numFmtId="0" fontId="29" fillId="0" borderId="0"/>
    <xf numFmtId="0" fontId="29" fillId="0" borderId="0"/>
    <xf numFmtId="0" fontId="7" fillId="0" borderId="0"/>
    <xf numFmtId="0" fontId="29" fillId="0" borderId="0"/>
    <xf numFmtId="0" fontId="12" fillId="0" borderId="0"/>
    <xf numFmtId="0" fontId="29" fillId="0" borderId="0"/>
    <xf numFmtId="0" fontId="12" fillId="0" borderId="0"/>
    <xf numFmtId="0" fontId="12" fillId="0" borderId="0"/>
    <xf numFmtId="0" fontId="12" fillId="0" borderId="0"/>
    <xf numFmtId="0" fontId="29" fillId="0" borderId="0"/>
    <xf numFmtId="0" fontId="29" fillId="0" borderId="0"/>
    <xf numFmtId="0" fontId="29" fillId="0" borderId="0"/>
    <xf numFmtId="0" fontId="7" fillId="0" borderId="0"/>
    <xf numFmtId="0" fontId="29" fillId="0" borderId="0"/>
    <xf numFmtId="0" fontId="7" fillId="0" borderId="0"/>
    <xf numFmtId="0" fontId="12" fillId="0" borderId="0"/>
    <xf numFmtId="0" fontId="29" fillId="0" borderId="0"/>
    <xf numFmtId="0" fontId="7" fillId="0" borderId="0"/>
    <xf numFmtId="0" fontId="12" fillId="0" borderId="0"/>
    <xf numFmtId="0" fontId="7" fillId="0" borderId="0"/>
    <xf numFmtId="0" fontId="7" fillId="0" borderId="0"/>
    <xf numFmtId="0" fontId="7" fillId="0" borderId="0"/>
    <xf numFmtId="0" fontId="7" fillId="0" borderId="0"/>
    <xf numFmtId="0" fontId="7" fillId="0" borderId="0"/>
    <xf numFmtId="0" fontId="12" fillId="0" borderId="0"/>
    <xf numFmtId="0" fontId="7" fillId="0" borderId="0"/>
    <xf numFmtId="0" fontId="7" fillId="0" borderId="0"/>
    <xf numFmtId="0" fontId="12" fillId="0" borderId="0"/>
    <xf numFmtId="0" fontId="29" fillId="0" borderId="0"/>
    <xf numFmtId="0" fontId="29" fillId="0" borderId="0"/>
    <xf numFmtId="0" fontId="12" fillId="0" borderId="0"/>
    <xf numFmtId="0" fontId="7" fillId="0" borderId="0"/>
    <xf numFmtId="0" fontId="7" fillId="0" borderId="0"/>
    <xf numFmtId="0" fontId="7" fillId="0" borderId="0"/>
    <xf numFmtId="0" fontId="12" fillId="0" borderId="0"/>
    <xf numFmtId="0" fontId="7" fillId="0" borderId="0"/>
    <xf numFmtId="0" fontId="12" fillId="0" borderId="0"/>
    <xf numFmtId="0" fontId="7" fillId="0" borderId="0"/>
    <xf numFmtId="0" fontId="12" fillId="0" borderId="0"/>
    <xf numFmtId="0" fontId="7" fillId="0" borderId="0"/>
    <xf numFmtId="0" fontId="29" fillId="0" borderId="0"/>
    <xf numFmtId="0" fontId="12" fillId="0" borderId="0"/>
    <xf numFmtId="0" fontId="12" fillId="0" borderId="0"/>
    <xf numFmtId="0" fontId="12" fillId="0" borderId="0"/>
    <xf numFmtId="0" fontId="29" fillId="0" borderId="0"/>
    <xf numFmtId="0" fontId="7" fillId="0" borderId="0"/>
    <xf numFmtId="0" fontId="12" fillId="0" borderId="0"/>
    <xf numFmtId="0" fontId="29" fillId="0" borderId="0"/>
    <xf numFmtId="0" fontId="7" fillId="0" borderId="0"/>
    <xf numFmtId="0" fontId="12"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2" fillId="0" borderId="0"/>
    <xf numFmtId="0" fontId="7" fillId="0" borderId="0"/>
    <xf numFmtId="0" fontId="12" fillId="0" borderId="0"/>
    <xf numFmtId="0" fontId="7" fillId="0" borderId="0"/>
    <xf numFmtId="0" fontId="7" fillId="0" borderId="0"/>
    <xf numFmtId="0" fontId="29"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9" fillId="0" borderId="0"/>
    <xf numFmtId="0" fontId="12" fillId="0" borderId="0"/>
    <xf numFmtId="0" fontId="7" fillId="0" borderId="0"/>
    <xf numFmtId="0" fontId="12" fillId="0" borderId="0"/>
    <xf numFmtId="0" fontId="7" fillId="0" borderId="0"/>
    <xf numFmtId="0" fontId="29" fillId="0" borderId="0"/>
    <xf numFmtId="0" fontId="12" fillId="0" borderId="0"/>
    <xf numFmtId="0" fontId="12" fillId="0" borderId="0"/>
    <xf numFmtId="0" fontId="12" fillId="0" borderId="0"/>
    <xf numFmtId="0" fontId="7" fillId="0" borderId="0"/>
    <xf numFmtId="0" fontId="7" fillId="0" borderId="0"/>
    <xf numFmtId="0" fontId="12" fillId="0" borderId="0"/>
    <xf numFmtId="0" fontId="7" fillId="0" borderId="0"/>
    <xf numFmtId="0" fontId="12" fillId="0" borderId="0"/>
    <xf numFmtId="0" fontId="7" fillId="0" borderId="0"/>
    <xf numFmtId="0" fontId="7" fillId="0" borderId="0"/>
    <xf numFmtId="0" fontId="29"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9" fillId="0" borderId="0"/>
    <xf numFmtId="0" fontId="12" fillId="0" borderId="0"/>
    <xf numFmtId="0" fontId="29" fillId="0" borderId="0"/>
    <xf numFmtId="0" fontId="12" fillId="0" borderId="0"/>
    <xf numFmtId="0" fontId="29" fillId="0" borderId="0"/>
    <xf numFmtId="0" fontId="7" fillId="0" borderId="0"/>
    <xf numFmtId="0" fontId="29"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2" fillId="0" borderId="0"/>
    <xf numFmtId="0" fontId="12" fillId="0" borderId="0"/>
    <xf numFmtId="0" fontId="7" fillId="0" borderId="0"/>
    <xf numFmtId="0" fontId="7" fillId="0" borderId="0"/>
    <xf numFmtId="0" fontId="7" fillId="0" borderId="0"/>
    <xf numFmtId="0" fontId="12" fillId="0" borderId="0"/>
    <xf numFmtId="0" fontId="7" fillId="0" borderId="0"/>
    <xf numFmtId="0" fontId="12" fillId="0" borderId="0"/>
    <xf numFmtId="0" fontId="7" fillId="0" borderId="0"/>
    <xf numFmtId="0" fontId="12" fillId="0" borderId="0"/>
    <xf numFmtId="0" fontId="7" fillId="0" borderId="0"/>
    <xf numFmtId="0" fontId="29" fillId="0" borderId="0"/>
    <xf numFmtId="0" fontId="12" fillId="0" borderId="0"/>
    <xf numFmtId="0" fontId="12" fillId="0" borderId="0"/>
    <xf numFmtId="0" fontId="12" fillId="0" borderId="0"/>
    <xf numFmtId="0" fontId="12" fillId="0" borderId="0"/>
    <xf numFmtId="0" fontId="7" fillId="0" borderId="0"/>
    <xf numFmtId="0" fontId="12" fillId="0" borderId="0"/>
    <xf numFmtId="0" fontId="7" fillId="0" borderId="0"/>
    <xf numFmtId="0" fontId="12"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2" fillId="0" borderId="0"/>
    <xf numFmtId="0" fontId="7" fillId="0" borderId="0"/>
    <xf numFmtId="0" fontId="12" fillId="0" borderId="0"/>
    <xf numFmtId="0" fontId="7" fillId="0" borderId="0"/>
    <xf numFmtId="0" fontId="7" fillId="0" borderId="0"/>
    <xf numFmtId="0" fontId="29"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2" fillId="0" borderId="0"/>
    <xf numFmtId="0" fontId="7" fillId="0" borderId="0"/>
    <xf numFmtId="0" fontId="12" fillId="0" borderId="0"/>
    <xf numFmtId="0" fontId="7" fillId="0" borderId="0"/>
    <xf numFmtId="0" fontId="12" fillId="0" borderId="0"/>
    <xf numFmtId="0" fontId="12" fillId="0" borderId="0"/>
    <xf numFmtId="0" fontId="12" fillId="0" borderId="0"/>
    <xf numFmtId="0" fontId="7" fillId="0" borderId="0"/>
    <xf numFmtId="0" fontId="7" fillId="0" borderId="0"/>
    <xf numFmtId="0" fontId="29" fillId="0" borderId="0"/>
    <xf numFmtId="0" fontId="12" fillId="0" borderId="0"/>
    <xf numFmtId="0" fontId="29" fillId="0" borderId="0"/>
    <xf numFmtId="0" fontId="12" fillId="0" borderId="0"/>
    <xf numFmtId="0" fontId="29" fillId="0" borderId="0"/>
    <xf numFmtId="0" fontId="7" fillId="0" borderId="0"/>
    <xf numFmtId="0" fontId="7" fillId="0" borderId="0"/>
    <xf numFmtId="0" fontId="12" fillId="0" borderId="0"/>
    <xf numFmtId="0" fontId="12" fillId="0" borderId="0"/>
    <xf numFmtId="0" fontId="12" fillId="0" borderId="0"/>
    <xf numFmtId="0" fontId="12" fillId="0" borderId="0"/>
    <xf numFmtId="0" fontId="7" fillId="0" borderId="0"/>
    <xf numFmtId="0" fontId="12"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9" fillId="0" borderId="0"/>
    <xf numFmtId="0" fontId="12" fillId="0" borderId="0"/>
    <xf numFmtId="0" fontId="29" fillId="0" borderId="0"/>
    <xf numFmtId="0" fontId="12" fillId="0" borderId="0"/>
    <xf numFmtId="0" fontId="29" fillId="0" borderId="0"/>
    <xf numFmtId="0" fontId="12" fillId="0" borderId="0"/>
    <xf numFmtId="0" fontId="29" fillId="0" borderId="0"/>
    <xf numFmtId="0" fontId="12" fillId="0" borderId="0"/>
    <xf numFmtId="0" fontId="29" fillId="0" borderId="0"/>
    <xf numFmtId="0" fontId="12" fillId="0" borderId="0"/>
    <xf numFmtId="0" fontId="29" fillId="0" borderId="0"/>
    <xf numFmtId="0" fontId="12" fillId="0" borderId="0"/>
    <xf numFmtId="0" fontId="29" fillId="0" borderId="0"/>
    <xf numFmtId="0" fontId="12" fillId="0" borderId="0"/>
    <xf numFmtId="0" fontId="29" fillId="0" borderId="0"/>
    <xf numFmtId="0" fontId="12" fillId="0" borderId="0"/>
    <xf numFmtId="0" fontId="29" fillId="0" borderId="0"/>
    <xf numFmtId="0" fontId="12" fillId="0" borderId="0"/>
    <xf numFmtId="0" fontId="29" fillId="0" borderId="0"/>
    <xf numFmtId="0" fontId="12" fillId="0" borderId="0"/>
    <xf numFmtId="0" fontId="29" fillId="0" borderId="0"/>
    <xf numFmtId="0" fontId="12" fillId="0" borderId="0"/>
    <xf numFmtId="0" fontId="12" fillId="0" borderId="0"/>
    <xf numFmtId="0" fontId="29" fillId="0" borderId="0"/>
    <xf numFmtId="0" fontId="12" fillId="0" borderId="0"/>
    <xf numFmtId="0" fontId="29" fillId="0" borderId="0"/>
    <xf numFmtId="0" fontId="12" fillId="0" borderId="0"/>
    <xf numFmtId="0" fontId="29" fillId="0" borderId="0"/>
    <xf numFmtId="0" fontId="12" fillId="0" borderId="0"/>
    <xf numFmtId="0" fontId="29" fillId="0" borderId="0"/>
    <xf numFmtId="0" fontId="12" fillId="0" borderId="0"/>
    <xf numFmtId="0" fontId="29" fillId="0" borderId="0"/>
    <xf numFmtId="0" fontId="12" fillId="0" borderId="0"/>
    <xf numFmtId="0" fontId="29" fillId="0" borderId="0"/>
    <xf numFmtId="0" fontId="12" fillId="0" borderId="0"/>
    <xf numFmtId="0" fontId="29" fillId="0" borderId="0"/>
    <xf numFmtId="0" fontId="29" fillId="0" borderId="0"/>
    <xf numFmtId="0" fontId="12" fillId="0" borderId="0"/>
    <xf numFmtId="0" fontId="12" fillId="0" borderId="0"/>
    <xf numFmtId="0" fontId="12" fillId="0" borderId="0"/>
    <xf numFmtId="0" fontId="12" fillId="0" borderId="0"/>
    <xf numFmtId="0" fontId="12" fillId="0" borderId="0"/>
    <xf numFmtId="0" fontId="29" fillId="0" borderId="0"/>
    <xf numFmtId="0" fontId="12" fillId="0" borderId="0"/>
    <xf numFmtId="0" fontId="12" fillId="0" borderId="0"/>
    <xf numFmtId="0" fontId="12" fillId="0" borderId="0"/>
    <xf numFmtId="0" fontId="12" fillId="0" borderId="0"/>
    <xf numFmtId="0" fontId="12" fillId="0" borderId="0"/>
    <xf numFmtId="0" fontId="29" fillId="0" borderId="0"/>
    <xf numFmtId="0" fontId="12" fillId="0" borderId="0"/>
    <xf numFmtId="0" fontId="29" fillId="0" borderId="0"/>
    <xf numFmtId="0" fontId="12" fillId="0" borderId="0"/>
    <xf numFmtId="0" fontId="29" fillId="0" borderId="0"/>
    <xf numFmtId="0" fontId="12" fillId="0" borderId="0"/>
    <xf numFmtId="0" fontId="29" fillId="0" borderId="0"/>
    <xf numFmtId="0" fontId="12" fillId="0" borderId="0"/>
    <xf numFmtId="0" fontId="29" fillId="0" borderId="0"/>
    <xf numFmtId="0" fontId="12" fillId="0" borderId="0"/>
    <xf numFmtId="0" fontId="29" fillId="0" borderId="0"/>
    <xf numFmtId="0" fontId="12" fillId="0" borderId="0"/>
    <xf numFmtId="0" fontId="12" fillId="0" borderId="0"/>
    <xf numFmtId="0" fontId="7" fillId="0" borderId="0"/>
    <xf numFmtId="0" fontId="7" fillId="0" borderId="0"/>
    <xf numFmtId="0" fontId="29" fillId="0" borderId="0"/>
    <xf numFmtId="0" fontId="35" fillId="0" borderId="0"/>
    <xf numFmtId="0" fontId="36"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9" fillId="0" borderId="0"/>
    <xf numFmtId="0" fontId="29" fillId="0" borderId="0"/>
    <xf numFmtId="0" fontId="29" fillId="0" borderId="0"/>
    <xf numFmtId="0" fontId="29" fillId="0" borderId="0"/>
    <xf numFmtId="0" fontId="29" fillId="0" borderId="0"/>
    <xf numFmtId="0" fontId="12" fillId="0" borderId="0"/>
    <xf numFmtId="0" fontId="29" fillId="0" borderId="0"/>
    <xf numFmtId="0" fontId="29" fillId="0" borderId="0"/>
    <xf numFmtId="0" fontId="29" fillId="0" borderId="0"/>
    <xf numFmtId="0" fontId="29" fillId="0" borderId="0"/>
    <xf numFmtId="0" fontId="29" fillId="0" borderId="0"/>
    <xf numFmtId="0" fontId="12" fillId="0" borderId="0"/>
    <xf numFmtId="0" fontId="12" fillId="0" borderId="0"/>
    <xf numFmtId="0" fontId="29" fillId="0" borderId="0"/>
    <xf numFmtId="0" fontId="12" fillId="0" borderId="0"/>
    <xf numFmtId="0" fontId="12" fillId="0" borderId="0"/>
    <xf numFmtId="0" fontId="29" fillId="0" borderId="0"/>
    <xf numFmtId="0" fontId="12" fillId="0" borderId="0"/>
    <xf numFmtId="0" fontId="29" fillId="0" borderId="0"/>
    <xf numFmtId="0" fontId="29" fillId="0" borderId="0"/>
    <xf numFmtId="0" fontId="29" fillId="0" borderId="0"/>
    <xf numFmtId="0" fontId="29" fillId="0" borderId="0"/>
    <xf numFmtId="0" fontId="29" fillId="0" borderId="0"/>
    <xf numFmtId="0" fontId="29" fillId="0" borderId="0"/>
    <xf numFmtId="0" fontId="12" fillId="0" borderId="0"/>
    <xf numFmtId="0" fontId="12" fillId="0" borderId="0"/>
    <xf numFmtId="0" fontId="29" fillId="0" borderId="0"/>
    <xf numFmtId="0" fontId="12" fillId="0" borderId="0"/>
    <xf numFmtId="0" fontId="29" fillId="0" borderId="0"/>
    <xf numFmtId="0" fontId="29" fillId="0" borderId="0"/>
    <xf numFmtId="0" fontId="12" fillId="0" borderId="0"/>
    <xf numFmtId="0" fontId="29" fillId="0" borderId="0"/>
    <xf numFmtId="0" fontId="29" fillId="0" borderId="0"/>
    <xf numFmtId="0" fontId="12" fillId="0" borderId="0"/>
    <xf numFmtId="0" fontId="29" fillId="0" borderId="0"/>
    <xf numFmtId="0" fontId="12" fillId="0" borderId="0"/>
    <xf numFmtId="0" fontId="29" fillId="0" borderId="0"/>
    <xf numFmtId="0" fontId="12" fillId="0" borderId="0"/>
    <xf numFmtId="0" fontId="29" fillId="0" borderId="0"/>
    <xf numFmtId="0" fontId="12" fillId="0" borderId="0"/>
    <xf numFmtId="0" fontId="29" fillId="0" borderId="0"/>
    <xf numFmtId="0" fontId="12" fillId="0" borderId="0"/>
    <xf numFmtId="0" fontId="29" fillId="0" borderId="0"/>
    <xf numFmtId="0" fontId="12" fillId="0" borderId="0"/>
    <xf numFmtId="0" fontId="12" fillId="0" borderId="0"/>
    <xf numFmtId="0" fontId="12" fillId="0" borderId="0"/>
    <xf numFmtId="0" fontId="12" fillId="0" borderId="0"/>
    <xf numFmtId="0" fontId="29"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9" fillId="0" borderId="0"/>
    <xf numFmtId="0" fontId="29"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9" fillId="0" borderId="0"/>
    <xf numFmtId="0" fontId="29" fillId="0" borderId="0"/>
    <xf numFmtId="0" fontId="12" fillId="0" borderId="0"/>
    <xf numFmtId="0" fontId="12" fillId="0" borderId="0"/>
    <xf numFmtId="0" fontId="12" fillId="0" borderId="0"/>
    <xf numFmtId="0" fontId="29" fillId="0" borderId="0"/>
    <xf numFmtId="0" fontId="29" fillId="0" borderId="0"/>
    <xf numFmtId="0" fontId="29" fillId="0" borderId="0"/>
    <xf numFmtId="0" fontId="29" fillId="0" borderId="0"/>
    <xf numFmtId="0" fontId="29"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9" fillId="0" borderId="0"/>
    <xf numFmtId="0" fontId="12" fillId="0" borderId="0"/>
    <xf numFmtId="0" fontId="12" fillId="0" borderId="0"/>
    <xf numFmtId="0" fontId="12" fillId="0" borderId="0"/>
    <xf numFmtId="0" fontId="12" fillId="0" borderId="0"/>
    <xf numFmtId="0" fontId="23" fillId="0" borderId="0"/>
    <xf numFmtId="0" fontId="12" fillId="0" borderId="0"/>
    <xf numFmtId="0" fontId="12" fillId="0" borderId="0"/>
    <xf numFmtId="0" fontId="27" fillId="0" borderId="0"/>
    <xf numFmtId="0" fontId="12" fillId="0" borderId="0"/>
    <xf numFmtId="0" fontId="27"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7" fillId="0" borderId="0"/>
    <xf numFmtId="0" fontId="29" fillId="0" borderId="0"/>
    <xf numFmtId="0" fontId="12" fillId="0" borderId="0"/>
    <xf numFmtId="0" fontId="12" fillId="0" borderId="0"/>
    <xf numFmtId="0" fontId="29" fillId="0" borderId="0"/>
    <xf numFmtId="0" fontId="12" fillId="0" borderId="0"/>
    <xf numFmtId="0" fontId="29" fillId="0" borderId="0"/>
    <xf numFmtId="0" fontId="12" fillId="0" borderId="0"/>
    <xf numFmtId="0" fontId="29" fillId="0" borderId="0"/>
    <xf numFmtId="0" fontId="7" fillId="0" borderId="0"/>
    <xf numFmtId="0" fontId="29" fillId="0" borderId="0"/>
    <xf numFmtId="0" fontId="12" fillId="0" borderId="0"/>
    <xf numFmtId="0" fontId="29" fillId="0" borderId="0"/>
    <xf numFmtId="0" fontId="29" fillId="0" borderId="0"/>
    <xf numFmtId="0" fontId="12" fillId="0" borderId="0"/>
    <xf numFmtId="0" fontId="29" fillId="0" borderId="0"/>
    <xf numFmtId="0" fontId="29" fillId="0" borderId="0"/>
    <xf numFmtId="0" fontId="12" fillId="0" borderId="0"/>
    <xf numFmtId="0" fontId="29" fillId="0" borderId="0"/>
    <xf numFmtId="0" fontId="29" fillId="0" borderId="0"/>
    <xf numFmtId="0" fontId="12" fillId="0" borderId="0"/>
    <xf numFmtId="0" fontId="29" fillId="0" borderId="0"/>
    <xf numFmtId="0" fontId="12" fillId="0" borderId="0"/>
    <xf numFmtId="0" fontId="29" fillId="0" borderId="0"/>
    <xf numFmtId="0" fontId="12" fillId="0" borderId="0"/>
    <xf numFmtId="0" fontId="29" fillId="0" borderId="0"/>
    <xf numFmtId="0" fontId="12" fillId="0" borderId="0"/>
    <xf numFmtId="0" fontId="29" fillId="0" borderId="0"/>
    <xf numFmtId="0" fontId="12" fillId="0" borderId="0"/>
    <xf numFmtId="0" fontId="29" fillId="0" borderId="0"/>
    <xf numFmtId="0" fontId="12" fillId="0" borderId="0"/>
    <xf numFmtId="0" fontId="29" fillId="0" borderId="0"/>
    <xf numFmtId="0" fontId="29" fillId="0" borderId="0"/>
    <xf numFmtId="0" fontId="29" fillId="0" borderId="0"/>
    <xf numFmtId="0" fontId="29" fillId="0" borderId="0"/>
    <xf numFmtId="0" fontId="29" fillId="0" borderId="0"/>
    <xf numFmtId="0" fontId="7" fillId="0" borderId="0"/>
    <xf numFmtId="0" fontId="7" fillId="0" borderId="0"/>
    <xf numFmtId="0" fontId="12" fillId="0" borderId="0"/>
    <xf numFmtId="0" fontId="29" fillId="0" borderId="0"/>
    <xf numFmtId="0" fontId="12" fillId="0" borderId="0"/>
    <xf numFmtId="0" fontId="29" fillId="0" borderId="0"/>
    <xf numFmtId="0" fontId="12" fillId="0" borderId="0"/>
    <xf numFmtId="0" fontId="29"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9" fillId="0" borderId="0"/>
    <xf numFmtId="0" fontId="29" fillId="0" borderId="0"/>
    <xf numFmtId="0" fontId="29" fillId="0" borderId="0"/>
    <xf numFmtId="0" fontId="29"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12"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12" fillId="0" borderId="0"/>
    <xf numFmtId="0" fontId="12" fillId="0" borderId="0"/>
    <xf numFmtId="0" fontId="12" fillId="0" borderId="0"/>
    <xf numFmtId="0" fontId="12" fillId="0" borderId="0"/>
    <xf numFmtId="0" fontId="29" fillId="0" borderId="0"/>
    <xf numFmtId="0" fontId="12" fillId="0" borderId="0"/>
    <xf numFmtId="0" fontId="12" fillId="0" borderId="0"/>
    <xf numFmtId="0" fontId="12" fillId="0" borderId="0"/>
    <xf numFmtId="0" fontId="12" fillId="0" borderId="0"/>
    <xf numFmtId="0" fontId="29" fillId="0" borderId="0"/>
    <xf numFmtId="0" fontId="12" fillId="0" borderId="0"/>
    <xf numFmtId="0" fontId="12" fillId="0" borderId="0"/>
    <xf numFmtId="0" fontId="29" fillId="0" borderId="0"/>
    <xf numFmtId="0" fontId="12" fillId="0" borderId="0"/>
    <xf numFmtId="0" fontId="29" fillId="0" borderId="0"/>
    <xf numFmtId="0" fontId="12" fillId="0" borderId="0"/>
    <xf numFmtId="0" fontId="12" fillId="0" borderId="0"/>
    <xf numFmtId="0" fontId="29" fillId="0" borderId="0"/>
    <xf numFmtId="0" fontId="23" fillId="22" borderId="93" applyNumberFormat="0" applyFont="0" applyAlignment="0" applyProtection="0"/>
    <xf numFmtId="9" fontId="12" fillId="0" borderId="0" applyFont="0" applyFill="0" applyBorder="0" applyAlignment="0" applyProtection="0"/>
    <xf numFmtId="9" fontId="12" fillId="0" borderId="0" applyFont="0" applyFill="0" applyBorder="0" applyAlignment="0" applyProtection="0"/>
    <xf numFmtId="0" fontId="29" fillId="0" borderId="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7"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7" fillId="0" borderId="0" applyFont="0" applyFill="0" applyBorder="0" applyAlignment="0" applyProtection="0"/>
    <xf numFmtId="0" fontId="29" fillId="0" borderId="0"/>
    <xf numFmtId="9" fontId="7" fillId="0" borderId="0" applyFont="0" applyFill="0" applyBorder="0" applyAlignment="0" applyProtection="0"/>
    <xf numFmtId="0" fontId="29" fillId="0" borderId="0"/>
    <xf numFmtId="9" fontId="7" fillId="0" borderId="0" applyFont="0" applyFill="0" applyBorder="0" applyAlignment="0" applyProtection="0"/>
    <xf numFmtId="9" fontId="12"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28" fillId="0" borderId="0" applyFont="0" applyFill="0" applyBorder="0" applyAlignment="0" applyProtection="0"/>
    <xf numFmtId="9" fontId="35"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0" fontId="37" fillId="4" borderId="0" applyNumberFormat="0" applyBorder="0" applyAlignment="0" applyProtection="0"/>
    <xf numFmtId="0" fontId="8" fillId="0" borderId="0"/>
    <xf numFmtId="0" fontId="8" fillId="0" borderId="0"/>
    <xf numFmtId="0" fontId="38" fillId="0" borderId="0" applyNumberFormat="0" applyFill="0" applyBorder="0" applyAlignment="0" applyProtection="0"/>
    <xf numFmtId="0" fontId="39" fillId="0" borderId="94" applyNumberFormat="0" applyFill="0" applyAlignment="0" applyProtection="0"/>
    <xf numFmtId="0" fontId="40" fillId="0" borderId="95" applyNumberFormat="0" applyFill="0" applyAlignment="0" applyProtection="0"/>
    <xf numFmtId="0" fontId="41" fillId="0" borderId="96" applyNumberFormat="0" applyFill="0" applyAlignment="0" applyProtection="0"/>
    <xf numFmtId="0" fontId="41" fillId="0" borderId="0" applyNumberFormat="0" applyFill="0" applyBorder="0" applyAlignment="0" applyProtection="0"/>
    <xf numFmtId="0" fontId="42" fillId="0" borderId="97" applyNumberFormat="0" applyFill="0" applyAlignment="0" applyProtection="0"/>
    <xf numFmtId="0" fontId="43" fillId="0" borderId="0" applyNumberFormat="0" applyFill="0" applyBorder="0" applyAlignment="0" applyProtection="0"/>
    <xf numFmtId="0" fontId="44" fillId="23" borderId="98" applyNumberFormat="0" applyAlignment="0" applyProtection="0"/>
    <xf numFmtId="0" fontId="46" fillId="0" borderId="0"/>
    <xf numFmtId="43" fontId="46" fillId="0" borderId="0" applyFont="0" applyFill="0" applyBorder="0" applyAlignment="0" applyProtection="0"/>
    <xf numFmtId="0" fontId="6" fillId="0" borderId="0"/>
    <xf numFmtId="43" fontId="6" fillId="0" borderId="0" applyFont="0" applyFill="0" applyBorder="0" applyAlignment="0" applyProtection="0"/>
    <xf numFmtId="0" fontId="5" fillId="0" borderId="0"/>
    <xf numFmtId="9" fontId="5" fillId="0" borderId="0" applyFont="0" applyFill="0" applyBorder="0" applyAlignment="0" applyProtection="0"/>
    <xf numFmtId="0" fontId="4" fillId="0" borderId="0"/>
    <xf numFmtId="9" fontId="4" fillId="0" borderId="0" applyFont="0" applyFill="0" applyBorder="0" applyAlignment="0" applyProtection="0"/>
    <xf numFmtId="9" fontId="12" fillId="0" borderId="0" applyFont="0" applyFill="0" applyBorder="0" applyAlignment="0" applyProtection="0"/>
  </cellStyleXfs>
  <cellXfs count="922">
    <xf numFmtId="0" fontId="0" fillId="0" borderId="0" xfId="0"/>
    <xf numFmtId="0" fontId="9" fillId="0" borderId="0" xfId="2" applyFont="1"/>
    <xf numFmtId="0" fontId="10" fillId="0" borderId="0" xfId="2" applyFont="1"/>
    <xf numFmtId="0" fontId="13" fillId="0" borderId="0" xfId="0" applyFont="1" applyAlignment="1">
      <alignment horizontal="right" vertical="center"/>
    </xf>
    <xf numFmtId="0" fontId="14" fillId="0" borderId="0" xfId="2" applyFont="1"/>
    <xf numFmtId="0" fontId="15" fillId="0" borderId="0" xfId="2" applyFont="1" applyAlignment="1">
      <alignment horizontal="left" indent="4"/>
    </xf>
    <xf numFmtId="0" fontId="10" fillId="0" borderId="14" xfId="2" applyFont="1" applyBorder="1" applyAlignment="1">
      <alignment horizontal="right"/>
    </xf>
    <xf numFmtId="0" fontId="10" fillId="0" borderId="13" xfId="2" applyFont="1" applyBorder="1" applyAlignment="1">
      <alignment horizontal="right"/>
    </xf>
    <xf numFmtId="0" fontId="11" fillId="0" borderId="0" xfId="2" applyFont="1" applyAlignment="1">
      <alignment horizontal="left" indent="4"/>
    </xf>
    <xf numFmtId="2" fontId="11" fillId="0" borderId="0" xfId="2" applyNumberFormat="1" applyFont="1"/>
    <xf numFmtId="0" fontId="11" fillId="0" borderId="0" xfId="2" applyFont="1"/>
    <xf numFmtId="0" fontId="10" fillId="0" borderId="31" xfId="2" applyFont="1" applyBorder="1" applyAlignment="1">
      <alignment vertical="top" wrapText="1"/>
    </xf>
    <xf numFmtId="0" fontId="10" fillId="0" borderId="36" xfId="2" applyFont="1" applyBorder="1" applyAlignment="1">
      <alignment vertical="top" wrapText="1"/>
    </xf>
    <xf numFmtId="0" fontId="19" fillId="0" borderId="60" xfId="0" applyFont="1" applyBorder="1"/>
    <xf numFmtId="0" fontId="20" fillId="0" borderId="61" xfId="0" applyFont="1" applyBorder="1" applyAlignment="1">
      <alignment vertical="center"/>
    </xf>
    <xf numFmtId="0" fontId="20" fillId="2" borderId="62" xfId="0" applyFont="1" applyFill="1" applyBorder="1" applyAlignment="1" applyProtection="1">
      <alignment vertical="center"/>
      <protection locked="0"/>
    </xf>
    <xf numFmtId="0" fontId="20" fillId="2" borderId="63" xfId="0" applyFont="1" applyFill="1" applyBorder="1" applyAlignment="1" applyProtection="1">
      <alignment vertical="center"/>
      <protection locked="0"/>
    </xf>
    <xf numFmtId="0" fontId="20" fillId="0" borderId="64" xfId="0" applyFont="1" applyBorder="1" applyAlignment="1">
      <alignment vertical="center"/>
    </xf>
    <xf numFmtId="0" fontId="20" fillId="2" borderId="65" xfId="0" applyFont="1" applyFill="1" applyBorder="1" applyAlignment="1" applyProtection="1">
      <alignment vertical="center"/>
      <protection locked="0"/>
    </xf>
    <xf numFmtId="0" fontId="20" fillId="2" borderId="66" xfId="0" applyFont="1" applyFill="1" applyBorder="1" applyAlignment="1" applyProtection="1">
      <alignment vertical="center"/>
      <protection locked="0"/>
    </xf>
    <xf numFmtId="0" fontId="19" fillId="0" borderId="67" xfId="0" applyFont="1" applyBorder="1" applyAlignment="1">
      <alignment vertical="center"/>
    </xf>
    <xf numFmtId="0" fontId="19" fillId="0" borderId="68" xfId="0" applyFont="1" applyBorder="1" applyAlignment="1">
      <alignment vertical="center"/>
    </xf>
    <xf numFmtId="0" fontId="19" fillId="0" borderId="69" xfId="0" applyFont="1" applyBorder="1" applyAlignment="1">
      <alignment vertical="center"/>
    </xf>
    <xf numFmtId="0" fontId="19" fillId="0" borderId="72" xfId="0" applyFont="1" applyBorder="1" applyAlignment="1">
      <alignment vertical="center"/>
    </xf>
    <xf numFmtId="0" fontId="19" fillId="0" borderId="73" xfId="0" applyFont="1" applyBorder="1" applyAlignment="1">
      <alignment vertical="center"/>
    </xf>
    <xf numFmtId="0" fontId="19" fillId="0" borderId="74" xfId="0" applyFont="1" applyBorder="1" applyAlignment="1">
      <alignment vertical="center"/>
    </xf>
    <xf numFmtId="169" fontId="18" fillId="0" borderId="77" xfId="0" applyNumberFormat="1" applyFont="1" applyBorder="1"/>
    <xf numFmtId="0" fontId="19" fillId="0" borderId="0" xfId="0" applyFont="1" applyAlignment="1">
      <alignment vertical="center"/>
    </xf>
    <xf numFmtId="0" fontId="18" fillId="0" borderId="0" xfId="0" applyFont="1"/>
    <xf numFmtId="0" fontId="10" fillId="0" borderId="77" xfId="2" applyFont="1" applyBorder="1"/>
    <xf numFmtId="169" fontId="18" fillId="0" borderId="0" xfId="0" applyNumberFormat="1" applyFont="1"/>
    <xf numFmtId="170" fontId="18" fillId="0" borderId="0" xfId="1" applyNumberFormat="1" applyFont="1" applyBorder="1" applyProtection="1"/>
    <xf numFmtId="168" fontId="18" fillId="2" borderId="62" xfId="1" applyFont="1" applyFill="1" applyBorder="1" applyAlignment="1" applyProtection="1">
      <alignment vertical="center"/>
      <protection locked="0"/>
    </xf>
    <xf numFmtId="168" fontId="18" fillId="2" borderId="63" xfId="1" applyFont="1" applyFill="1" applyBorder="1" applyAlignment="1" applyProtection="1">
      <alignment vertical="center"/>
      <protection locked="0"/>
    </xf>
    <xf numFmtId="168" fontId="18" fillId="2" borderId="65" xfId="1" applyFont="1" applyFill="1" applyBorder="1" applyAlignment="1" applyProtection="1">
      <alignment vertical="center"/>
      <protection locked="0"/>
    </xf>
    <xf numFmtId="168" fontId="18" fillId="2" borderId="66" xfId="1" applyFont="1" applyFill="1" applyBorder="1" applyAlignment="1" applyProtection="1">
      <alignment vertical="center"/>
      <protection locked="0"/>
    </xf>
    <xf numFmtId="168" fontId="18" fillId="0" borderId="72" xfId="1" applyFont="1" applyBorder="1" applyAlignment="1" applyProtection="1">
      <alignment vertical="center"/>
    </xf>
    <xf numFmtId="168" fontId="18" fillId="0" borderId="73" xfId="1" applyFont="1" applyBorder="1" applyAlignment="1" applyProtection="1">
      <alignment vertical="center"/>
    </xf>
    <xf numFmtId="168" fontId="18" fillId="0" borderId="81" xfId="1" applyFont="1" applyBorder="1" applyProtection="1"/>
    <xf numFmtId="168" fontId="18" fillId="0" borderId="83" xfId="1" applyFont="1" applyBorder="1" applyAlignment="1" applyProtection="1">
      <alignment vertical="center"/>
    </xf>
    <xf numFmtId="168" fontId="18" fillId="0" borderId="85" xfId="1" applyFont="1" applyBorder="1" applyAlignment="1" applyProtection="1">
      <alignment vertical="center"/>
    </xf>
    <xf numFmtId="168" fontId="18" fillId="0" borderId="86" xfId="1" applyFont="1" applyBorder="1" applyAlignment="1" applyProtection="1">
      <alignment vertical="center"/>
    </xf>
    <xf numFmtId="168" fontId="18" fillId="0" borderId="87" xfId="1" applyFont="1" applyBorder="1" applyAlignment="1" applyProtection="1">
      <alignment vertical="center"/>
    </xf>
    <xf numFmtId="168" fontId="18" fillId="0" borderId="89" xfId="1" applyFont="1" applyBorder="1" applyAlignment="1" applyProtection="1">
      <alignment vertical="center"/>
    </xf>
    <xf numFmtId="0" fontId="47" fillId="0" borderId="0" xfId="16216" applyFont="1"/>
    <xf numFmtId="165" fontId="36" fillId="0" borderId="0" xfId="16217" applyNumberFormat="1" applyFont="1" applyFill="1" applyBorder="1"/>
    <xf numFmtId="0" fontId="36" fillId="0" borderId="0" xfId="16216" applyFont="1"/>
    <xf numFmtId="43" fontId="36" fillId="0" borderId="0" xfId="16217" applyFont="1" applyFill="1" applyBorder="1"/>
    <xf numFmtId="0" fontId="6" fillId="0" borderId="0" xfId="16218" applyProtection="1">
      <protection hidden="1"/>
    </xf>
    <xf numFmtId="0" fontId="6" fillId="0" borderId="0" xfId="16218"/>
    <xf numFmtId="0" fontId="51" fillId="0" borderId="0" xfId="16218" applyFont="1" applyAlignment="1" applyProtection="1">
      <alignment wrapText="1"/>
      <protection hidden="1"/>
    </xf>
    <xf numFmtId="0" fontId="51" fillId="0" borderId="0" xfId="16218" applyFont="1" applyAlignment="1" applyProtection="1">
      <alignment horizontal="left" wrapText="1"/>
      <protection hidden="1"/>
    </xf>
    <xf numFmtId="0" fontId="51" fillId="0" borderId="0" xfId="16218" applyFont="1" applyProtection="1">
      <protection hidden="1"/>
    </xf>
    <xf numFmtId="49" fontId="51" fillId="0" borderId="99" xfId="16218" applyNumberFormat="1" applyFont="1" applyBorder="1" applyAlignment="1" applyProtection="1">
      <alignment horizontal="center"/>
      <protection hidden="1"/>
    </xf>
    <xf numFmtId="0" fontId="51" fillId="0" borderId="100" xfId="16218" applyFont="1" applyBorder="1" applyAlignment="1" applyProtection="1">
      <alignment horizontal="left" wrapText="1"/>
      <protection hidden="1"/>
    </xf>
    <xf numFmtId="4" fontId="55" fillId="0" borderId="0" xfId="16219" applyNumberFormat="1" applyFont="1" applyBorder="1" applyAlignment="1" applyProtection="1">
      <alignment horizontal="right"/>
      <protection hidden="1"/>
    </xf>
    <xf numFmtId="49" fontId="12" fillId="0" borderId="99" xfId="16218" applyNumberFormat="1" applyFont="1" applyBorder="1" applyAlignment="1" applyProtection="1">
      <alignment horizontal="center"/>
      <protection hidden="1"/>
    </xf>
    <xf numFmtId="0" fontId="12" fillId="0" borderId="100" xfId="16218" applyFont="1" applyBorder="1" applyAlignment="1" applyProtection="1">
      <alignment wrapText="1"/>
      <protection hidden="1"/>
    </xf>
    <xf numFmtId="4" fontId="55" fillId="0" borderId="0" xfId="16219" applyNumberFormat="1" applyFont="1" applyFill="1" applyBorder="1" applyAlignment="1">
      <alignment horizontal="right"/>
    </xf>
    <xf numFmtId="49" fontId="56" fillId="0" borderId="99" xfId="16218" applyNumberFormat="1" applyFont="1" applyBorder="1" applyAlignment="1" applyProtection="1">
      <alignment horizontal="center"/>
      <protection hidden="1"/>
    </xf>
    <xf numFmtId="0" fontId="56" fillId="0" borderId="100" xfId="16218" applyFont="1" applyBorder="1" applyAlignment="1" applyProtection="1">
      <alignment horizontal="left" wrapText="1"/>
      <protection hidden="1"/>
    </xf>
    <xf numFmtId="0" fontId="45" fillId="0" borderId="0" xfId="16218" applyFont="1" applyProtection="1">
      <protection hidden="1"/>
    </xf>
    <xf numFmtId="4" fontId="6" fillId="0" borderId="0" xfId="16218" applyNumberFormat="1" applyProtection="1">
      <protection hidden="1"/>
    </xf>
    <xf numFmtId="49" fontId="51" fillId="26" borderId="99" xfId="16218" applyNumberFormat="1" applyFont="1" applyFill="1" applyBorder="1" applyAlignment="1" applyProtection="1">
      <alignment horizontal="center"/>
      <protection hidden="1"/>
    </xf>
    <xf numFmtId="0" fontId="51" fillId="26" borderId="100" xfId="16218" applyFont="1" applyFill="1" applyBorder="1" applyAlignment="1" applyProtection="1">
      <alignment horizontal="left" wrapText="1"/>
      <protection hidden="1"/>
    </xf>
    <xf numFmtId="0" fontId="6" fillId="26" borderId="0" xfId="16218" applyFill="1" applyProtection="1">
      <protection hidden="1"/>
    </xf>
    <xf numFmtId="4" fontId="55" fillId="26" borderId="0" xfId="16219" applyNumberFormat="1" applyFont="1" applyFill="1" applyBorder="1" applyAlignment="1" applyProtection="1">
      <alignment horizontal="right"/>
      <protection hidden="1"/>
    </xf>
    <xf numFmtId="49" fontId="12" fillId="26" borderId="99" xfId="16218" applyNumberFormat="1" applyFont="1" applyFill="1" applyBorder="1" applyAlignment="1" applyProtection="1">
      <alignment horizontal="center"/>
      <protection hidden="1"/>
    </xf>
    <xf numFmtId="0" fontId="12" fillId="26" borderId="100" xfId="16218" applyFont="1" applyFill="1" applyBorder="1" applyAlignment="1" applyProtection="1">
      <alignment wrapText="1"/>
      <protection hidden="1"/>
    </xf>
    <xf numFmtId="4" fontId="55" fillId="0" borderId="0" xfId="16219" applyNumberFormat="1" applyFont="1" applyFill="1" applyBorder="1" applyAlignment="1" applyProtection="1">
      <alignment horizontal="right"/>
      <protection hidden="1"/>
    </xf>
    <xf numFmtId="43" fontId="55" fillId="0" borderId="0" xfId="16218" applyNumberFormat="1" applyFont="1" applyAlignment="1" applyProtection="1">
      <alignment horizontal="justify"/>
      <protection hidden="1"/>
    </xf>
    <xf numFmtId="0" fontId="58" fillId="0" borderId="0" xfId="16218" applyFont="1" applyProtection="1">
      <protection hidden="1"/>
    </xf>
    <xf numFmtId="0" fontId="48" fillId="0" borderId="0" xfId="16216" applyFont="1"/>
    <xf numFmtId="0" fontId="8" fillId="0" borderId="0" xfId="16216" applyFont="1"/>
    <xf numFmtId="0" fontId="49" fillId="0" borderId="0" xfId="16216" applyFont="1" applyAlignment="1">
      <alignment horizontal="left"/>
    </xf>
    <xf numFmtId="165" fontId="50" fillId="0" borderId="0" xfId="16217" applyNumberFormat="1" applyFont="1" applyFill="1" applyBorder="1" applyAlignment="1">
      <alignment horizontal="center"/>
    </xf>
    <xf numFmtId="43" fontId="36" fillId="0" borderId="0" xfId="16217" applyFont="1" applyFill="1" applyBorder="1" applyAlignment="1">
      <alignment horizontal="center"/>
    </xf>
    <xf numFmtId="43" fontId="36" fillId="0" borderId="0" xfId="16217" applyFont="1" applyFill="1" applyBorder="1" applyAlignment="1">
      <alignment horizontal="right"/>
    </xf>
    <xf numFmtId="43" fontId="48" fillId="0" borderId="0" xfId="16217" applyFont="1" applyFill="1" applyBorder="1" applyAlignment="1">
      <alignment horizontal="center"/>
    </xf>
    <xf numFmtId="0" fontId="47" fillId="0" borderId="0" xfId="16216" applyFont="1" applyAlignment="1">
      <alignment horizontal="left"/>
    </xf>
    <xf numFmtId="0" fontId="36" fillId="0" borderId="0" xfId="16216" applyFont="1" applyAlignment="1">
      <alignment horizontal="left"/>
    </xf>
    <xf numFmtId="0" fontId="29" fillId="0" borderId="0" xfId="16216" applyFont="1"/>
    <xf numFmtId="165" fontId="29" fillId="0" borderId="0" xfId="16217" applyNumberFormat="1" applyFont="1" applyFill="1" applyBorder="1"/>
    <xf numFmtId="0" fontId="0" fillId="0" borderId="100" xfId="16218" applyFont="1" applyBorder="1" applyAlignment="1" applyProtection="1">
      <alignment wrapText="1"/>
      <protection hidden="1"/>
    </xf>
    <xf numFmtId="1" fontId="10" fillId="27" borderId="16" xfId="2" applyNumberFormat="1" applyFont="1" applyFill="1" applyBorder="1"/>
    <xf numFmtId="177" fontId="51" fillId="0" borderId="0" xfId="16218" applyNumberFormat="1" applyFont="1" applyAlignment="1" applyProtection="1">
      <alignment horizontal="center"/>
      <protection hidden="1"/>
    </xf>
    <xf numFmtId="0" fontId="54" fillId="0" borderId="0" xfId="16218" applyFont="1" applyAlignment="1" applyProtection="1">
      <alignment horizontal="center" wrapText="1"/>
      <protection hidden="1"/>
    </xf>
    <xf numFmtId="0" fontId="53" fillId="0" borderId="100" xfId="16218" applyFont="1" applyBorder="1" applyAlignment="1" applyProtection="1">
      <alignment horizontal="left" vertical="top" wrapText="1"/>
      <protection hidden="1"/>
    </xf>
    <xf numFmtId="0" fontId="51" fillId="0" borderId="101" xfId="16218" applyFont="1" applyBorder="1" applyAlignment="1" applyProtection="1">
      <alignment horizontal="left" wrapText="1"/>
      <protection hidden="1"/>
    </xf>
    <xf numFmtId="0" fontId="53" fillId="0" borderId="103" xfId="16218" applyFont="1" applyBorder="1" applyAlignment="1" applyProtection="1">
      <alignment horizontal="left" vertical="top" wrapText="1"/>
      <protection hidden="1"/>
    </xf>
    <xf numFmtId="177" fontId="51" fillId="0" borderId="104" xfId="16218" applyNumberFormat="1" applyFont="1" applyBorder="1" applyProtection="1">
      <protection hidden="1"/>
    </xf>
    <xf numFmtId="0" fontId="53" fillId="0" borderId="105" xfId="16218" applyFont="1" applyBorder="1" applyAlignment="1" applyProtection="1">
      <alignment horizontal="left" vertical="top" wrapText="1"/>
      <protection hidden="1"/>
    </xf>
    <xf numFmtId="0" fontId="54" fillId="0" borderId="106" xfId="16218" applyFont="1" applyBorder="1" applyAlignment="1" applyProtection="1">
      <alignment horizontal="center" wrapText="1"/>
      <protection hidden="1"/>
    </xf>
    <xf numFmtId="177" fontId="51" fillId="0" borderId="107" xfId="16218" applyNumberFormat="1" applyFont="1" applyBorder="1" applyAlignment="1">
      <alignment horizontal="center"/>
    </xf>
    <xf numFmtId="0" fontId="6" fillId="0" borderId="102" xfId="16218" applyBorder="1"/>
    <xf numFmtId="4" fontId="54" fillId="0" borderId="102" xfId="16219" applyNumberFormat="1" applyFont="1" applyBorder="1" applyAlignment="1">
      <alignment horizontal="right"/>
    </xf>
    <xf numFmtId="4" fontId="55" fillId="24" borderId="102" xfId="16219" applyNumberFormat="1" applyFont="1" applyFill="1" applyBorder="1" applyAlignment="1">
      <alignment horizontal="right"/>
    </xf>
    <xf numFmtId="4" fontId="6" fillId="0" borderId="102" xfId="16218" applyNumberFormat="1" applyBorder="1"/>
    <xf numFmtId="4" fontId="55" fillId="0" borderId="102" xfId="16219" applyNumberFormat="1" applyFont="1" applyBorder="1" applyAlignment="1">
      <alignment horizontal="right"/>
    </xf>
    <xf numFmtId="4" fontId="55" fillId="0" borderId="102" xfId="16219" applyNumberFormat="1" applyFont="1" applyFill="1" applyBorder="1" applyAlignment="1">
      <alignment horizontal="right"/>
    </xf>
    <xf numFmtId="4" fontId="55" fillId="25" borderId="102" xfId="16219" applyNumberFormat="1" applyFont="1" applyFill="1" applyBorder="1" applyAlignment="1">
      <alignment horizontal="right"/>
    </xf>
    <xf numFmtId="4" fontId="57" fillId="0" borderId="102" xfId="16219" applyNumberFormat="1" applyFont="1" applyBorder="1" applyAlignment="1">
      <alignment horizontal="right"/>
    </xf>
    <xf numFmtId="4" fontId="55" fillId="26" borderId="102" xfId="16219" applyNumberFormat="1" applyFont="1" applyFill="1" applyBorder="1" applyAlignment="1">
      <alignment horizontal="right"/>
    </xf>
    <xf numFmtId="4" fontId="57" fillId="0" borderId="102" xfId="16219" applyNumberFormat="1" applyFont="1" applyFill="1" applyBorder="1" applyAlignment="1">
      <alignment horizontal="right"/>
    </xf>
    <xf numFmtId="43" fontId="55" fillId="0" borderId="102" xfId="16218" applyNumberFormat="1" applyFont="1" applyBorder="1" applyAlignment="1">
      <alignment horizontal="justify"/>
    </xf>
    <xf numFmtId="0" fontId="59" fillId="0" borderId="0" xfId="16216" applyFont="1" applyAlignment="1">
      <alignment horizontal="center"/>
    </xf>
    <xf numFmtId="43" fontId="60" fillId="0" borderId="0" xfId="16216" applyNumberFormat="1" applyFont="1" applyAlignment="1">
      <alignment horizontal="center"/>
    </xf>
    <xf numFmtId="0" fontId="61" fillId="0" borderId="0" xfId="16216" applyFont="1"/>
    <xf numFmtId="0" fontId="10" fillId="0" borderId="109" xfId="2" applyFont="1" applyBorder="1" applyAlignment="1">
      <alignment horizontal="right"/>
    </xf>
    <xf numFmtId="0" fontId="11" fillId="0" borderId="12" xfId="2" applyFont="1" applyBorder="1" applyAlignment="1">
      <alignment horizontal="left" indent="4"/>
    </xf>
    <xf numFmtId="0" fontId="5" fillId="0" borderId="0" xfId="16220"/>
    <xf numFmtId="0" fontId="64" fillId="0" borderId="0" xfId="16220" applyFont="1" applyAlignment="1">
      <alignment horizontal="left" vertical="top"/>
    </xf>
    <xf numFmtId="0" fontId="63" fillId="0" borderId="0" xfId="16220" applyFont="1"/>
    <xf numFmtId="0" fontId="65" fillId="0" borderId="0" xfId="16220" applyFont="1" applyAlignment="1">
      <alignment vertical="top" wrapText="1"/>
    </xf>
    <xf numFmtId="0" fontId="66" fillId="0" borderId="0" xfId="16220" applyFont="1" applyAlignment="1">
      <alignment vertical="top" wrapText="1"/>
    </xf>
    <xf numFmtId="0" fontId="65" fillId="0" borderId="102" xfId="16220" applyFont="1" applyBorder="1" applyAlignment="1">
      <alignment horizontal="left" vertical="top" wrapText="1"/>
    </xf>
    <xf numFmtId="0" fontId="64" fillId="30" borderId="102" xfId="16220" applyFont="1" applyFill="1" applyBorder="1" applyAlignment="1">
      <alignment horizontal="center" vertical="top" wrapText="1"/>
    </xf>
    <xf numFmtId="0" fontId="64" fillId="30" borderId="102" xfId="16220" applyFont="1" applyFill="1" applyBorder="1" applyAlignment="1">
      <alignment horizontal="left" vertical="top" wrapText="1"/>
    </xf>
    <xf numFmtId="0" fontId="64" fillId="30" borderId="102" xfId="16220" applyFont="1" applyFill="1" applyBorder="1" applyAlignment="1">
      <alignment horizontal="left" vertical="center" wrapText="1"/>
    </xf>
    <xf numFmtId="0" fontId="68" fillId="0" borderId="102" xfId="16220" applyFont="1" applyBorder="1" applyAlignment="1">
      <alignment horizontal="left" vertical="top" wrapText="1"/>
    </xf>
    <xf numFmtId="37" fontId="65" fillId="0" borderId="102" xfId="16220" applyNumberFormat="1" applyFont="1" applyBorder="1" applyAlignment="1">
      <alignment horizontal="left" vertical="top" wrapText="1"/>
    </xf>
    <xf numFmtId="37" fontId="66" fillId="0" borderId="102" xfId="16220" applyNumberFormat="1" applyFont="1" applyBorder="1" applyAlignment="1">
      <alignment horizontal="left" vertical="top" wrapText="1"/>
    </xf>
    <xf numFmtId="3" fontId="69" fillId="31" borderId="110" xfId="16220" applyNumberFormat="1" applyFont="1" applyFill="1" applyBorder="1"/>
    <xf numFmtId="37" fontId="70" fillId="0" borderId="102" xfId="16220" applyNumberFormat="1" applyFont="1" applyBorder="1" applyAlignment="1">
      <alignment horizontal="left" vertical="top" wrapText="1"/>
    </xf>
    <xf numFmtId="37" fontId="41" fillId="0" borderId="102" xfId="16220" applyNumberFormat="1" applyFont="1" applyBorder="1" applyAlignment="1">
      <alignment horizontal="left" vertical="top" wrapText="1"/>
    </xf>
    <xf numFmtId="0" fontId="71" fillId="0" borderId="102" xfId="16220" applyFont="1" applyBorder="1" applyAlignment="1">
      <alignment horizontal="left" vertical="top" wrapText="1"/>
    </xf>
    <xf numFmtId="0" fontId="64" fillId="0" borderId="102" xfId="16220" applyFont="1" applyBorder="1" applyAlignment="1">
      <alignment horizontal="left" vertical="top" wrapText="1"/>
    </xf>
    <xf numFmtId="37" fontId="70" fillId="0" borderId="102" xfId="16220" applyNumberFormat="1" applyFont="1" applyBorder="1" applyAlignment="1">
      <alignment horizontal="left" vertical="center" wrapText="1"/>
    </xf>
    <xf numFmtId="0" fontId="64" fillId="28" borderId="102" xfId="16220" applyFont="1" applyFill="1" applyBorder="1" applyAlignment="1">
      <alignment horizontal="left" vertical="top" wrapText="1"/>
    </xf>
    <xf numFmtId="37" fontId="41" fillId="28" borderId="102" xfId="16220" applyNumberFormat="1" applyFont="1" applyFill="1" applyBorder="1" applyAlignment="1">
      <alignment horizontal="left" vertical="center" wrapText="1"/>
    </xf>
    <xf numFmtId="0" fontId="64" fillId="32" borderId="102" xfId="16220" applyFont="1" applyFill="1" applyBorder="1" applyAlignment="1">
      <alignment horizontal="left" vertical="top" wrapText="1"/>
    </xf>
    <xf numFmtId="37" fontId="64" fillId="32" borderId="102" xfId="16220" applyNumberFormat="1" applyFont="1" applyFill="1" applyBorder="1" applyAlignment="1">
      <alignment horizontal="left" vertical="top" wrapText="1"/>
    </xf>
    <xf numFmtId="37" fontId="41" fillId="32" borderId="102" xfId="16220" applyNumberFormat="1" applyFont="1" applyFill="1" applyBorder="1" applyAlignment="1">
      <alignment horizontal="left" vertical="top" wrapText="1"/>
    </xf>
    <xf numFmtId="9" fontId="41" fillId="28" borderId="102" xfId="16221" applyFont="1" applyFill="1" applyBorder="1" applyAlignment="1">
      <alignment horizontal="left" vertical="center" wrapText="1"/>
    </xf>
    <xf numFmtId="0" fontId="73" fillId="0" borderId="0" xfId="16220" applyFont="1" applyAlignment="1">
      <alignment horizontal="left" vertical="top"/>
    </xf>
    <xf numFmtId="0" fontId="71" fillId="0" borderId="0" xfId="16220" applyFont="1" applyAlignment="1">
      <alignment horizontal="left" vertical="top"/>
    </xf>
    <xf numFmtId="0" fontId="4" fillId="0" borderId="0" xfId="16222"/>
    <xf numFmtId="0" fontId="63" fillId="0" borderId="0" xfId="16222" applyFont="1"/>
    <xf numFmtId="0" fontId="4" fillId="0" borderId="111" xfId="16222" applyBorder="1"/>
    <xf numFmtId="0" fontId="63" fillId="0" borderId="112" xfId="16222" applyFont="1" applyBorder="1"/>
    <xf numFmtId="166" fontId="14" fillId="0" borderId="0" xfId="2" applyNumberFormat="1" applyFont="1" applyAlignment="1">
      <alignment horizontal="center"/>
    </xf>
    <xf numFmtId="0" fontId="10" fillId="29" borderId="102" xfId="2" applyFont="1" applyFill="1" applyBorder="1" applyAlignment="1">
      <alignment horizontal="center"/>
    </xf>
    <xf numFmtId="0" fontId="10" fillId="28" borderId="102" xfId="2" applyFont="1" applyFill="1" applyBorder="1" applyAlignment="1">
      <alignment horizontal="center"/>
    </xf>
    <xf numFmtId="0" fontId="19" fillId="0" borderId="118" xfId="0" applyFont="1" applyBorder="1"/>
    <xf numFmtId="0" fontId="19" fillId="0" borderId="119" xfId="0" applyFont="1" applyBorder="1"/>
    <xf numFmtId="0" fontId="19" fillId="0" borderId="120" xfId="0" applyFont="1" applyBorder="1"/>
    <xf numFmtId="0" fontId="19" fillId="0" borderId="122" xfId="0" applyFont="1" applyBorder="1"/>
    <xf numFmtId="0" fontId="19" fillId="0" borderId="121" xfId="0" applyFont="1" applyBorder="1"/>
    <xf numFmtId="0" fontId="20" fillId="2" borderId="123" xfId="0" applyFont="1" applyFill="1" applyBorder="1" applyAlignment="1" applyProtection="1">
      <alignment vertical="center"/>
      <protection locked="0"/>
    </xf>
    <xf numFmtId="0" fontId="20" fillId="2" borderId="124" xfId="0" applyFont="1" applyFill="1" applyBorder="1" applyAlignment="1" applyProtection="1">
      <alignment vertical="center"/>
      <protection locked="0"/>
    </xf>
    <xf numFmtId="0" fontId="20" fillId="0" borderId="116" xfId="0" applyFont="1" applyBorder="1" applyAlignment="1">
      <alignment vertical="center" wrapText="1"/>
    </xf>
    <xf numFmtId="0" fontId="20" fillId="0" borderId="115" xfId="0" applyFont="1" applyBorder="1" applyAlignment="1">
      <alignment vertical="center" wrapText="1"/>
    </xf>
    <xf numFmtId="0" fontId="18" fillId="0" borderId="80" xfId="0" applyFont="1" applyBorder="1" applyAlignment="1">
      <alignment vertical="top" wrapText="1"/>
    </xf>
    <xf numFmtId="0" fontId="18" fillId="0" borderId="70" xfId="0" applyFont="1" applyBorder="1" applyAlignment="1">
      <alignment vertical="top" wrapText="1"/>
    </xf>
    <xf numFmtId="0" fontId="18" fillId="0" borderId="129" xfId="0" applyFont="1" applyBorder="1" applyAlignment="1">
      <alignment vertical="top" wrapText="1"/>
    </xf>
    <xf numFmtId="0" fontId="19" fillId="0" borderId="130" xfId="0" applyFont="1" applyBorder="1" applyAlignment="1">
      <alignment vertical="center"/>
    </xf>
    <xf numFmtId="0" fontId="19" fillId="0" borderId="131" xfId="0" applyFont="1" applyBorder="1" applyAlignment="1">
      <alignment vertical="center"/>
    </xf>
    <xf numFmtId="0" fontId="19" fillId="0" borderId="132" xfId="0" applyFont="1" applyBorder="1" applyAlignment="1">
      <alignment vertical="center"/>
    </xf>
    <xf numFmtId="0" fontId="76" fillId="0" borderId="75" xfId="0" applyFont="1" applyBorder="1" applyAlignment="1">
      <alignment vertical="top"/>
    </xf>
    <xf numFmtId="0" fontId="76" fillId="0" borderId="116" xfId="0" applyFont="1" applyBorder="1" applyAlignment="1">
      <alignment vertical="top"/>
    </xf>
    <xf numFmtId="0" fontId="20" fillId="2" borderId="133" xfId="0" applyFont="1" applyFill="1" applyBorder="1" applyAlignment="1" applyProtection="1">
      <alignment vertical="center"/>
      <protection locked="0"/>
    </xf>
    <xf numFmtId="0" fontId="20" fillId="2" borderId="134" xfId="0" applyFont="1" applyFill="1" applyBorder="1" applyAlignment="1" applyProtection="1">
      <alignment vertical="center"/>
      <protection locked="0"/>
    </xf>
    <xf numFmtId="0" fontId="19" fillId="0" borderId="135" xfId="0" applyFont="1" applyBorder="1" applyAlignment="1">
      <alignment vertical="center"/>
    </xf>
    <xf numFmtId="0" fontId="19" fillId="0" borderId="136" xfId="0" applyFont="1" applyBorder="1" applyAlignment="1">
      <alignment vertical="center"/>
    </xf>
    <xf numFmtId="0" fontId="20" fillId="2" borderId="137" xfId="0" applyFont="1" applyFill="1" applyBorder="1" applyAlignment="1" applyProtection="1">
      <alignment vertical="center"/>
      <protection locked="0"/>
    </xf>
    <xf numFmtId="0" fontId="20" fillId="2" borderId="138" xfId="0" applyFont="1" applyFill="1" applyBorder="1" applyAlignment="1" applyProtection="1">
      <alignment vertical="center"/>
      <protection locked="0"/>
    </xf>
    <xf numFmtId="0" fontId="20" fillId="2" borderId="139" xfId="0" applyFont="1" applyFill="1" applyBorder="1" applyAlignment="1" applyProtection="1">
      <alignment vertical="center"/>
      <protection locked="0"/>
    </xf>
    <xf numFmtId="0" fontId="19" fillId="0" borderId="140" xfId="0" applyFont="1" applyBorder="1" applyAlignment="1">
      <alignment vertical="center"/>
    </xf>
    <xf numFmtId="0" fontId="19" fillId="0" borderId="141" xfId="0" applyFont="1" applyBorder="1" applyAlignment="1">
      <alignment vertical="center"/>
    </xf>
    <xf numFmtId="168" fontId="18" fillId="2" borderId="133" xfId="1" applyFont="1" applyFill="1" applyBorder="1" applyAlignment="1" applyProtection="1">
      <alignment vertical="center"/>
      <protection locked="0"/>
    </xf>
    <xf numFmtId="168" fontId="18" fillId="2" borderId="134" xfId="1" applyFont="1" applyFill="1" applyBorder="1" applyAlignment="1" applyProtection="1">
      <alignment vertical="center"/>
      <protection locked="0"/>
    </xf>
    <xf numFmtId="168" fontId="18" fillId="2" borderId="138" xfId="1" applyFont="1" applyFill="1" applyBorder="1" applyAlignment="1" applyProtection="1">
      <alignment vertical="center"/>
      <protection locked="0"/>
    </xf>
    <xf numFmtId="168" fontId="18" fillId="2" borderId="142" xfId="1" applyFont="1" applyFill="1" applyBorder="1" applyAlignment="1" applyProtection="1">
      <alignment vertical="center"/>
      <protection locked="0"/>
    </xf>
    <xf numFmtId="0" fontId="20" fillId="2" borderId="143" xfId="0" applyFont="1" applyFill="1" applyBorder="1" applyAlignment="1" applyProtection="1">
      <alignment vertical="center"/>
      <protection locked="0"/>
    </xf>
    <xf numFmtId="168" fontId="18" fillId="2" borderId="143" xfId="1" applyFont="1" applyFill="1" applyBorder="1" applyAlignment="1" applyProtection="1">
      <alignment vertical="center"/>
      <protection locked="0"/>
    </xf>
    <xf numFmtId="168" fontId="18" fillId="2" borderId="144" xfId="1" applyFont="1" applyFill="1" applyBorder="1" applyAlignment="1" applyProtection="1">
      <alignment vertical="center"/>
      <protection locked="0"/>
    </xf>
    <xf numFmtId="0" fontId="19" fillId="0" borderId="145" xfId="0" applyFont="1" applyBorder="1"/>
    <xf numFmtId="0" fontId="19" fillId="0" borderId="146" xfId="0" applyFont="1" applyBorder="1"/>
    <xf numFmtId="0" fontId="63" fillId="0" borderId="117" xfId="16222" applyFont="1" applyBorder="1"/>
    <xf numFmtId="0" fontId="4" fillId="0" borderId="84" xfId="16222" applyBorder="1"/>
    <xf numFmtId="0" fontId="63" fillId="0" borderId="0" xfId="16222" applyFont="1" applyAlignment="1">
      <alignment horizontal="right"/>
    </xf>
    <xf numFmtId="0" fontId="3" fillId="0" borderId="0" xfId="16222" applyFont="1"/>
    <xf numFmtId="0" fontId="77" fillId="0" borderId="0" xfId="16222" applyFont="1"/>
    <xf numFmtId="0" fontId="77" fillId="0" borderId="0" xfId="16222" applyFont="1" applyAlignment="1">
      <alignment horizontal="left" indent="1"/>
    </xf>
    <xf numFmtId="0" fontId="4" fillId="29" borderId="0" xfId="16222" applyFill="1"/>
    <xf numFmtId="0" fontId="63" fillId="0" borderId="0" xfId="16222" applyFont="1" applyAlignment="1">
      <alignment horizontal="center"/>
    </xf>
    <xf numFmtId="0" fontId="63" fillId="0" borderId="84" xfId="16222" applyFont="1" applyBorder="1"/>
    <xf numFmtId="0" fontId="4" fillId="0" borderId="117" xfId="16222" applyBorder="1"/>
    <xf numFmtId="0" fontId="78" fillId="0" borderId="0" xfId="16222" applyFont="1"/>
    <xf numFmtId="167" fontId="79" fillId="0" borderId="0" xfId="16223" applyNumberFormat="1" applyFont="1"/>
    <xf numFmtId="0" fontId="74" fillId="0" borderId="0" xfId="0" applyFont="1" applyAlignment="1">
      <alignment vertical="center"/>
    </xf>
    <xf numFmtId="0" fontId="80" fillId="0" borderId="0" xfId="2" applyFont="1"/>
    <xf numFmtId="0" fontId="11" fillId="0" borderId="75" xfId="2" applyFont="1" applyBorder="1" applyAlignment="1">
      <alignment vertical="top" wrapText="1"/>
    </xf>
    <xf numFmtId="0" fontId="20" fillId="0" borderId="114" xfId="0" applyFont="1" applyBorder="1" applyAlignment="1">
      <alignment vertical="top"/>
    </xf>
    <xf numFmtId="0" fontId="20" fillId="0" borderId="82" xfId="0" applyFont="1" applyBorder="1" applyAlignment="1">
      <alignment vertical="top"/>
    </xf>
    <xf numFmtId="0" fontId="20" fillId="0" borderId="113" xfId="0" applyFont="1" applyBorder="1" applyAlignment="1">
      <alignment vertical="top"/>
    </xf>
    <xf numFmtId="0" fontId="22" fillId="0" borderId="70" xfId="0" applyFont="1" applyBorder="1" applyAlignment="1">
      <alignment vertical="top" wrapText="1"/>
    </xf>
    <xf numFmtId="0" fontId="20" fillId="0" borderId="88" xfId="0" applyFont="1" applyBorder="1" applyAlignment="1">
      <alignment vertical="center" wrapText="1"/>
    </xf>
    <xf numFmtId="0" fontId="11" fillId="0" borderId="75" xfId="2" applyFont="1" applyBorder="1" applyAlignment="1">
      <alignment wrapText="1"/>
    </xf>
    <xf numFmtId="0" fontId="81" fillId="0" borderId="102" xfId="0" applyFont="1" applyBorder="1" applyAlignment="1">
      <alignment vertical="center"/>
    </xf>
    <xf numFmtId="0" fontId="63" fillId="0" borderId="102" xfId="16222" applyFont="1" applyBorder="1" applyAlignment="1">
      <alignment horizontal="center"/>
    </xf>
    <xf numFmtId="0" fontId="74" fillId="0" borderId="102" xfId="0" applyFont="1" applyBorder="1" applyAlignment="1">
      <alignment vertical="center"/>
    </xf>
    <xf numFmtId="0" fontId="10" fillId="0" borderId="102" xfId="2" applyFont="1" applyBorder="1"/>
    <xf numFmtId="0" fontId="80" fillId="0" borderId="102" xfId="2" applyFont="1" applyBorder="1"/>
    <xf numFmtId="0" fontId="82" fillId="0" borderId="102" xfId="0" applyFont="1" applyBorder="1" applyAlignment="1">
      <alignment vertical="center"/>
    </xf>
    <xf numFmtId="0" fontId="74" fillId="0" borderId="0" xfId="0" applyFont="1" applyAlignment="1">
      <alignment horizontal="left" vertical="center" indent="1"/>
    </xf>
    <xf numFmtId="0" fontId="81" fillId="28" borderId="147" xfId="0" applyFont="1" applyFill="1" applyBorder="1" applyAlignment="1">
      <alignment horizontal="left" vertical="center"/>
    </xf>
    <xf numFmtId="0" fontId="4" fillId="28" borderId="77" xfId="16222" applyFill="1" applyBorder="1"/>
    <xf numFmtId="0" fontId="2" fillId="0" borderId="129" xfId="16222" applyFont="1" applyBorder="1"/>
    <xf numFmtId="0" fontId="2" fillId="0" borderId="78" xfId="16222" applyFont="1" applyBorder="1"/>
    <xf numFmtId="0" fontId="4" fillId="0" borderId="79" xfId="16222" applyBorder="1"/>
    <xf numFmtId="0" fontId="63" fillId="0" borderId="148" xfId="16222" applyFont="1" applyBorder="1" applyAlignment="1">
      <alignment horizontal="center"/>
    </xf>
    <xf numFmtId="0" fontId="10" fillId="0" borderId="121" xfId="2" applyFont="1" applyBorder="1"/>
    <xf numFmtId="0" fontId="10" fillId="0" borderId="149" xfId="2" applyFont="1" applyBorder="1"/>
    <xf numFmtId="0" fontId="10" fillId="0" borderId="150" xfId="2" applyFont="1" applyBorder="1"/>
    <xf numFmtId="0" fontId="63" fillId="28" borderId="151" xfId="16222" applyFont="1" applyFill="1" applyBorder="1"/>
    <xf numFmtId="0" fontId="4" fillId="0" borderId="153" xfId="16222" applyBorder="1"/>
    <xf numFmtId="0" fontId="10" fillId="0" borderId="154" xfId="2" applyFont="1" applyBorder="1"/>
    <xf numFmtId="0" fontId="74" fillId="0" borderId="0" xfId="0" applyFont="1" applyAlignment="1">
      <alignment horizontal="left" vertical="center"/>
    </xf>
    <xf numFmtId="0" fontId="84" fillId="0" borderId="0" xfId="0" applyFont="1" applyAlignment="1">
      <alignment horizontal="left" vertical="center" indent="1"/>
    </xf>
    <xf numFmtId="0" fontId="51" fillId="0" borderId="0" xfId="0" applyFont="1" applyAlignment="1">
      <alignment horizontal="center"/>
    </xf>
    <xf numFmtId="0" fontId="81" fillId="28" borderId="0" xfId="0" applyFont="1" applyFill="1" applyAlignment="1">
      <alignment horizontal="left" vertical="center"/>
    </xf>
    <xf numFmtId="0" fontId="0" fillId="0" borderId="111" xfId="0" applyBorder="1"/>
    <xf numFmtId="0" fontId="51" fillId="0" borderId="111" xfId="0" applyFont="1" applyBorder="1"/>
    <xf numFmtId="0" fontId="0" fillId="0" borderId="0" xfId="0" applyAlignment="1">
      <alignment horizontal="right"/>
    </xf>
    <xf numFmtId="0" fontId="51" fillId="0" borderId="0" xfId="0" applyFont="1" applyAlignment="1">
      <alignment horizontal="right"/>
    </xf>
    <xf numFmtId="0" fontId="82" fillId="0" borderId="0" xfId="0" applyFont="1" applyAlignment="1">
      <alignment horizontal="left" vertical="center"/>
    </xf>
    <xf numFmtId="0" fontId="51" fillId="0" borderId="0" xfId="0" applyFont="1"/>
    <xf numFmtId="0" fontId="85" fillId="0" borderId="0" xfId="0" applyFont="1"/>
    <xf numFmtId="0" fontId="51" fillId="0" borderId="117" xfId="0" applyFont="1" applyBorder="1"/>
    <xf numFmtId="0" fontId="0" fillId="28" borderId="0" xfId="0" applyFill="1"/>
    <xf numFmtId="0" fontId="86" fillId="0" borderId="0" xfId="0" applyFont="1" applyAlignment="1">
      <alignment horizontal="left" vertical="center"/>
    </xf>
    <xf numFmtId="0" fontId="88" fillId="0" borderId="0" xfId="14951" applyFont="1" applyAlignment="1">
      <alignment vertical="center"/>
    </xf>
    <xf numFmtId="0" fontId="89" fillId="0" borderId="0" xfId="14951" applyFont="1" applyAlignment="1">
      <alignment vertical="center"/>
    </xf>
    <xf numFmtId="0" fontId="80" fillId="0" borderId="14" xfId="2" applyFont="1" applyBorder="1" applyAlignment="1">
      <alignment horizontal="right"/>
    </xf>
    <xf numFmtId="0" fontId="80" fillId="0" borderId="13" xfId="2" applyFont="1" applyBorder="1" applyAlignment="1">
      <alignment horizontal="right"/>
    </xf>
    <xf numFmtId="0" fontId="80" fillId="0" borderId="15" xfId="2" applyFont="1" applyBorder="1" applyAlignment="1">
      <alignment horizontal="right"/>
    </xf>
    <xf numFmtId="0" fontId="18" fillId="0" borderId="78" xfId="0" applyFont="1" applyBorder="1" applyAlignment="1">
      <alignment vertical="top" wrapText="1"/>
    </xf>
    <xf numFmtId="4" fontId="80" fillId="28" borderId="79" xfId="2" applyNumberFormat="1" applyFont="1" applyFill="1" applyBorder="1"/>
    <xf numFmtId="0" fontId="21" fillId="0" borderId="155" xfId="0" applyFont="1" applyBorder="1"/>
    <xf numFmtId="0" fontId="21" fillId="0" borderId="156" xfId="0" applyFont="1" applyBorder="1" applyAlignment="1">
      <alignment vertical="center"/>
    </xf>
    <xf numFmtId="0" fontId="21" fillId="0" borderId="157" xfId="0" applyFont="1" applyBorder="1" applyAlignment="1">
      <alignment vertical="center"/>
    </xf>
    <xf numFmtId="0" fontId="19" fillId="0" borderId="158" xfId="0" applyFont="1" applyBorder="1" applyAlignment="1">
      <alignment vertical="center"/>
    </xf>
    <xf numFmtId="0" fontId="21" fillId="0" borderId="159" xfId="0" applyFont="1" applyBorder="1" applyAlignment="1">
      <alignment vertical="center"/>
    </xf>
    <xf numFmtId="0" fontId="19" fillId="0" borderId="160" xfId="0" applyFont="1" applyBorder="1" applyAlignment="1">
      <alignment vertical="center"/>
    </xf>
    <xf numFmtId="168" fontId="18" fillId="2" borderId="102" xfId="1" applyFont="1" applyFill="1" applyBorder="1" applyAlignment="1" applyProtection="1">
      <alignment vertical="center"/>
      <protection locked="0"/>
    </xf>
    <xf numFmtId="168" fontId="19" fillId="0" borderId="102" xfId="0" applyNumberFormat="1" applyFont="1" applyBorder="1" applyAlignment="1">
      <alignment vertical="center"/>
    </xf>
    <xf numFmtId="0" fontId="19" fillId="0" borderId="102" xfId="0" applyFont="1" applyBorder="1" applyAlignment="1">
      <alignment vertical="center"/>
    </xf>
    <xf numFmtId="0" fontId="80" fillId="0" borderId="109" xfId="2" applyFont="1" applyBorder="1" applyAlignment="1">
      <alignment horizontal="right"/>
    </xf>
    <xf numFmtId="168" fontId="18" fillId="0" borderId="161" xfId="1" applyFont="1" applyBorder="1" applyAlignment="1" applyProtection="1">
      <alignment vertical="center"/>
    </xf>
    <xf numFmtId="168" fontId="18" fillId="0" borderId="136" xfId="1" applyFont="1" applyBorder="1" applyAlignment="1" applyProtection="1">
      <alignment vertical="center"/>
    </xf>
    <xf numFmtId="0" fontId="80" fillId="0" borderId="102" xfId="2" applyFont="1" applyBorder="1" applyAlignment="1">
      <alignment horizontal="right"/>
    </xf>
    <xf numFmtId="0" fontId="80" fillId="0" borderId="102" xfId="2" applyFont="1" applyBorder="1" applyAlignment="1">
      <alignment wrapText="1"/>
    </xf>
    <xf numFmtId="9" fontId="10" fillId="0" borderId="102" xfId="2" applyNumberFormat="1" applyFont="1" applyBorder="1"/>
    <xf numFmtId="168" fontId="18" fillId="0" borderId="102" xfId="1" applyFont="1" applyBorder="1" applyAlignment="1" applyProtection="1">
      <alignment vertical="center"/>
    </xf>
    <xf numFmtId="4" fontId="80" fillId="28" borderId="102" xfId="2" applyNumberFormat="1" applyFont="1" applyFill="1" applyBorder="1"/>
    <xf numFmtId="168" fontId="51" fillId="0" borderId="102" xfId="1" applyFont="1" applyBorder="1" applyAlignment="1" applyProtection="1">
      <alignment vertical="center"/>
    </xf>
    <xf numFmtId="1" fontId="10" fillId="27" borderId="165" xfId="2" applyNumberFormat="1" applyFont="1" applyFill="1" applyBorder="1"/>
    <xf numFmtId="1" fontId="10" fillId="27" borderId="170" xfId="2" applyNumberFormat="1" applyFont="1" applyFill="1" applyBorder="1"/>
    <xf numFmtId="1" fontId="10" fillId="27" borderId="171" xfId="2" applyNumberFormat="1" applyFont="1" applyFill="1" applyBorder="1"/>
    <xf numFmtId="170" fontId="51" fillId="0" borderId="173" xfId="1" applyNumberFormat="1" applyFont="1" applyFill="1" applyBorder="1" applyProtection="1"/>
    <xf numFmtId="170" fontId="51" fillId="0" borderId="174" xfId="1" applyNumberFormat="1" applyFont="1" applyFill="1" applyBorder="1" applyProtection="1"/>
    <xf numFmtId="0" fontId="10" fillId="0" borderId="33" xfId="2" applyFont="1" applyBorder="1" applyAlignment="1">
      <alignment vertical="top" wrapText="1"/>
    </xf>
    <xf numFmtId="0" fontId="10" fillId="0" borderId="27" xfId="2" applyFont="1" applyBorder="1" applyAlignment="1">
      <alignment vertical="top" wrapText="1"/>
    </xf>
    <xf numFmtId="4" fontId="10" fillId="27" borderId="31" xfId="2" applyNumberFormat="1" applyFont="1" applyFill="1" applyBorder="1" applyAlignment="1">
      <alignment vertical="top" wrapText="1"/>
    </xf>
    <xf numFmtId="0" fontId="10" fillId="0" borderId="168" xfId="2" applyFont="1" applyBorder="1"/>
    <xf numFmtId="0" fontId="10" fillId="0" borderId="167" xfId="2" applyFont="1" applyBorder="1"/>
    <xf numFmtId="0" fontId="10" fillId="0" borderId="169" xfId="2" applyFont="1" applyBorder="1"/>
    <xf numFmtId="0" fontId="29" fillId="0" borderId="0" xfId="2" applyFont="1"/>
    <xf numFmtId="0" fontId="17" fillId="0" borderId="0" xfId="2" applyFont="1" applyAlignment="1">
      <alignment vertical="top" wrapText="1"/>
    </xf>
    <xf numFmtId="4" fontId="17" fillId="0" borderId="0" xfId="2" applyNumberFormat="1" applyFont="1" applyAlignment="1">
      <alignment vertical="top" wrapText="1"/>
    </xf>
    <xf numFmtId="0" fontId="17" fillId="0" borderId="0" xfId="2" applyFont="1" applyAlignment="1">
      <alignment horizontal="center" vertical="top" wrapText="1"/>
    </xf>
    <xf numFmtId="0" fontId="90" fillId="0" borderId="175" xfId="0" applyFont="1" applyBorder="1"/>
    <xf numFmtId="178" fontId="91" fillId="33" borderId="176" xfId="555" applyNumberFormat="1" applyFont="1" applyFill="1" applyBorder="1" applyAlignment="1">
      <alignment horizontal="left" vertical="center" wrapText="1" shrinkToFit="1"/>
    </xf>
    <xf numFmtId="176" fontId="92" fillId="0" borderId="177" xfId="1" applyNumberFormat="1" applyFont="1" applyBorder="1"/>
    <xf numFmtId="176" fontId="92" fillId="0" borderId="178" xfId="1" applyNumberFormat="1" applyFont="1" applyBorder="1"/>
    <xf numFmtId="0" fontId="93" fillId="0" borderId="0" xfId="0" applyFont="1"/>
    <xf numFmtId="176" fontId="92" fillId="0" borderId="180" xfId="1" applyNumberFormat="1" applyFont="1" applyFill="1" applyBorder="1"/>
    <xf numFmtId="176" fontId="92" fillId="0" borderId="181" xfId="1" applyNumberFormat="1" applyFont="1" applyFill="1" applyBorder="1"/>
    <xf numFmtId="0" fontId="64" fillId="0" borderId="0" xfId="16220" applyFont="1" applyAlignment="1">
      <alignment horizontal="right" vertical="top"/>
    </xf>
    <xf numFmtId="166" fontId="0" fillId="0" borderId="0" xfId="0" applyNumberFormat="1"/>
    <xf numFmtId="176" fontId="92" fillId="0" borderId="177" xfId="1" applyNumberFormat="1" applyFont="1" applyBorder="1" applyAlignment="1">
      <alignment wrapText="1"/>
    </xf>
    <xf numFmtId="0" fontId="93" fillId="0" borderId="179" xfId="0" applyFont="1" applyBorder="1" applyAlignment="1">
      <alignment wrapText="1"/>
    </xf>
    <xf numFmtId="0" fontId="93" fillId="0" borderId="129" xfId="0" applyFont="1" applyBorder="1" applyAlignment="1">
      <alignment wrapText="1"/>
    </xf>
    <xf numFmtId="4" fontId="0" fillId="0" borderId="0" xfId="0" applyNumberFormat="1"/>
    <xf numFmtId="166" fontId="14" fillId="0" borderId="187" xfId="2" applyNumberFormat="1" applyFont="1" applyBorder="1" applyAlignment="1">
      <alignment horizontal="center"/>
    </xf>
    <xf numFmtId="0" fontId="62" fillId="0" borderId="0" xfId="2" applyFont="1" applyAlignment="1">
      <alignment horizontal="right" vertical="center"/>
    </xf>
    <xf numFmtId="1" fontId="10" fillId="0" borderId="0" xfId="2" applyNumberFormat="1" applyFont="1" applyAlignment="1">
      <alignment horizontal="center"/>
    </xf>
    <xf numFmtId="2" fontId="47" fillId="0" borderId="0" xfId="16216" applyNumberFormat="1" applyFont="1"/>
    <xf numFmtId="0" fontId="94" fillId="0" borderId="0" xfId="0" applyFont="1" applyAlignment="1">
      <alignment horizontal="right" vertical="center"/>
    </xf>
    <xf numFmtId="0" fontId="10" fillId="0" borderId="194" xfId="2" applyFont="1" applyBorder="1" applyAlignment="1">
      <alignment vertical="top" wrapText="1"/>
    </xf>
    <xf numFmtId="0" fontId="61" fillId="0" borderId="210" xfId="16216" applyFont="1" applyBorder="1"/>
    <xf numFmtId="0" fontId="61" fillId="0" borderId="211" xfId="16216" applyFont="1" applyBorder="1"/>
    <xf numFmtId="0" fontId="61" fillId="0" borderId="44" xfId="16216" applyFont="1" applyBorder="1"/>
    <xf numFmtId="0" fontId="98" fillId="0" borderId="0" xfId="14951" applyFont="1" applyAlignment="1">
      <alignment vertical="center"/>
    </xf>
    <xf numFmtId="166" fontId="14" fillId="0" borderId="0" xfId="2" applyNumberFormat="1" applyFont="1"/>
    <xf numFmtId="0" fontId="47" fillId="0" borderId="0" xfId="16216" applyFont="1" applyAlignment="1">
      <alignment horizontal="left" vertical="center"/>
    </xf>
    <xf numFmtId="0" fontId="80" fillId="0" borderId="184" xfId="2" applyFont="1" applyBorder="1"/>
    <xf numFmtId="0" fontId="80" fillId="0" borderId="151" xfId="2" applyFont="1" applyBorder="1" applyAlignment="1">
      <alignment horizontal="center" vertical="center"/>
    </xf>
    <xf numFmtId="0" fontId="80" fillId="0" borderId="152" xfId="2" applyFont="1" applyBorder="1" applyAlignment="1">
      <alignment horizontal="center" vertical="center"/>
    </xf>
    <xf numFmtId="0" fontId="19" fillId="0" borderId="261" xfId="0" applyFont="1" applyBorder="1"/>
    <xf numFmtId="0" fontId="19" fillId="0" borderId="267" xfId="0" applyFont="1" applyBorder="1"/>
    <xf numFmtId="0" fontId="19" fillId="0" borderId="214" xfId="0" applyFont="1" applyBorder="1"/>
    <xf numFmtId="0" fontId="19" fillId="0" borderId="270" xfId="0" applyFont="1" applyBorder="1"/>
    <xf numFmtId="0" fontId="100" fillId="2" borderId="262" xfId="0" applyFont="1" applyFill="1" applyBorder="1" applyAlignment="1" applyProtection="1">
      <alignment vertical="center"/>
      <protection locked="0"/>
    </xf>
    <xf numFmtId="0" fontId="100" fillId="2" borderId="263" xfId="0" applyFont="1" applyFill="1" applyBorder="1" applyAlignment="1" applyProtection="1">
      <alignment vertical="center"/>
      <protection locked="0"/>
    </xf>
    <xf numFmtId="0" fontId="100" fillId="2" borderId="264" xfId="0" applyFont="1" applyFill="1" applyBorder="1" applyAlignment="1" applyProtection="1">
      <alignment vertical="center"/>
      <protection locked="0"/>
    </xf>
    <xf numFmtId="0" fontId="100" fillId="2" borderId="265" xfId="0" applyFont="1" applyFill="1" applyBorder="1" applyAlignment="1" applyProtection="1">
      <alignment vertical="center"/>
      <protection locked="0"/>
    </xf>
    <xf numFmtId="0" fontId="100" fillId="2" borderId="268" xfId="0" applyFont="1" applyFill="1" applyBorder="1" applyAlignment="1" applyProtection="1">
      <alignment vertical="center"/>
      <protection locked="0"/>
    </xf>
    <xf numFmtId="0" fontId="100" fillId="2" borderId="269" xfId="0" applyFont="1" applyFill="1" applyBorder="1" applyAlignment="1" applyProtection="1">
      <alignment vertical="center"/>
      <protection locked="0"/>
    </xf>
    <xf numFmtId="0" fontId="10" fillId="0" borderId="38" xfId="2" applyFont="1" applyBorder="1" applyAlignment="1">
      <alignment vertical="top" wrapText="1"/>
    </xf>
    <xf numFmtId="168" fontId="12" fillId="27" borderId="16" xfId="1" applyFill="1" applyBorder="1" applyProtection="1"/>
    <xf numFmtId="168" fontId="12" fillId="27" borderId="170" xfId="1" applyFill="1" applyBorder="1" applyProtection="1"/>
    <xf numFmtId="170" fontId="12" fillId="27" borderId="170" xfId="1" applyNumberFormat="1" applyFill="1" applyBorder="1" applyProtection="1"/>
    <xf numFmtId="168" fontId="12" fillId="27" borderId="286" xfId="1" applyFill="1" applyBorder="1" applyProtection="1"/>
    <xf numFmtId="168" fontId="12" fillId="27" borderId="165" xfId="1" applyFill="1" applyBorder="1" applyProtection="1"/>
    <xf numFmtId="168" fontId="12" fillId="27" borderId="171" xfId="1" applyFill="1" applyBorder="1" applyProtection="1"/>
    <xf numFmtId="170" fontId="12" fillId="27" borderId="165" xfId="1" applyNumberFormat="1" applyFill="1" applyBorder="1" applyProtection="1"/>
    <xf numFmtId="0" fontId="104" fillId="0" borderId="44" xfId="2" applyFont="1" applyBorder="1" applyAlignment="1">
      <alignment vertical="top" wrapText="1"/>
    </xf>
    <xf numFmtId="0" fontId="104" fillId="0" borderId="48" xfId="2" applyFont="1" applyBorder="1" applyAlignment="1">
      <alignment vertical="top" wrapText="1"/>
    </xf>
    <xf numFmtId="0" fontId="105" fillId="0" borderId="0" xfId="16216" applyFont="1"/>
    <xf numFmtId="0" fontId="10" fillId="0" borderId="46" xfId="2" applyFont="1" applyBorder="1" applyAlignment="1">
      <alignment vertical="top" wrapText="1"/>
    </xf>
    <xf numFmtId="0" fontId="80" fillId="0" borderId="46" xfId="2" applyFont="1" applyBorder="1" applyAlignment="1">
      <alignment vertical="top" wrapText="1"/>
    </xf>
    <xf numFmtId="0" fontId="80" fillId="0" borderId="291" xfId="2" applyFont="1" applyBorder="1" applyAlignment="1">
      <alignment vertical="top" wrapText="1"/>
    </xf>
    <xf numFmtId="166" fontId="15" fillId="0" borderId="0" xfId="2" applyNumberFormat="1" applyFont="1"/>
    <xf numFmtId="166" fontId="10" fillId="0" borderId="0" xfId="0" applyNumberFormat="1" applyFont="1" applyAlignment="1">
      <alignment vertical="center"/>
    </xf>
    <xf numFmtId="0" fontId="106" fillId="0" borderId="0" xfId="2" applyFont="1"/>
    <xf numFmtId="4" fontId="106" fillId="0" borderId="0" xfId="2" applyNumberFormat="1" applyFont="1"/>
    <xf numFmtId="0" fontId="10" fillId="27" borderId="9" xfId="2" applyFont="1" applyFill="1" applyBorder="1"/>
    <xf numFmtId="0" fontId="101" fillId="0" borderId="0" xfId="16216" applyFont="1"/>
    <xf numFmtId="0" fontId="10" fillId="0" borderId="250" xfId="2" applyFont="1" applyBorder="1"/>
    <xf numFmtId="0" fontId="10" fillId="0" borderId="234" xfId="2" applyFont="1" applyBorder="1"/>
    <xf numFmtId="165" fontId="56" fillId="0" borderId="0" xfId="16217" applyNumberFormat="1" applyFont="1" applyFill="1" applyBorder="1"/>
    <xf numFmtId="43" fontId="59" fillId="0" borderId="0" xfId="16216" applyNumberFormat="1" applyFont="1"/>
    <xf numFmtId="1" fontId="10" fillId="27" borderId="313" xfId="2" applyNumberFormat="1" applyFont="1" applyFill="1" applyBorder="1"/>
    <xf numFmtId="1" fontId="10" fillId="27" borderId="315" xfId="2" applyNumberFormat="1" applyFont="1" applyFill="1" applyBorder="1"/>
    <xf numFmtId="0" fontId="10" fillId="0" borderId="36" xfId="2" applyFont="1" applyBorder="1" applyAlignment="1">
      <alignment vertical="center" wrapText="1"/>
    </xf>
    <xf numFmtId="0" fontId="104" fillId="0" borderId="47" xfId="2" applyFont="1" applyBorder="1" applyAlignment="1">
      <alignment horizontal="center" vertical="top" wrapText="1"/>
    </xf>
    <xf numFmtId="179" fontId="12" fillId="27" borderId="16" xfId="1" applyNumberFormat="1" applyFill="1" applyBorder="1" applyProtection="1"/>
    <xf numFmtId="179" fontId="12" fillId="27" borderId="165" xfId="1" applyNumberFormat="1" applyFill="1" applyBorder="1" applyProtection="1"/>
    <xf numFmtId="0" fontId="14" fillId="0" borderId="0" xfId="2" applyFont="1" applyAlignment="1">
      <alignment horizontal="left" indent="4"/>
    </xf>
    <xf numFmtId="1" fontId="10" fillId="2" borderId="16" xfId="2" applyNumberFormat="1" applyFont="1" applyFill="1" applyBorder="1"/>
    <xf numFmtId="4" fontId="10" fillId="2" borderId="295" xfId="2" applyNumberFormat="1" applyFont="1" applyFill="1" applyBorder="1" applyProtection="1">
      <protection locked="0"/>
    </xf>
    <xf numFmtId="4" fontId="10" fillId="2" borderId="296" xfId="2" applyNumberFormat="1" applyFont="1" applyFill="1" applyBorder="1" applyProtection="1">
      <protection locked="0"/>
    </xf>
    <xf numFmtId="0" fontId="17" fillId="0" borderId="0" xfId="2" applyFont="1" applyAlignment="1">
      <alignment vertical="center"/>
    </xf>
    <xf numFmtId="2" fontId="10" fillId="0" borderId="0" xfId="2" applyNumberFormat="1" applyFont="1" applyAlignment="1">
      <alignment horizontal="left"/>
    </xf>
    <xf numFmtId="166" fontId="10" fillId="0" borderId="0" xfId="0" applyNumberFormat="1" applyFont="1" applyAlignment="1">
      <alignment horizontal="left" vertical="center"/>
    </xf>
    <xf numFmtId="170" fontId="80" fillId="0" borderId="325" xfId="2" applyNumberFormat="1" applyFont="1" applyBorder="1"/>
    <xf numFmtId="2" fontId="80" fillId="0" borderId="0" xfId="2" applyNumberFormat="1" applyFont="1" applyAlignment="1">
      <alignment horizontal="left"/>
    </xf>
    <xf numFmtId="170" fontId="51" fillId="0" borderId="253" xfId="1" applyNumberFormat="1" applyFont="1" applyFill="1" applyBorder="1" applyProtection="1"/>
    <xf numFmtId="170" fontId="80" fillId="0" borderId="326" xfId="2" applyNumberFormat="1" applyFont="1" applyBorder="1"/>
    <xf numFmtId="0" fontId="10" fillId="0" borderId="327" xfId="2" applyFont="1" applyBorder="1" applyAlignment="1">
      <alignment vertical="top" wrapText="1"/>
    </xf>
    <xf numFmtId="1" fontId="10" fillId="2" borderId="323" xfId="2" applyNumberFormat="1" applyFont="1" applyFill="1" applyBorder="1"/>
    <xf numFmtId="4" fontId="10" fillId="2" borderId="324" xfId="2" applyNumberFormat="1" applyFont="1" applyFill="1" applyBorder="1" applyProtection="1">
      <protection locked="0"/>
    </xf>
    <xf numFmtId="4" fontId="10" fillId="2" borderId="283" xfId="2" applyNumberFormat="1" applyFont="1" applyFill="1" applyBorder="1" applyProtection="1">
      <protection locked="0"/>
    </xf>
    <xf numFmtId="4" fontId="10" fillId="2" borderId="328" xfId="2" applyNumberFormat="1" applyFont="1" applyFill="1" applyBorder="1" applyProtection="1">
      <protection locked="0"/>
    </xf>
    <xf numFmtId="4" fontId="10" fillId="2" borderId="329" xfId="2" applyNumberFormat="1" applyFont="1" applyFill="1" applyBorder="1" applyProtection="1">
      <protection locked="0"/>
    </xf>
    <xf numFmtId="0" fontId="80" fillId="0" borderId="70" xfId="2" applyFont="1" applyBorder="1"/>
    <xf numFmtId="170" fontId="80" fillId="0" borderId="223" xfId="2" applyNumberFormat="1" applyFont="1" applyBorder="1"/>
    <xf numFmtId="170" fontId="80" fillId="0" borderId="212" xfId="2" applyNumberFormat="1" applyFont="1" applyBorder="1"/>
    <xf numFmtId="0" fontId="10" fillId="0" borderId="330" xfId="2" applyFont="1" applyBorder="1" applyAlignment="1">
      <alignment vertical="top" wrapText="1"/>
    </xf>
    <xf numFmtId="1" fontId="10" fillId="2" borderId="165" xfId="2" applyNumberFormat="1" applyFont="1" applyFill="1" applyBorder="1"/>
    <xf numFmtId="0" fontId="11" fillId="0" borderId="184" xfId="2" applyFont="1" applyBorder="1" applyAlignment="1">
      <alignment horizontal="left" indent="4"/>
    </xf>
    <xf numFmtId="0" fontId="80" fillId="0" borderId="331" xfId="2" applyFont="1" applyBorder="1" applyAlignment="1">
      <alignment horizontal="center" vertical="center"/>
    </xf>
    <xf numFmtId="0" fontId="80" fillId="0" borderId="332" xfId="2" applyFont="1" applyBorder="1" applyAlignment="1">
      <alignment horizontal="center" vertical="center"/>
    </xf>
    <xf numFmtId="0" fontId="80" fillId="0" borderId="312" xfId="2" applyFont="1" applyBorder="1" applyAlignment="1">
      <alignment horizontal="center" vertical="center"/>
    </xf>
    <xf numFmtId="0" fontId="11" fillId="0" borderId="185" xfId="2" applyFont="1" applyBorder="1" applyAlignment="1">
      <alignment horizontal="right"/>
    </xf>
    <xf numFmtId="170" fontId="80" fillId="0" borderId="0" xfId="2" applyNumberFormat="1" applyFont="1"/>
    <xf numFmtId="0" fontId="11" fillId="0" borderId="184" xfId="2" applyFont="1" applyBorder="1"/>
    <xf numFmtId="166" fontId="14" fillId="27" borderId="295" xfId="2" applyNumberFormat="1" applyFont="1" applyFill="1" applyBorder="1"/>
    <xf numFmtId="0" fontId="108" fillId="0" borderId="0" xfId="2" applyFont="1"/>
    <xf numFmtId="0" fontId="94" fillId="0" borderId="0" xfId="2" applyFont="1"/>
    <xf numFmtId="0" fontId="107" fillId="0" borderId="0" xfId="2" applyFont="1"/>
    <xf numFmtId="0" fontId="94" fillId="0" borderId="14" xfId="2" applyFont="1" applyBorder="1" applyAlignment="1">
      <alignment horizontal="right"/>
    </xf>
    <xf numFmtId="0" fontId="94" fillId="0" borderId="13" xfId="2" applyFont="1" applyBorder="1" applyAlignment="1">
      <alignment horizontal="right"/>
    </xf>
    <xf numFmtId="0" fontId="94" fillId="0" borderId="15" xfId="2" applyFont="1" applyBorder="1" applyAlignment="1">
      <alignment horizontal="right"/>
    </xf>
    <xf numFmtId="170" fontId="48" fillId="0" borderId="6" xfId="1" applyNumberFormat="1" applyFont="1" applyFill="1" applyBorder="1" applyProtection="1"/>
    <xf numFmtId="1" fontId="108" fillId="0" borderId="182" xfId="2" applyNumberFormat="1" applyFont="1" applyBorder="1"/>
    <xf numFmtId="1" fontId="108" fillId="0" borderId="164" xfId="2" applyNumberFormat="1" applyFont="1" applyBorder="1"/>
    <xf numFmtId="1" fontId="108" fillId="0" borderId="16" xfId="2" applyNumberFormat="1" applyFont="1" applyBorder="1"/>
    <xf numFmtId="1" fontId="108" fillId="0" borderId="165" xfId="2" applyNumberFormat="1" applyFont="1" applyBorder="1"/>
    <xf numFmtId="170" fontId="48" fillId="0" borderId="301" xfId="1" applyNumberFormat="1" applyFont="1" applyFill="1" applyBorder="1" applyProtection="1"/>
    <xf numFmtId="1" fontId="108" fillId="0" borderId="170" xfId="2" applyNumberFormat="1" applyFont="1" applyBorder="1"/>
    <xf numFmtId="1" fontId="108" fillId="0" borderId="171" xfId="2" applyNumberFormat="1" applyFont="1" applyBorder="1"/>
    <xf numFmtId="4" fontId="109" fillId="34" borderId="302" xfId="2" applyNumberFormat="1" applyFont="1" applyFill="1" applyBorder="1"/>
    <xf numFmtId="4" fontId="109" fillId="34" borderId="300" xfId="2" applyNumberFormat="1" applyFont="1" applyFill="1" applyBorder="1"/>
    <xf numFmtId="4" fontId="109" fillId="34" borderId="312" xfId="2" applyNumberFormat="1" applyFont="1" applyFill="1" applyBorder="1"/>
    <xf numFmtId="170" fontId="101" fillId="0" borderId="271" xfId="1" applyNumberFormat="1" applyFont="1" applyFill="1" applyBorder="1" applyProtection="1"/>
    <xf numFmtId="1" fontId="108" fillId="0" borderId="272" xfId="2" applyNumberFormat="1" applyFont="1" applyBorder="1"/>
    <xf numFmtId="170" fontId="48" fillId="0" borderId="317" xfId="1" applyNumberFormat="1" applyFont="1" applyFill="1" applyBorder="1" applyProtection="1"/>
    <xf numFmtId="0" fontId="108" fillId="0" borderId="0" xfId="2" applyFont="1" applyAlignment="1">
      <alignment horizontal="left" indent="4"/>
    </xf>
    <xf numFmtId="4" fontId="108" fillId="0" borderId="11" xfId="2" applyNumberFormat="1" applyFont="1" applyBorder="1"/>
    <xf numFmtId="2" fontId="108" fillId="0" borderId="285" xfId="2" applyNumberFormat="1" applyFont="1" applyBorder="1"/>
    <xf numFmtId="2" fontId="108" fillId="0" borderId="286" xfId="2" applyNumberFormat="1" applyFont="1" applyBorder="1"/>
    <xf numFmtId="0" fontId="108" fillId="0" borderId="168" xfId="2" applyFont="1" applyBorder="1"/>
    <xf numFmtId="0" fontId="108" fillId="0" borderId="167" xfId="2" applyFont="1" applyBorder="1"/>
    <xf numFmtId="0" fontId="108" fillId="0" borderId="169" xfId="2" applyFont="1" applyBorder="1"/>
    <xf numFmtId="2" fontId="108" fillId="0" borderId="295" xfId="2" applyNumberFormat="1" applyFont="1" applyBorder="1"/>
    <xf numFmtId="2" fontId="108" fillId="0" borderId="296" xfId="2" applyNumberFormat="1" applyFont="1" applyBorder="1"/>
    <xf numFmtId="0" fontId="108" fillId="0" borderId="318" xfId="2" applyFont="1" applyBorder="1"/>
    <xf numFmtId="0" fontId="108" fillId="0" borderId="104" xfId="2" applyFont="1" applyBorder="1"/>
    <xf numFmtId="0" fontId="108" fillId="0" borderId="319" xfId="2" applyFont="1" applyBorder="1"/>
    <xf numFmtId="4" fontId="108" fillId="0" borderId="3" xfId="2" applyNumberFormat="1" applyFont="1" applyBorder="1"/>
    <xf numFmtId="2" fontId="108" fillId="0" borderId="314" xfId="2" applyNumberFormat="1" applyFont="1" applyBorder="1"/>
    <xf numFmtId="2" fontId="108" fillId="0" borderId="320" xfId="2" applyNumberFormat="1" applyFont="1" applyBorder="1"/>
    <xf numFmtId="4" fontId="109" fillId="34" borderId="322" xfId="2" applyNumberFormat="1" applyFont="1" applyFill="1" applyBorder="1"/>
    <xf numFmtId="4" fontId="109" fillId="34" borderId="173" xfId="2" applyNumberFormat="1" applyFont="1" applyFill="1" applyBorder="1"/>
    <xf numFmtId="4" fontId="109" fillId="34" borderId="174" xfId="2" applyNumberFormat="1" applyFont="1" applyFill="1" applyBorder="1"/>
    <xf numFmtId="4" fontId="108" fillId="0" borderId="6" xfId="2" applyNumberFormat="1" applyFont="1" applyBorder="1"/>
    <xf numFmtId="2" fontId="108" fillId="0" borderId="16" xfId="2" applyNumberFormat="1" applyFont="1" applyBorder="1"/>
    <xf numFmtId="2" fontId="108" fillId="0" borderId="165" xfId="2" applyNumberFormat="1" applyFont="1" applyBorder="1"/>
    <xf numFmtId="2" fontId="108" fillId="0" borderId="297" xfId="2" applyNumberFormat="1" applyFont="1" applyBorder="1"/>
    <xf numFmtId="2" fontId="108" fillId="0" borderId="298" xfId="2" applyNumberFormat="1" applyFont="1" applyBorder="1"/>
    <xf numFmtId="3" fontId="108" fillId="0" borderId="6" xfId="2" applyNumberFormat="1" applyFont="1" applyBorder="1"/>
    <xf numFmtId="3" fontId="108" fillId="0" borderId="16" xfId="2" applyNumberFormat="1" applyFont="1" applyBorder="1"/>
    <xf numFmtId="3" fontId="108" fillId="0" borderId="165" xfId="2" applyNumberFormat="1" applyFont="1" applyBorder="1"/>
    <xf numFmtId="0" fontId="111" fillId="0" borderId="0" xfId="0" applyFont="1" applyAlignment="1">
      <alignment horizontal="left" vertical="center" indent="14"/>
    </xf>
    <xf numFmtId="1" fontId="108" fillId="0" borderId="11" xfId="2" applyNumberFormat="1" applyFont="1" applyBorder="1"/>
    <xf numFmtId="4" fontId="108" fillId="0" borderId="0" xfId="2" applyNumberFormat="1" applyFont="1"/>
    <xf numFmtId="9" fontId="108" fillId="0" borderId="299" xfId="16224" applyFont="1" applyFill="1" applyBorder="1" applyProtection="1"/>
    <xf numFmtId="2" fontId="108" fillId="0" borderId="0" xfId="2" applyNumberFormat="1" applyFont="1" applyAlignment="1">
      <alignment horizontal="left"/>
    </xf>
    <xf numFmtId="0" fontId="112" fillId="0" borderId="0" xfId="2" applyFont="1" applyAlignment="1">
      <alignment horizontal="left" indent="4"/>
    </xf>
    <xf numFmtId="0" fontId="107" fillId="0" borderId="0" xfId="2" applyFont="1" applyAlignment="1">
      <alignment horizontal="left" indent="4"/>
    </xf>
    <xf numFmtId="2" fontId="107" fillId="0" borderId="0" xfId="2" applyNumberFormat="1" applyFont="1"/>
    <xf numFmtId="0" fontId="108" fillId="0" borderId="0" xfId="2" applyFont="1" applyAlignment="1">
      <alignment vertical="center" wrapText="1"/>
    </xf>
    <xf numFmtId="0" fontId="108" fillId="0" borderId="25" xfId="2" applyFont="1" applyBorder="1" applyAlignment="1">
      <alignment vertical="top" wrapText="1"/>
    </xf>
    <xf numFmtId="4" fontId="108" fillId="0" borderId="26" xfId="2" applyNumberFormat="1" applyFont="1" applyBorder="1" applyAlignment="1">
      <alignment vertical="top" wrapText="1"/>
    </xf>
    <xf numFmtId="0" fontId="108" fillId="0" borderId="0" xfId="2" applyFont="1" applyAlignment="1">
      <alignment vertical="top" wrapText="1"/>
    </xf>
    <xf numFmtId="0" fontId="108" fillId="0" borderId="31" xfId="2" applyFont="1" applyBorder="1" applyAlignment="1">
      <alignment vertical="top" wrapText="1"/>
    </xf>
    <xf numFmtId="0" fontId="108" fillId="0" borderId="36" xfId="2" applyFont="1" applyBorder="1" applyAlignment="1">
      <alignment vertical="top" wrapText="1"/>
    </xf>
    <xf numFmtId="4" fontId="108" fillId="0" borderId="37" xfId="2" applyNumberFormat="1" applyFont="1" applyBorder="1" applyAlignment="1">
      <alignment vertical="top" wrapText="1"/>
    </xf>
    <xf numFmtId="4" fontId="108" fillId="0" borderId="30" xfId="2" applyNumberFormat="1" applyFont="1" applyBorder="1" applyAlignment="1">
      <alignment vertical="top" wrapText="1"/>
    </xf>
    <xf numFmtId="0" fontId="94" fillId="0" borderId="44" xfId="2" applyFont="1" applyBorder="1" applyAlignment="1">
      <alignment vertical="top" wrapText="1"/>
    </xf>
    <xf numFmtId="4" fontId="94" fillId="0" borderId="45" xfId="2" applyNumberFormat="1" applyFont="1" applyBorder="1" applyAlignment="1">
      <alignment vertical="top" wrapText="1"/>
    </xf>
    <xf numFmtId="0" fontId="94" fillId="0" borderId="46" xfId="2" applyFont="1" applyBorder="1" applyAlignment="1">
      <alignment horizontal="center" vertical="top" wrapText="1"/>
    </xf>
    <xf numFmtId="4" fontId="94" fillId="0" borderId="0" xfId="2" applyNumberFormat="1" applyFont="1"/>
    <xf numFmtId="4" fontId="108" fillId="0" borderId="0" xfId="2" applyNumberFormat="1" applyFont="1" applyAlignment="1">
      <alignment vertical="top" wrapText="1"/>
    </xf>
    <xf numFmtId="0" fontId="108" fillId="0" borderId="0" xfId="2" applyFont="1" applyAlignment="1">
      <alignment horizontal="center" vertical="top" wrapText="1"/>
    </xf>
    <xf numFmtId="0" fontId="112" fillId="0" borderId="0" xfId="2" applyFont="1"/>
    <xf numFmtId="166" fontId="94" fillId="0" borderId="0" xfId="2" applyNumberFormat="1" applyFont="1"/>
    <xf numFmtId="0" fontId="107" fillId="0" borderId="0" xfId="2" applyFont="1" applyAlignment="1">
      <alignment vertical="top" wrapText="1"/>
    </xf>
    <xf numFmtId="0" fontId="107" fillId="0" borderId="52" xfId="2" applyFont="1" applyBorder="1" applyAlignment="1">
      <alignment vertical="top" wrapText="1"/>
    </xf>
    <xf numFmtId="166" fontId="94" fillId="0" borderId="0" xfId="2" applyNumberFormat="1" applyFont="1" applyAlignment="1">
      <alignment horizontal="right"/>
    </xf>
    <xf numFmtId="4" fontId="108" fillId="0" borderId="32" xfId="2" applyNumberFormat="1" applyFont="1" applyBorder="1" applyAlignment="1">
      <alignment vertical="top" wrapText="1"/>
    </xf>
    <xf numFmtId="0" fontId="113" fillId="0" borderId="0" xfId="2" applyFont="1" applyAlignment="1">
      <alignment vertical="top" wrapText="1"/>
    </xf>
    <xf numFmtId="0" fontId="107" fillId="0" borderId="46" xfId="2" applyFont="1" applyBorder="1" applyAlignment="1">
      <alignment vertical="top" wrapText="1"/>
    </xf>
    <xf numFmtId="4" fontId="107" fillId="0" borderId="51" xfId="2" applyNumberFormat="1" applyFont="1" applyBorder="1" applyAlignment="1">
      <alignment vertical="top" wrapText="1"/>
    </xf>
    <xf numFmtId="0" fontId="108" fillId="0" borderId="50" xfId="2" applyFont="1" applyBorder="1" applyAlignment="1">
      <alignment horizontal="center" vertical="top" wrapText="1"/>
    </xf>
    <xf numFmtId="4" fontId="107" fillId="0" borderId="0" xfId="2" applyNumberFormat="1" applyFont="1" applyAlignment="1">
      <alignment vertical="top" wrapText="1"/>
    </xf>
    <xf numFmtId="168" fontId="114" fillId="0" borderId="0" xfId="1" applyFont="1" applyAlignment="1" applyProtection="1">
      <alignment horizontal="center" vertical="center"/>
    </xf>
    <xf numFmtId="0" fontId="108" fillId="0" borderId="56" xfId="2" applyFont="1" applyBorder="1" applyAlignment="1">
      <alignment vertical="top" wrapText="1"/>
    </xf>
    <xf numFmtId="168" fontId="48" fillId="0" borderId="108" xfId="1" applyFont="1" applyBorder="1" applyAlignment="1">
      <alignment vertical="top" wrapText="1"/>
    </xf>
    <xf numFmtId="9" fontId="108" fillId="0" borderId="57" xfId="2" applyNumberFormat="1" applyFont="1" applyBorder="1" applyAlignment="1">
      <alignment horizontal="center" vertical="top" wrapText="1"/>
    </xf>
    <xf numFmtId="9" fontId="108" fillId="0" borderId="0" xfId="2" applyNumberFormat="1" applyFont="1" applyAlignment="1">
      <alignment horizontal="center" vertical="top" wrapText="1"/>
    </xf>
    <xf numFmtId="0" fontId="108" fillId="0" borderId="195" xfId="2" applyFont="1" applyBorder="1"/>
    <xf numFmtId="0" fontId="108" fillId="0" borderId="277" xfId="2" applyFont="1" applyBorder="1"/>
    <xf numFmtId="0" fontId="108" fillId="0" borderId="273" xfId="2" applyFont="1" applyBorder="1"/>
    <xf numFmtId="0" fontId="108" fillId="0" borderId="274" xfId="2" applyFont="1" applyBorder="1"/>
    <xf numFmtId="0" fontId="100" fillId="0" borderId="77" xfId="0" applyFont="1" applyBorder="1"/>
    <xf numFmtId="0" fontId="108" fillId="0" borderId="77" xfId="2" applyFont="1" applyBorder="1"/>
    <xf numFmtId="169" fontId="100" fillId="0" borderId="77" xfId="0" applyNumberFormat="1" applyFont="1" applyBorder="1"/>
    <xf numFmtId="0" fontId="94" fillId="0" borderId="259" xfId="2" applyFont="1" applyBorder="1" applyAlignment="1">
      <alignment horizontal="right"/>
    </xf>
    <xf numFmtId="0" fontId="94" fillId="0" borderId="151" xfId="2" applyFont="1" applyBorder="1" applyAlignment="1">
      <alignment horizontal="right"/>
    </xf>
    <xf numFmtId="0" fontId="94" fillId="0" borderId="152" xfId="2" applyFont="1" applyBorder="1" applyAlignment="1">
      <alignment horizontal="right"/>
    </xf>
    <xf numFmtId="0" fontId="114" fillId="0" borderId="282" xfId="0" applyFont="1" applyBorder="1"/>
    <xf numFmtId="0" fontId="100" fillId="0" borderId="279" xfId="0" applyFont="1" applyBorder="1" applyAlignment="1" applyProtection="1">
      <alignment vertical="center"/>
      <protection locked="0"/>
    </xf>
    <xf numFmtId="0" fontId="100" fillId="0" borderId="280" xfId="0" applyFont="1" applyBorder="1" applyAlignment="1" applyProtection="1">
      <alignment vertical="center"/>
      <protection locked="0"/>
    </xf>
    <xf numFmtId="0" fontId="114" fillId="0" borderId="283" xfId="0" applyFont="1" applyBorder="1"/>
    <xf numFmtId="0" fontId="100" fillId="0" borderId="281" xfId="0" applyFont="1" applyBorder="1" applyAlignment="1" applyProtection="1">
      <alignment vertical="center"/>
      <protection locked="0"/>
    </xf>
    <xf numFmtId="0" fontId="100" fillId="0" borderId="284" xfId="0" applyFont="1" applyBorder="1" applyAlignment="1" applyProtection="1">
      <alignment vertical="center"/>
      <protection locked="0"/>
    </xf>
    <xf numFmtId="0" fontId="94" fillId="0" borderId="212" xfId="2" applyFont="1" applyBorder="1"/>
    <xf numFmtId="0" fontId="94" fillId="0" borderId="219" xfId="2" applyFont="1" applyBorder="1"/>
    <xf numFmtId="0" fontId="94" fillId="0" borderId="222" xfId="2" applyFont="1" applyBorder="1"/>
    <xf numFmtId="0" fontId="100" fillId="0" borderId="0" xfId="0" applyFont="1"/>
    <xf numFmtId="169" fontId="100" fillId="0" borderId="0" xfId="0" applyNumberFormat="1" applyFont="1"/>
    <xf numFmtId="170" fontId="100" fillId="0" borderId="0" xfId="1" applyNumberFormat="1" applyFont="1" applyBorder="1" applyProtection="1"/>
    <xf numFmtId="0" fontId="108" fillId="0" borderId="11" xfId="2" applyFont="1" applyBorder="1"/>
    <xf numFmtId="0" fontId="110" fillId="0" borderId="0" xfId="2" applyFont="1"/>
    <xf numFmtId="0" fontId="36" fillId="0" borderId="0" xfId="2" applyFont="1" applyAlignment="1">
      <alignment horizontal="center"/>
    </xf>
    <xf numFmtId="0" fontId="36" fillId="0" borderId="0" xfId="2" applyFont="1"/>
    <xf numFmtId="0" fontId="47" fillId="0" borderId="0" xfId="2" applyFont="1"/>
    <xf numFmtId="0" fontId="1" fillId="0" borderId="0" xfId="16222" applyFont="1"/>
    <xf numFmtId="0" fontId="95" fillId="0" borderId="0" xfId="16216" applyFont="1" applyAlignment="1">
      <alignment horizontal="center" vertical="center"/>
    </xf>
    <xf numFmtId="1" fontId="10" fillId="0" borderId="0" xfId="2" applyNumberFormat="1" applyFont="1" applyAlignment="1">
      <alignment horizontal="center" vertical="center"/>
    </xf>
    <xf numFmtId="1" fontId="80" fillId="0" borderId="260" xfId="2" applyNumberFormat="1" applyFont="1" applyBorder="1" applyAlignment="1">
      <alignment horizontal="right" vertical="center"/>
    </xf>
    <xf numFmtId="0" fontId="52" fillId="0" borderId="0" xfId="16216" applyFont="1" applyAlignment="1">
      <alignment horizontal="left" vertical="center"/>
    </xf>
    <xf numFmtId="1" fontId="80" fillId="27" borderId="260" xfId="2" applyNumberFormat="1" applyFont="1" applyFill="1" applyBorder="1"/>
    <xf numFmtId="1" fontId="10" fillId="27" borderId="316" xfId="2" applyNumberFormat="1" applyFont="1" applyFill="1" applyBorder="1"/>
    <xf numFmtId="168" fontId="12" fillId="0" borderId="0" xfId="1"/>
    <xf numFmtId="4" fontId="108" fillId="0" borderId="333" xfId="2" applyNumberFormat="1" applyFont="1" applyBorder="1"/>
    <xf numFmtId="1" fontId="108" fillId="0" borderId="334" xfId="2" applyNumberFormat="1" applyFont="1" applyBorder="1"/>
    <xf numFmtId="1" fontId="108" fillId="0" borderId="335" xfId="2" applyNumberFormat="1" applyFont="1" applyBorder="1"/>
    <xf numFmtId="170" fontId="12" fillId="0" borderId="6" xfId="1" applyNumberFormat="1" applyFill="1" applyBorder="1" applyProtection="1"/>
    <xf numFmtId="170" fontId="12" fillId="0" borderId="16" xfId="1" applyNumberFormat="1" applyBorder="1"/>
    <xf numFmtId="170" fontId="12" fillId="0" borderId="165" xfId="1" applyNumberFormat="1" applyBorder="1"/>
    <xf numFmtId="9" fontId="108" fillId="0" borderId="336" xfId="16224" applyFont="1" applyFill="1" applyBorder="1" applyProtection="1"/>
    <xf numFmtId="166" fontId="112" fillId="0" borderId="0" xfId="2" applyNumberFormat="1" applyFont="1" applyAlignment="1">
      <alignment horizontal="left"/>
    </xf>
    <xf numFmtId="0" fontId="107" fillId="0" borderId="22" xfId="2" applyFont="1" applyBorder="1" applyAlignment="1">
      <alignment horizontal="center" vertical="center" wrapText="1"/>
    </xf>
    <xf numFmtId="0" fontId="107" fillId="0" borderId="23" xfId="2" applyFont="1" applyBorder="1" applyAlignment="1">
      <alignment horizontal="center" vertical="center" wrapText="1"/>
    </xf>
    <xf numFmtId="0" fontId="107" fillId="0" borderId="24" xfId="2" applyFont="1" applyBorder="1" applyAlignment="1">
      <alignment horizontal="center" vertical="center" wrapText="1"/>
    </xf>
    <xf numFmtId="0" fontId="108" fillId="0" borderId="27" xfId="2" applyFont="1" applyBorder="1" applyAlignment="1">
      <alignment vertical="top" wrapText="1"/>
    </xf>
    <xf numFmtId="0" fontId="108" fillId="0" borderId="28" xfId="2" applyFont="1" applyBorder="1" applyAlignment="1">
      <alignment vertical="top" wrapText="1"/>
    </xf>
    <xf numFmtId="4" fontId="108" fillId="0" borderId="29" xfId="2" applyNumberFormat="1" applyFont="1" applyBorder="1" applyAlignment="1">
      <alignment vertical="top" wrapText="1"/>
    </xf>
    <xf numFmtId="4" fontId="108" fillId="0" borderId="30" xfId="2" applyNumberFormat="1" applyFont="1" applyBorder="1" applyAlignment="1">
      <alignment vertical="top" wrapText="1"/>
    </xf>
    <xf numFmtId="0" fontId="108" fillId="0" borderId="153" xfId="2" applyFont="1" applyBorder="1"/>
    <xf numFmtId="0" fontId="108" fillId="0" borderId="321" xfId="2" applyFont="1" applyBorder="1"/>
    <xf numFmtId="0" fontId="108" fillId="0" borderId="107" xfId="2" applyFont="1" applyBorder="1"/>
    <xf numFmtId="0" fontId="108" fillId="0" borderId="168" xfId="2" applyFont="1" applyBorder="1"/>
    <xf numFmtId="0" fontId="108" fillId="0" borderId="167" xfId="2" applyFont="1" applyBorder="1"/>
    <xf numFmtId="0" fontId="108" fillId="0" borderId="169" xfId="2" applyFont="1" applyBorder="1"/>
    <xf numFmtId="0" fontId="108" fillId="0" borderId="38" xfId="2" applyFont="1" applyBorder="1" applyAlignment="1">
      <alignment vertical="top" wrapText="1"/>
    </xf>
    <xf numFmtId="0" fontId="108" fillId="0" borderId="39" xfId="2" applyFont="1" applyBorder="1" applyAlignment="1">
      <alignment vertical="top" wrapText="1"/>
    </xf>
    <xf numFmtId="4" fontId="108" fillId="0" borderId="40" xfId="2" applyNumberFormat="1" applyFont="1" applyBorder="1" applyAlignment="1">
      <alignment horizontal="right" vertical="top" wrapText="1"/>
    </xf>
    <xf numFmtId="4" fontId="108" fillId="0" borderId="41" xfId="2" applyNumberFormat="1" applyFont="1" applyBorder="1" applyAlignment="1">
      <alignment horizontal="right" vertical="top" wrapText="1"/>
    </xf>
    <xf numFmtId="0" fontId="108" fillId="0" borderId="168" xfId="2" applyFont="1" applyBorder="1" applyAlignment="1">
      <alignment horizontal="left"/>
    </xf>
    <xf numFmtId="0" fontId="108" fillId="0" borderId="167" xfId="2" applyFont="1" applyBorder="1" applyAlignment="1">
      <alignment horizontal="left"/>
    </xf>
    <xf numFmtId="0" fontId="108" fillId="0" borderId="169" xfId="2" applyFont="1" applyBorder="1" applyAlignment="1">
      <alignment horizontal="left"/>
    </xf>
    <xf numFmtId="0" fontId="108" fillId="0" borderId="33" xfId="2" applyFont="1" applyBorder="1" applyAlignment="1">
      <alignment vertical="top" wrapText="1"/>
    </xf>
    <xf numFmtId="0" fontId="108" fillId="0" borderId="34" xfId="2" applyFont="1" applyBorder="1" applyAlignment="1">
      <alignment vertical="top" wrapText="1"/>
    </xf>
    <xf numFmtId="4" fontId="108" fillId="0" borderId="35" xfId="2" applyNumberFormat="1" applyFont="1" applyBorder="1" applyAlignment="1">
      <alignment horizontal="right" vertical="top" wrapText="1"/>
    </xf>
    <xf numFmtId="4" fontId="108" fillId="0" borderId="32" xfId="2" applyNumberFormat="1" applyFont="1" applyBorder="1" applyAlignment="1">
      <alignment horizontal="right" vertical="top" wrapText="1"/>
    </xf>
    <xf numFmtId="0" fontId="108" fillId="0" borderId="35" xfId="2" applyFont="1" applyBorder="1" applyAlignment="1">
      <alignment horizontal="center" vertical="top" wrapText="1"/>
    </xf>
    <xf numFmtId="0" fontId="108" fillId="0" borderId="32" xfId="2" applyFont="1" applyBorder="1" applyAlignment="1">
      <alignment horizontal="center" vertical="top" wrapText="1"/>
    </xf>
    <xf numFmtId="0" fontId="107" fillId="0" borderId="17" xfId="2" applyFont="1" applyBorder="1" applyAlignment="1">
      <alignment horizontal="right"/>
    </xf>
    <xf numFmtId="0" fontId="107" fillId="0" borderId="18" xfId="2" applyFont="1" applyBorder="1" applyAlignment="1">
      <alignment horizontal="right"/>
    </xf>
    <xf numFmtId="0" fontId="107" fillId="0" borderId="19" xfId="2" applyFont="1" applyBorder="1" applyAlignment="1">
      <alignment horizontal="right"/>
    </xf>
    <xf numFmtId="0" fontId="108" fillId="0" borderId="20" xfId="2" applyFont="1" applyBorder="1" applyAlignment="1">
      <alignment horizontal="left"/>
    </xf>
    <xf numFmtId="0" fontId="108" fillId="0" borderId="18" xfId="2" applyFont="1" applyBorder="1" applyAlignment="1">
      <alignment horizontal="left"/>
    </xf>
    <xf numFmtId="0" fontId="108" fillId="0" borderId="21" xfId="2" applyFont="1" applyBorder="1" applyAlignment="1">
      <alignment horizontal="left"/>
    </xf>
    <xf numFmtId="0" fontId="109" fillId="34" borderId="70" xfId="2" applyFont="1" applyFill="1" applyBorder="1"/>
    <xf numFmtId="0" fontId="109" fillId="34" borderId="231" xfId="2" applyFont="1" applyFill="1" applyBorder="1"/>
    <xf numFmtId="0" fontId="109" fillId="34" borderId="221" xfId="2" applyFont="1" applyFill="1" applyBorder="1"/>
    <xf numFmtId="0" fontId="109" fillId="34" borderId="168" xfId="2" applyFont="1" applyFill="1" applyBorder="1"/>
    <xf numFmtId="0" fontId="109" fillId="34" borderId="167" xfId="2" applyFont="1" applyFill="1" applyBorder="1"/>
    <xf numFmtId="0" fontId="109" fillId="34" borderId="169" xfId="2" applyFont="1" applyFill="1" applyBorder="1"/>
    <xf numFmtId="0" fontId="107" fillId="0" borderId="75" xfId="2" applyFont="1" applyBorder="1" applyAlignment="1">
      <alignment horizontal="left" indent="4"/>
    </xf>
    <xf numFmtId="0" fontId="107" fillId="0" borderId="76" xfId="2" applyFont="1" applyBorder="1" applyAlignment="1">
      <alignment horizontal="left" indent="4"/>
    </xf>
    <xf numFmtId="0" fontId="107" fillId="0" borderId="163" xfId="2" applyFont="1" applyBorder="1" applyAlignment="1">
      <alignment horizontal="left" indent="4"/>
    </xf>
    <xf numFmtId="166" fontId="94" fillId="0" borderId="0" xfId="0" applyNumberFormat="1" applyFont="1" applyAlignment="1">
      <alignment horizontal="left" vertical="center"/>
    </xf>
    <xf numFmtId="166" fontId="107" fillId="0" borderId="0" xfId="2" applyNumberFormat="1" applyFont="1" applyAlignment="1">
      <alignment horizontal="center"/>
    </xf>
    <xf numFmtId="0" fontId="107" fillId="0" borderId="75" xfId="2" applyFont="1" applyBorder="1" applyAlignment="1">
      <alignment horizontal="right"/>
    </xf>
    <xf numFmtId="0" fontId="107" fillId="0" borderId="76" xfId="2" applyFont="1" applyBorder="1" applyAlignment="1">
      <alignment horizontal="right"/>
    </xf>
    <xf numFmtId="0" fontId="107" fillId="0" borderId="163" xfId="2" applyFont="1" applyBorder="1" applyAlignment="1">
      <alignment horizontal="right"/>
    </xf>
    <xf numFmtId="0" fontId="94" fillId="0" borderId="75" xfId="2" applyFont="1" applyBorder="1" applyAlignment="1">
      <alignment horizontal="left" indent="4"/>
    </xf>
    <xf numFmtId="0" fontId="94" fillId="0" borderId="76" xfId="2" applyFont="1" applyBorder="1" applyAlignment="1">
      <alignment horizontal="left" indent="4"/>
    </xf>
    <xf numFmtId="0" fontId="94" fillId="0" borderId="163" xfId="2" applyFont="1" applyBorder="1" applyAlignment="1">
      <alignment horizontal="left" indent="4"/>
    </xf>
    <xf numFmtId="0" fontId="108" fillId="0" borderId="162" xfId="2" applyFont="1" applyBorder="1"/>
    <xf numFmtId="0" fontId="108" fillId="0" borderId="7" xfId="2" applyFont="1" applyBorder="1"/>
    <xf numFmtId="0" fontId="108" fillId="0" borderId="8" xfId="2" applyFont="1" applyBorder="1"/>
    <xf numFmtId="0" fontId="108" fillId="0" borderId="17" xfId="2" applyFont="1" applyBorder="1"/>
    <xf numFmtId="0" fontId="108" fillId="0" borderId="126" xfId="2" applyFont="1" applyBorder="1"/>
    <xf numFmtId="0" fontId="108" fillId="0" borderId="125" xfId="2" applyFont="1" applyBorder="1"/>
    <xf numFmtId="0" fontId="94" fillId="0" borderId="183" xfId="2" applyFont="1" applyBorder="1" applyAlignment="1">
      <alignment horizontal="left"/>
    </xf>
    <xf numFmtId="0" fontId="107" fillId="0" borderId="126" xfId="2" applyFont="1" applyBorder="1" applyAlignment="1">
      <alignment horizontal="left"/>
    </xf>
    <xf numFmtId="0" fontId="107" fillId="0" borderId="125" xfId="2" applyFont="1" applyBorder="1" applyAlignment="1">
      <alignment horizontal="left"/>
    </xf>
    <xf numFmtId="4" fontId="108" fillId="0" borderId="42" xfId="2" applyNumberFormat="1" applyFont="1" applyBorder="1" applyAlignment="1">
      <alignment vertical="top" wrapText="1"/>
    </xf>
    <xf numFmtId="4" fontId="108" fillId="0" borderId="28" xfId="2" applyNumberFormat="1" applyFont="1" applyBorder="1" applyAlignment="1">
      <alignment vertical="top" wrapText="1"/>
    </xf>
    <xf numFmtId="0" fontId="108" fillId="0" borderId="40" xfId="2" applyFont="1" applyBorder="1" applyAlignment="1">
      <alignment vertical="top" wrapText="1"/>
    </xf>
    <xf numFmtId="0" fontId="108" fillId="0" borderId="41" xfId="2" applyFont="1" applyBorder="1" applyAlignment="1">
      <alignment vertical="top" wrapText="1"/>
    </xf>
    <xf numFmtId="0" fontId="108" fillId="0" borderId="43" xfId="2" applyFont="1" applyBorder="1" applyAlignment="1">
      <alignment vertical="top" wrapText="1"/>
    </xf>
    <xf numFmtId="4" fontId="108" fillId="0" borderId="192" xfId="2" applyNumberFormat="1" applyFont="1" applyBorder="1" applyAlignment="1">
      <alignment horizontal="center" vertical="top" wrapText="1"/>
    </xf>
    <xf numFmtId="4" fontId="108" fillId="0" borderId="0" xfId="2" applyNumberFormat="1" applyFont="1" applyAlignment="1">
      <alignment horizontal="center" vertical="top" wrapText="1"/>
    </xf>
    <xf numFmtId="4" fontId="108" fillId="0" borderId="193" xfId="2" applyNumberFormat="1" applyFont="1" applyBorder="1" applyAlignment="1">
      <alignment horizontal="center" vertical="top" wrapText="1"/>
    </xf>
    <xf numFmtId="0" fontId="108" fillId="0" borderId="35" xfId="2" applyFont="1" applyBorder="1" applyAlignment="1">
      <alignment vertical="top" shrinkToFit="1"/>
    </xf>
    <xf numFmtId="0" fontId="108" fillId="0" borderId="32" xfId="2" applyFont="1" applyBorder="1" applyAlignment="1">
      <alignment vertical="top" shrinkToFit="1"/>
    </xf>
    <xf numFmtId="4" fontId="108" fillId="0" borderId="31" xfId="2" applyNumberFormat="1" applyFont="1" applyBorder="1" applyAlignment="1">
      <alignment vertical="top" wrapText="1"/>
    </xf>
    <xf numFmtId="0" fontId="94" fillId="0" borderId="47" xfId="2" applyFont="1" applyBorder="1" applyAlignment="1">
      <alignment vertical="top" wrapText="1"/>
    </xf>
    <xf numFmtId="0" fontId="94" fillId="0" borderId="48" xfId="2" applyFont="1" applyBorder="1" applyAlignment="1">
      <alignment vertical="top" wrapText="1"/>
    </xf>
    <xf numFmtId="4" fontId="94" fillId="0" borderId="49" xfId="2" applyNumberFormat="1" applyFont="1" applyBorder="1" applyAlignment="1">
      <alignment vertical="top" wrapText="1"/>
    </xf>
    <xf numFmtId="4" fontId="94" fillId="0" borderId="48" xfId="2" applyNumberFormat="1" applyFont="1" applyBorder="1" applyAlignment="1">
      <alignment vertical="top" wrapText="1"/>
    </xf>
    <xf numFmtId="0" fontId="107" fillId="0" borderId="50" xfId="2" applyFont="1" applyBorder="1" applyAlignment="1">
      <alignment horizontal="center" vertical="center" wrapText="1"/>
    </xf>
    <xf numFmtId="0" fontId="107" fillId="0" borderId="51" xfId="2" applyFont="1" applyBorder="1" applyAlignment="1">
      <alignment horizontal="center" vertical="center" wrapText="1"/>
    </xf>
    <xf numFmtId="166" fontId="107" fillId="0" borderId="46" xfId="2" applyNumberFormat="1" applyFont="1" applyBorder="1" applyAlignment="1">
      <alignment horizontal="center" vertical="center" wrapText="1"/>
    </xf>
    <xf numFmtId="0" fontId="107" fillId="0" borderId="46" xfId="2" applyFont="1" applyBorder="1" applyAlignment="1">
      <alignment horizontal="center" vertical="center" wrapText="1"/>
    </xf>
    <xf numFmtId="0" fontId="108" fillId="0" borderId="29" xfId="2" applyFont="1" applyBorder="1" applyAlignment="1">
      <alignment vertical="top" shrinkToFit="1"/>
    </xf>
    <xf numFmtId="0" fontId="108" fillId="0" borderId="30" xfId="2" applyFont="1" applyBorder="1" applyAlignment="1">
      <alignment vertical="top" shrinkToFit="1"/>
    </xf>
    <xf numFmtId="4" fontId="108" fillId="0" borderId="25" xfId="2" applyNumberFormat="1" applyFont="1" applyBorder="1" applyAlignment="1">
      <alignment vertical="top" wrapText="1"/>
    </xf>
    <xf numFmtId="0" fontId="107" fillId="0" borderId="50" xfId="2" applyFont="1" applyBorder="1" applyAlignment="1">
      <alignment vertical="top" wrapText="1"/>
    </xf>
    <xf numFmtId="0" fontId="107" fillId="0" borderId="51" xfId="2" applyFont="1" applyBorder="1" applyAlignment="1">
      <alignment vertical="top" wrapText="1"/>
    </xf>
    <xf numFmtId="4" fontId="94" fillId="0" borderId="50" xfId="2" applyNumberFormat="1" applyFont="1" applyBorder="1" applyAlignment="1">
      <alignment vertical="top" wrapText="1"/>
    </xf>
    <xf numFmtId="4" fontId="94" fillId="0" borderId="51" xfId="2" applyNumberFormat="1" applyFont="1" applyBorder="1" applyAlignment="1">
      <alignment vertical="top" wrapText="1"/>
    </xf>
    <xf numFmtId="4" fontId="94" fillId="0" borderId="46" xfId="2" applyNumberFormat="1" applyFont="1" applyBorder="1" applyAlignment="1">
      <alignment vertical="top" wrapText="1"/>
    </xf>
    <xf numFmtId="0" fontId="107" fillId="0" borderId="52" xfId="2" applyFont="1" applyBorder="1" applyAlignment="1">
      <alignment vertical="top" wrapText="1"/>
    </xf>
    <xf numFmtId="4" fontId="108" fillId="0" borderId="40" xfId="2" applyNumberFormat="1" applyFont="1" applyBorder="1" applyAlignment="1">
      <alignment vertical="top" wrapText="1"/>
    </xf>
    <xf numFmtId="4" fontId="108" fillId="0" borderId="41" xfId="2" applyNumberFormat="1" applyFont="1" applyBorder="1" applyAlignment="1">
      <alignment vertical="top" wrapText="1"/>
    </xf>
    <xf numFmtId="0" fontId="108" fillId="0" borderId="40" xfId="2" applyFont="1" applyBorder="1" applyAlignment="1">
      <alignment horizontal="center" vertical="top" shrinkToFit="1"/>
    </xf>
    <xf numFmtId="0" fontId="108" fillId="0" borderId="43" xfId="2" applyFont="1" applyBorder="1" applyAlignment="1">
      <alignment horizontal="center" vertical="top" shrinkToFit="1"/>
    </xf>
    <xf numFmtId="0" fontId="108" fillId="0" borderId="41" xfId="2" applyFont="1" applyBorder="1" applyAlignment="1">
      <alignment horizontal="center" vertical="top" shrinkToFit="1"/>
    </xf>
    <xf numFmtId="0" fontId="107" fillId="0" borderId="22" xfId="2" applyFont="1" applyBorder="1" applyAlignment="1">
      <alignment horizontal="center" vertical="top" wrapText="1"/>
    </xf>
    <xf numFmtId="0" fontId="107" fillId="0" borderId="23" xfId="2" applyFont="1" applyBorder="1" applyAlignment="1">
      <alignment horizontal="center" vertical="top" wrapText="1"/>
    </xf>
    <xf numFmtId="0" fontId="107" fillId="0" borderId="24" xfId="2" applyFont="1" applyBorder="1" applyAlignment="1">
      <alignment horizontal="center" vertical="top" wrapText="1"/>
    </xf>
    <xf numFmtId="4" fontId="108" fillId="0" borderId="53" xfId="2" applyNumberFormat="1" applyFont="1" applyBorder="1" applyAlignment="1">
      <alignment vertical="top" wrapText="1"/>
    </xf>
    <xf numFmtId="4" fontId="108" fillId="0" borderId="54" xfId="2" applyNumberFormat="1" applyFont="1" applyBorder="1" applyAlignment="1">
      <alignment vertical="top" wrapText="1"/>
    </xf>
    <xf numFmtId="0" fontId="107" fillId="0" borderId="50" xfId="2" applyFont="1" applyBorder="1" applyAlignment="1">
      <alignment horizontal="left" vertical="top" wrapText="1"/>
    </xf>
    <xf numFmtId="0" fontId="107" fillId="0" borderId="51" xfId="2" applyFont="1" applyBorder="1" applyAlignment="1">
      <alignment horizontal="left" vertical="top" wrapText="1"/>
    </xf>
    <xf numFmtId="0" fontId="108" fillId="0" borderId="9" xfId="2" applyFont="1" applyBorder="1"/>
    <xf numFmtId="0" fontId="108" fillId="0" borderId="11" xfId="2" applyFont="1" applyBorder="1"/>
    <xf numFmtId="0" fontId="108" fillId="0" borderId="217" xfId="2" applyFont="1" applyBorder="1" applyAlignment="1" applyProtection="1">
      <alignment horizontal="center"/>
      <protection locked="0"/>
    </xf>
    <xf numFmtId="0" fontId="108" fillId="0" borderId="217" xfId="2" applyFont="1" applyBorder="1" applyAlignment="1" applyProtection="1">
      <alignment horizontal="center" vertical="center"/>
      <protection locked="0"/>
    </xf>
    <xf numFmtId="0" fontId="108" fillId="0" borderId="218" xfId="2" applyFont="1" applyBorder="1" applyAlignment="1" applyProtection="1">
      <alignment horizontal="center" vertical="center"/>
      <protection locked="0"/>
    </xf>
    <xf numFmtId="0" fontId="107" fillId="0" borderId="12" xfId="2" applyFont="1" applyBorder="1" applyAlignment="1">
      <alignment horizontal="left" indent="4"/>
    </xf>
    <xf numFmtId="0" fontId="107" fillId="0" borderId="13" xfId="2" applyFont="1" applyBorder="1" applyAlignment="1">
      <alignment horizontal="left" indent="4"/>
    </xf>
    <xf numFmtId="0" fontId="107" fillId="0" borderId="109" xfId="2" applyFont="1" applyBorder="1" applyAlignment="1">
      <alignment horizontal="left" indent="4"/>
    </xf>
    <xf numFmtId="0" fontId="108" fillId="0" borderId="311" xfId="2" applyFont="1" applyBorder="1" applyAlignment="1">
      <alignment horizontal="left"/>
    </xf>
    <xf numFmtId="0" fontId="108" fillId="0" borderId="300" xfId="2" applyFont="1" applyBorder="1" applyAlignment="1">
      <alignment horizontal="left"/>
    </xf>
    <xf numFmtId="0" fontId="108" fillId="0" borderId="275" xfId="2" applyFont="1" applyBorder="1" applyAlignment="1" applyProtection="1">
      <alignment horizontal="center"/>
      <protection locked="0"/>
    </xf>
    <xf numFmtId="0" fontId="108" fillId="0" borderId="275" xfId="2" applyFont="1" applyBorder="1" applyAlignment="1" applyProtection="1">
      <alignment horizontal="center" vertical="center"/>
      <protection locked="0"/>
    </xf>
    <xf numFmtId="0" fontId="108" fillId="0" borderId="276" xfId="2" applyFont="1" applyBorder="1" applyAlignment="1" applyProtection="1">
      <alignment horizontal="center" vertical="center"/>
      <protection locked="0"/>
    </xf>
    <xf numFmtId="0" fontId="108" fillId="0" borderId="57" xfId="2" applyFont="1" applyBorder="1" applyAlignment="1">
      <alignment vertical="top" readingOrder="1"/>
    </xf>
    <xf numFmtId="0" fontId="108" fillId="0" borderId="58" xfId="2" applyFont="1" applyBorder="1" applyAlignment="1">
      <alignment vertical="top" readingOrder="1"/>
    </xf>
    <xf numFmtId="0" fontId="108" fillId="0" borderId="227" xfId="2" applyFont="1" applyBorder="1" applyAlignment="1" applyProtection="1">
      <alignment horizontal="center"/>
      <protection locked="0"/>
    </xf>
    <xf numFmtId="0" fontId="108" fillId="0" borderId="227" xfId="2" applyFont="1" applyBorder="1" applyAlignment="1" applyProtection="1">
      <alignment horizontal="center" vertical="center"/>
      <protection locked="0"/>
    </xf>
    <xf numFmtId="0" fontId="108" fillId="0" borderId="228" xfId="2" applyFont="1" applyBorder="1" applyAlignment="1" applyProtection="1">
      <alignment horizontal="center" vertical="center"/>
      <protection locked="0"/>
    </xf>
    <xf numFmtId="4" fontId="108" fillId="0" borderId="55" xfId="2" applyNumberFormat="1" applyFont="1" applyBorder="1" applyAlignment="1">
      <alignment vertical="top" wrapText="1"/>
    </xf>
    <xf numFmtId="4" fontId="108" fillId="0" borderId="34" xfId="2" applyNumberFormat="1" applyFont="1" applyBorder="1" applyAlignment="1">
      <alignment vertical="top" wrapText="1"/>
    </xf>
    <xf numFmtId="4" fontId="107" fillId="0" borderId="50" xfId="2" applyNumberFormat="1" applyFont="1" applyBorder="1" applyAlignment="1">
      <alignment vertical="top" wrapText="1"/>
    </xf>
    <xf numFmtId="4" fontId="107" fillId="0" borderId="51" xfId="2" applyNumberFormat="1" applyFont="1" applyBorder="1" applyAlignment="1">
      <alignment vertical="top" wrapText="1"/>
    </xf>
    <xf numFmtId="0" fontId="94" fillId="0" borderId="198" xfId="2" applyFont="1" applyBorder="1" applyAlignment="1">
      <alignment horizontal="center"/>
    </xf>
    <xf numFmtId="0" fontId="94" fillId="0" borderId="199" xfId="2" applyFont="1" applyBorder="1" applyAlignment="1">
      <alignment horizontal="center"/>
    </xf>
    <xf numFmtId="1" fontId="94" fillId="0" borderId="0" xfId="2" applyNumberFormat="1" applyFont="1" applyAlignment="1">
      <alignment horizontal="center" vertical="center"/>
    </xf>
    <xf numFmtId="0" fontId="94" fillId="0" borderId="0" xfId="2" applyFont="1" applyAlignment="1">
      <alignment horizontal="center" vertical="center"/>
    </xf>
    <xf numFmtId="0" fontId="108" fillId="0" borderId="0" xfId="2" applyFont="1" applyAlignment="1">
      <alignment horizontal="right"/>
    </xf>
    <xf numFmtId="0" fontId="108" fillId="0" borderId="294" xfId="2" applyFont="1" applyBorder="1" applyAlignment="1">
      <alignment horizontal="center"/>
    </xf>
    <xf numFmtId="0" fontId="108" fillId="0" borderId="0" xfId="2" applyFont="1" applyAlignment="1">
      <alignment horizontal="center"/>
    </xf>
    <xf numFmtId="0" fontId="108" fillId="0" borderId="318" xfId="2" applyFont="1" applyBorder="1"/>
    <xf numFmtId="0" fontId="108" fillId="0" borderId="59" xfId="2" applyFont="1" applyBorder="1"/>
    <xf numFmtId="0" fontId="108" fillId="0" borderId="319" xfId="2" applyFont="1" applyBorder="1"/>
    <xf numFmtId="0" fontId="107" fillId="0" borderId="75" xfId="2" applyFont="1" applyBorder="1" applyAlignment="1">
      <alignment horizontal="left"/>
    </xf>
    <xf numFmtId="0" fontId="107" fillId="0" borderId="76" xfId="2" applyFont="1" applyBorder="1" applyAlignment="1">
      <alignment horizontal="left"/>
    </xf>
    <xf numFmtId="0" fontId="107" fillId="0" borderId="163" xfId="2" applyFont="1" applyBorder="1" applyAlignment="1">
      <alignment horizontal="left"/>
    </xf>
    <xf numFmtId="0" fontId="107" fillId="0" borderId="168" xfId="2" applyFont="1" applyBorder="1" applyAlignment="1">
      <alignment horizontal="left"/>
    </xf>
    <xf numFmtId="0" fontId="107" fillId="0" borderId="167" xfId="2" applyFont="1" applyBorder="1" applyAlignment="1">
      <alignment horizontal="left"/>
    </xf>
    <xf numFmtId="0" fontId="107" fillId="0" borderId="169" xfId="2" applyFont="1" applyBorder="1" applyAlignment="1">
      <alignment horizontal="left"/>
    </xf>
    <xf numFmtId="0" fontId="115" fillId="0" borderId="166" xfId="2" applyFont="1" applyBorder="1" applyAlignment="1">
      <alignment horizontal="left" vertical="center"/>
    </xf>
    <xf numFmtId="0" fontId="115" fillId="0" borderId="167" xfId="2" applyFont="1" applyBorder="1" applyAlignment="1">
      <alignment horizontal="left" vertical="center"/>
    </xf>
    <xf numFmtId="0" fontId="115" fillId="0" borderId="278" xfId="2" applyFont="1" applyBorder="1" applyAlignment="1">
      <alignment horizontal="left" vertical="center"/>
    </xf>
    <xf numFmtId="0" fontId="115" fillId="0" borderId="59" xfId="2" applyFont="1" applyBorder="1" applyAlignment="1">
      <alignment horizontal="left" vertical="center"/>
    </xf>
    <xf numFmtId="0" fontId="107" fillId="0" borderId="70" xfId="2" applyFont="1" applyBorder="1" applyAlignment="1">
      <alignment horizontal="left" vertical="center"/>
    </xf>
    <xf numFmtId="0" fontId="107" fillId="0" borderId="231" xfId="2" applyFont="1" applyBorder="1" applyAlignment="1">
      <alignment horizontal="left" vertical="center"/>
    </xf>
    <xf numFmtId="0" fontId="108" fillId="0" borderId="35" xfId="2" applyFont="1" applyBorder="1" applyAlignment="1">
      <alignment horizontal="right" vertical="center" shrinkToFit="1"/>
    </xf>
    <xf numFmtId="0" fontId="108" fillId="0" borderId="32" xfId="2" applyFont="1" applyBorder="1" applyAlignment="1">
      <alignment horizontal="right" vertical="center" shrinkToFit="1"/>
    </xf>
    <xf numFmtId="4" fontId="10" fillId="27" borderId="290" xfId="2" applyNumberFormat="1" applyFont="1" applyFill="1" applyBorder="1" applyAlignment="1">
      <alignment horizontal="right" vertical="top" wrapText="1"/>
    </xf>
    <xf numFmtId="4" fontId="10" fillId="27" borderId="37" xfId="2" applyNumberFormat="1" applyFont="1" applyFill="1" applyBorder="1" applyAlignment="1">
      <alignment horizontal="right" vertical="top" wrapText="1"/>
    </xf>
    <xf numFmtId="0" fontId="36" fillId="0" borderId="234" xfId="16216" applyFont="1" applyBorder="1" applyAlignment="1">
      <alignment horizontal="left"/>
    </xf>
    <xf numFmtId="0" fontId="36" fillId="0" borderId="10" xfId="16216" applyFont="1" applyBorder="1" applyAlignment="1">
      <alignment horizontal="left"/>
    </xf>
    <xf numFmtId="0" fontId="36" fillId="0" borderId="235" xfId="16216" applyFont="1" applyBorder="1" applyAlignment="1">
      <alignment horizontal="left"/>
    </xf>
    <xf numFmtId="43" fontId="59" fillId="27" borderId="251" xfId="16217" applyFont="1" applyFill="1" applyBorder="1" applyAlignment="1">
      <alignment horizontal="center"/>
    </xf>
    <xf numFmtId="43" fontId="59" fillId="27" borderId="253" xfId="16217" applyFont="1" applyFill="1" applyBorder="1" applyAlignment="1">
      <alignment horizontal="center"/>
    </xf>
    <xf numFmtId="4" fontId="10" fillId="27" borderId="35" xfId="2" applyNumberFormat="1" applyFont="1" applyFill="1" applyBorder="1" applyAlignment="1">
      <alignment vertical="top" wrapText="1"/>
    </xf>
    <xf numFmtId="4" fontId="10" fillId="27" borderId="32" xfId="2" applyNumberFormat="1" applyFont="1" applyFill="1" applyBorder="1" applyAlignment="1">
      <alignment vertical="top" wrapText="1"/>
    </xf>
    <xf numFmtId="43" fontId="36" fillId="27" borderId="303" xfId="16217" applyFont="1" applyFill="1" applyBorder="1" applyAlignment="1">
      <alignment horizontal="center"/>
    </xf>
    <xf numFmtId="43" fontId="36" fillId="27" borderId="304" xfId="16217" applyFont="1" applyFill="1" applyBorder="1" applyAlignment="1">
      <alignment horizontal="center"/>
    </xf>
    <xf numFmtId="0" fontId="11" fillId="0" borderId="225" xfId="2" applyFont="1" applyBorder="1" applyAlignment="1">
      <alignment horizontal="center" vertical="center" wrapText="1"/>
    </xf>
    <xf numFmtId="0" fontId="11" fillId="0" borderId="185" xfId="2" applyFont="1" applyBorder="1" applyAlignment="1">
      <alignment horizontal="center" vertical="center" wrapText="1"/>
    </xf>
    <xf numFmtId="4" fontId="10" fillId="27" borderId="215" xfId="2" applyNumberFormat="1" applyFont="1" applyFill="1" applyBorder="1" applyAlignment="1">
      <alignment horizontal="center" vertical="top" wrapText="1"/>
    </xf>
    <xf numFmtId="4" fontId="10" fillId="27" borderId="216" xfId="2" applyNumberFormat="1" applyFont="1" applyFill="1" applyBorder="1" applyAlignment="1">
      <alignment horizontal="center" vertical="top" wrapText="1"/>
    </xf>
    <xf numFmtId="4" fontId="10" fillId="27" borderId="217" xfId="2" applyNumberFormat="1" applyFont="1" applyFill="1" applyBorder="1" applyAlignment="1">
      <alignment horizontal="center" vertical="top" wrapText="1"/>
    </xf>
    <xf numFmtId="4" fontId="10" fillId="27" borderId="218" xfId="2" applyNumberFormat="1" applyFont="1" applyFill="1" applyBorder="1" applyAlignment="1">
      <alignment horizontal="center" vertical="top" wrapText="1"/>
    </xf>
    <xf numFmtId="4" fontId="10" fillId="27" borderId="308" xfId="2" applyNumberFormat="1" applyFont="1" applyFill="1" applyBorder="1" applyAlignment="1">
      <alignment horizontal="center" vertical="top" wrapText="1"/>
    </xf>
    <xf numFmtId="4" fontId="10" fillId="27" borderId="307" xfId="2" applyNumberFormat="1" applyFont="1" applyFill="1" applyBorder="1" applyAlignment="1">
      <alignment horizontal="center" vertical="top" wrapText="1"/>
    </xf>
    <xf numFmtId="0" fontId="11" fillId="0" borderId="224" xfId="2" applyFont="1" applyBorder="1" applyAlignment="1">
      <alignment horizontal="center" vertical="center" wrapText="1"/>
    </xf>
    <xf numFmtId="0" fontId="11" fillId="0" borderId="197" xfId="2" applyFont="1" applyBorder="1" applyAlignment="1">
      <alignment horizontal="center" vertical="center" wrapText="1"/>
    </xf>
    <xf numFmtId="4" fontId="10" fillId="27" borderId="242" xfId="2" applyNumberFormat="1" applyFont="1" applyFill="1" applyBorder="1" applyAlignment="1">
      <alignment horizontal="center" vertical="top" wrapText="1"/>
    </xf>
    <xf numFmtId="4" fontId="10" fillId="27" borderId="233" xfId="2" applyNumberFormat="1" applyFont="1" applyFill="1" applyBorder="1" applyAlignment="1">
      <alignment horizontal="center" vertical="top" wrapText="1"/>
    </xf>
    <xf numFmtId="4" fontId="10" fillId="27" borderId="240" xfId="2" applyNumberFormat="1" applyFont="1" applyFill="1" applyBorder="1" applyAlignment="1">
      <alignment horizontal="center" vertical="top" wrapText="1"/>
    </xf>
    <xf numFmtId="4" fontId="10" fillId="27" borderId="252" xfId="2" applyNumberFormat="1" applyFont="1" applyFill="1" applyBorder="1" applyAlignment="1">
      <alignment horizontal="center" vertical="top" wrapText="1"/>
    </xf>
    <xf numFmtId="168" fontId="101" fillId="0" borderId="220" xfId="1" applyFont="1" applyFill="1" applyBorder="1" applyAlignment="1">
      <alignment horizontal="center"/>
    </xf>
    <xf numFmtId="168" fontId="101" fillId="0" borderId="223" xfId="1" applyFont="1" applyFill="1" applyBorder="1" applyAlignment="1">
      <alignment horizontal="center"/>
    </xf>
    <xf numFmtId="0" fontId="11" fillId="0" borderId="196" xfId="2" applyFont="1" applyBorder="1" applyAlignment="1">
      <alignment horizontal="center" vertical="center" wrapText="1"/>
    </xf>
    <xf numFmtId="0" fontId="11" fillId="0" borderId="187" xfId="2" applyFont="1" applyBorder="1" applyAlignment="1">
      <alignment horizontal="center" vertical="center" wrapText="1"/>
    </xf>
    <xf numFmtId="4" fontId="10" fillId="27" borderId="229" xfId="2" applyNumberFormat="1" applyFont="1" applyFill="1" applyBorder="1" applyAlignment="1">
      <alignment horizontal="center" vertical="top" wrapText="1"/>
    </xf>
    <xf numFmtId="4" fontId="10" fillId="27" borderId="230" xfId="2" applyNumberFormat="1" applyFont="1" applyFill="1" applyBorder="1" applyAlignment="1">
      <alignment horizontal="center" vertical="top" wrapText="1"/>
    </xf>
    <xf numFmtId="4" fontId="10" fillId="27" borderId="226" xfId="2" applyNumberFormat="1" applyFont="1" applyFill="1" applyBorder="1" applyAlignment="1">
      <alignment horizontal="center" vertical="top" wrapText="1"/>
    </xf>
    <xf numFmtId="0" fontId="89" fillId="0" borderId="153" xfId="14951" applyFont="1" applyBorder="1" applyAlignment="1">
      <alignment horizontal="left" vertical="center"/>
    </xf>
    <xf numFmtId="0" fontId="89" fillId="0" borderId="111" xfId="14951" applyFont="1" applyBorder="1" applyAlignment="1">
      <alignment horizontal="left" vertical="center"/>
    </xf>
    <xf numFmtId="0" fontId="89" fillId="0" borderId="107" xfId="14951" applyFont="1" applyBorder="1" applyAlignment="1">
      <alignment horizontal="left" vertical="center"/>
    </xf>
    <xf numFmtId="4" fontId="10" fillId="0" borderId="50" xfId="2" applyNumberFormat="1" applyFont="1" applyBorder="1" applyAlignment="1">
      <alignment horizontal="right" vertical="top" wrapText="1"/>
    </xf>
    <xf numFmtId="4" fontId="10" fillId="0" borderId="51" xfId="2" applyNumberFormat="1" applyFont="1" applyBorder="1" applyAlignment="1">
      <alignment horizontal="right" vertical="top" wrapText="1"/>
    </xf>
    <xf numFmtId="4" fontId="29" fillId="0" borderId="292" xfId="16216" applyNumberFormat="1" applyFont="1" applyBorder="1" applyAlignment="1">
      <alignment horizontal="right"/>
    </xf>
    <xf numFmtId="0" fontId="29" fillId="0" borderId="293" xfId="16216" applyFont="1" applyBorder="1" applyAlignment="1">
      <alignment horizontal="right"/>
    </xf>
    <xf numFmtId="4" fontId="10" fillId="27" borderId="35" xfId="2" applyNumberFormat="1" applyFont="1" applyFill="1" applyBorder="1" applyAlignment="1">
      <alignment horizontal="right" vertical="top" wrapText="1"/>
    </xf>
    <xf numFmtId="4" fontId="10" fillId="27" borderId="32" xfId="2" applyNumberFormat="1" applyFont="1" applyFill="1" applyBorder="1" applyAlignment="1">
      <alignment horizontal="right" vertical="top" wrapText="1"/>
    </xf>
    <xf numFmtId="4" fontId="104" fillId="0" borderId="49" xfId="2" applyNumberFormat="1" applyFont="1" applyBorder="1" applyAlignment="1">
      <alignment vertical="top" wrapText="1"/>
    </xf>
    <xf numFmtId="4" fontId="104" fillId="0" borderId="48" xfId="2" applyNumberFormat="1" applyFont="1" applyBorder="1" applyAlignment="1">
      <alignment vertical="top" wrapText="1"/>
    </xf>
    <xf numFmtId="4" fontId="10" fillId="27" borderId="290" xfId="2" applyNumberFormat="1" applyFont="1" applyFill="1" applyBorder="1" applyAlignment="1">
      <alignment vertical="top" wrapText="1"/>
    </xf>
    <xf numFmtId="4" fontId="10" fillId="27" borderId="37" xfId="2" applyNumberFormat="1" applyFont="1" applyFill="1" applyBorder="1" applyAlignment="1">
      <alignment vertical="top" wrapText="1"/>
    </xf>
    <xf numFmtId="4" fontId="10" fillId="0" borderId="50" xfId="2" applyNumberFormat="1" applyFont="1" applyBorder="1" applyAlignment="1">
      <alignment vertical="top" wrapText="1"/>
    </xf>
    <xf numFmtId="4" fontId="10" fillId="0" borderId="51" xfId="2" applyNumberFormat="1" applyFont="1" applyBorder="1" applyAlignment="1">
      <alignment vertical="top" wrapText="1"/>
    </xf>
    <xf numFmtId="0" fontId="87" fillId="0" borderId="184" xfId="14951" applyFont="1" applyBorder="1" applyAlignment="1">
      <alignment horizontal="left" vertical="center"/>
    </xf>
    <xf numFmtId="0" fontId="87" fillId="0" borderId="187" xfId="14951" applyFont="1" applyBorder="1" applyAlignment="1">
      <alignment horizontal="left" vertical="center"/>
    </xf>
    <xf numFmtId="0" fontId="87" fillId="0" borderId="196" xfId="14951" applyFont="1" applyBorder="1" applyAlignment="1">
      <alignment horizontal="left" vertical="center"/>
    </xf>
    <xf numFmtId="0" fontId="10" fillId="0" borderId="287" xfId="2" applyFont="1" applyBorder="1" applyAlignment="1">
      <alignment horizontal="center" vertical="top" wrapText="1"/>
    </xf>
    <xf numFmtId="0" fontId="10" fillId="0" borderId="288" xfId="2" applyFont="1" applyBorder="1" applyAlignment="1">
      <alignment horizontal="center" vertical="top" wrapText="1"/>
    </xf>
    <xf numFmtId="0" fontId="10" fillId="0" borderId="45" xfId="2" applyFont="1" applyBorder="1" applyAlignment="1">
      <alignment horizontal="center" vertical="top" wrapText="1"/>
    </xf>
    <xf numFmtId="166" fontId="14" fillId="0" borderId="184" xfId="2" applyNumberFormat="1" applyFont="1" applyBorder="1" applyAlignment="1">
      <alignment horizontal="center"/>
    </xf>
    <xf numFmtId="166" fontId="14" fillId="0" borderId="185" xfId="2" applyNumberFormat="1" applyFont="1" applyBorder="1" applyAlignment="1">
      <alignment horizontal="center"/>
    </xf>
    <xf numFmtId="0" fontId="96" fillId="0" borderId="0" xfId="14951" applyFont="1" applyAlignment="1">
      <alignment horizontal="left" vertical="center"/>
    </xf>
    <xf numFmtId="4" fontId="104" fillId="0" borderId="208" xfId="2" applyNumberFormat="1" applyFont="1" applyBorder="1" applyAlignment="1">
      <alignment horizontal="center" vertical="top" wrapText="1"/>
    </xf>
    <xf numFmtId="4" fontId="104" fillId="0" borderId="209" xfId="2" applyNumberFormat="1" applyFont="1" applyBorder="1" applyAlignment="1">
      <alignment horizontal="center" vertical="top" wrapText="1"/>
    </xf>
    <xf numFmtId="0" fontId="10" fillId="0" borderId="289" xfId="2" applyFont="1" applyBorder="1" applyAlignment="1">
      <alignment horizontal="left" vertical="top" wrapText="1"/>
    </xf>
    <xf numFmtId="0" fontId="10" fillId="0" borderId="111" xfId="2" applyFont="1" applyBorder="1" applyAlignment="1">
      <alignment horizontal="left" vertical="top" wrapText="1"/>
    </xf>
    <xf numFmtId="4" fontId="10" fillId="0" borderId="46" xfId="2" applyNumberFormat="1" applyFont="1" applyBorder="1" applyAlignment="1">
      <alignment vertical="top" wrapText="1"/>
    </xf>
    <xf numFmtId="4" fontId="10" fillId="27" borderId="303" xfId="2" applyNumberFormat="1" applyFont="1" applyFill="1" applyBorder="1" applyAlignment="1">
      <alignment horizontal="center" vertical="top" wrapText="1"/>
    </xf>
    <xf numFmtId="4" fontId="10" fillId="27" borderId="304" xfId="2" applyNumberFormat="1" applyFont="1" applyFill="1" applyBorder="1" applyAlignment="1">
      <alignment horizontal="center" vertical="top" wrapText="1"/>
    </xf>
    <xf numFmtId="166" fontId="14" fillId="27" borderId="184" xfId="2" applyNumberFormat="1" applyFont="1" applyFill="1" applyBorder="1" applyAlignment="1">
      <alignment horizontal="center"/>
    </xf>
    <xf numFmtId="166" fontId="14" fillId="27" borderId="185" xfId="2" applyNumberFormat="1" applyFont="1" applyFill="1" applyBorder="1" applyAlignment="1">
      <alignment horizontal="center"/>
    </xf>
    <xf numFmtId="1" fontId="10" fillId="27" borderId="184" xfId="2" applyNumberFormat="1" applyFont="1" applyFill="1" applyBorder="1" applyAlignment="1">
      <alignment horizontal="center"/>
    </xf>
    <xf numFmtId="1" fontId="10" fillId="27" borderId="185" xfId="2" applyNumberFormat="1" applyFont="1" applyFill="1" applyBorder="1" applyAlignment="1">
      <alignment horizontal="center"/>
    </xf>
    <xf numFmtId="0" fontId="62" fillId="0" borderId="0" xfId="2" applyFont="1" applyAlignment="1">
      <alignment horizontal="right" vertical="center"/>
    </xf>
    <xf numFmtId="0" fontId="62" fillId="0" borderId="188" xfId="2" applyFont="1" applyBorder="1" applyAlignment="1">
      <alignment horizontal="right" vertical="center"/>
    </xf>
    <xf numFmtId="1" fontId="10" fillId="27" borderId="147" xfId="2" applyNumberFormat="1" applyFont="1" applyFill="1" applyBorder="1" applyAlignment="1">
      <alignment horizontal="center" vertical="center"/>
    </xf>
    <xf numFmtId="1" fontId="10" fillId="27" borderId="77" xfId="2" applyNumberFormat="1" applyFont="1" applyFill="1" applyBorder="1" applyAlignment="1">
      <alignment horizontal="center" vertical="center"/>
    </xf>
    <xf numFmtId="1" fontId="10" fillId="27" borderId="189" xfId="2" applyNumberFormat="1" applyFont="1" applyFill="1" applyBorder="1" applyAlignment="1">
      <alignment horizontal="center" vertical="center"/>
    </xf>
    <xf numFmtId="1" fontId="10" fillId="27" borderId="190" xfId="2" applyNumberFormat="1" applyFont="1" applyFill="1" applyBorder="1" applyAlignment="1">
      <alignment horizontal="center" vertical="center"/>
    </xf>
    <xf numFmtId="1" fontId="10" fillId="27" borderId="186" xfId="2" applyNumberFormat="1" applyFont="1" applyFill="1" applyBorder="1" applyAlignment="1">
      <alignment horizontal="center" vertical="center"/>
    </xf>
    <xf numFmtId="1" fontId="10" fillId="27" borderId="191" xfId="2" applyNumberFormat="1" applyFont="1" applyFill="1" applyBorder="1" applyAlignment="1">
      <alignment horizontal="center" vertical="center"/>
    </xf>
    <xf numFmtId="0" fontId="10" fillId="0" borderId="168" xfId="2" applyFont="1" applyBorder="1" applyAlignment="1">
      <alignment horizontal="left"/>
    </xf>
    <xf numFmtId="0" fontId="10" fillId="0" borderId="167" xfId="2" applyFont="1" applyBorder="1" applyAlignment="1">
      <alignment horizontal="left"/>
    </xf>
    <xf numFmtId="0" fontId="10" fillId="0" borderId="169" xfId="2" applyFont="1" applyBorder="1" applyAlignment="1">
      <alignment horizontal="left"/>
    </xf>
    <xf numFmtId="0" fontId="10" fillId="0" borderId="168" xfId="2" applyFont="1" applyBorder="1"/>
    <xf numFmtId="0" fontId="10" fillId="0" borderId="167" xfId="2" applyFont="1" applyBorder="1"/>
    <xf numFmtId="0" fontId="10" fillId="0" borderId="169" xfId="2" applyFont="1" applyBorder="1"/>
    <xf numFmtId="0" fontId="80" fillId="0" borderId="75" xfId="2" applyFont="1" applyBorder="1" applyAlignment="1">
      <alignment horizontal="left" indent="4"/>
    </xf>
    <xf numFmtId="0" fontId="80" fillId="0" borderId="76" xfId="2" applyFont="1" applyBorder="1" applyAlignment="1">
      <alignment horizontal="left" indent="4"/>
    </xf>
    <xf numFmtId="0" fontId="80" fillId="0" borderId="163" xfId="2" applyFont="1" applyBorder="1" applyAlignment="1">
      <alignment horizontal="left" indent="4"/>
    </xf>
    <xf numFmtId="0" fontId="11" fillId="0" borderId="75" xfId="2" applyFont="1" applyBorder="1"/>
    <xf numFmtId="0" fontId="11" fillId="0" borderId="76" xfId="2" applyFont="1" applyBorder="1"/>
    <xf numFmtId="0" fontId="11" fillId="0" borderId="163" xfId="2" applyFont="1" applyBorder="1"/>
    <xf numFmtId="0" fontId="10" fillId="0" borderId="162" xfId="2" applyFont="1" applyBorder="1"/>
    <xf numFmtId="0" fontId="10" fillId="0" borderId="7" xfId="2" applyFont="1" applyBorder="1"/>
    <xf numFmtId="0" fontId="10" fillId="0" borderId="8" xfId="2" applyFont="1" applyBorder="1"/>
    <xf numFmtId="0" fontId="10" fillId="0" borderId="17" xfId="2" applyFont="1" applyBorder="1"/>
    <xf numFmtId="0" fontId="10" fillId="0" borderId="126" xfId="2" applyFont="1" applyBorder="1"/>
    <xf numFmtId="0" fontId="10" fillId="0" borderId="125" xfId="2" applyFont="1" applyBorder="1"/>
    <xf numFmtId="0" fontId="14" fillId="0" borderId="0" xfId="2" applyFont="1" applyAlignment="1">
      <alignment horizontal="center"/>
    </xf>
    <xf numFmtId="0" fontId="14" fillId="0" borderId="188" xfId="2" applyFont="1" applyBorder="1" applyAlignment="1">
      <alignment horizontal="center"/>
    </xf>
    <xf numFmtId="0" fontId="95" fillId="0" borderId="0" xfId="16216" applyFont="1" applyAlignment="1">
      <alignment horizontal="center" vertical="center"/>
    </xf>
    <xf numFmtId="0" fontId="95" fillId="0" borderId="188" xfId="16216" applyFont="1" applyBorder="1" applyAlignment="1">
      <alignment horizontal="center" vertical="center"/>
    </xf>
    <xf numFmtId="0" fontId="15" fillId="0" borderId="0" xfId="2" applyFont="1" applyAlignment="1">
      <alignment horizontal="left"/>
    </xf>
    <xf numFmtId="0" fontId="11" fillId="0" borderId="183" xfId="2" applyFont="1" applyBorder="1" applyAlignment="1">
      <alignment horizontal="left"/>
    </xf>
    <xf numFmtId="0" fontId="11" fillId="0" borderId="126" xfId="2" applyFont="1" applyBorder="1" applyAlignment="1">
      <alignment horizontal="left"/>
    </xf>
    <xf numFmtId="0" fontId="11" fillId="0" borderId="239" xfId="2" applyFont="1" applyBorder="1" applyAlignment="1">
      <alignment horizontal="left"/>
    </xf>
    <xf numFmtId="1" fontId="10" fillId="27" borderId="166" xfId="2" applyNumberFormat="1" applyFont="1" applyFill="1" applyBorder="1" applyAlignment="1">
      <alignment horizontal="center" vertical="center"/>
    </xf>
    <xf numFmtId="1" fontId="10" fillId="27" borderId="169" xfId="2" applyNumberFormat="1" applyFont="1" applyFill="1" applyBorder="1" applyAlignment="1">
      <alignment horizontal="center" vertical="center"/>
    </xf>
    <xf numFmtId="4" fontId="10" fillId="27" borderId="227" xfId="2" applyNumberFormat="1" applyFont="1" applyFill="1" applyBorder="1" applyAlignment="1">
      <alignment horizontal="center" vertical="top" wrapText="1"/>
    </xf>
    <xf numFmtId="4" fontId="10" fillId="27" borderId="228" xfId="2" applyNumberFormat="1" applyFont="1" applyFill="1" applyBorder="1" applyAlignment="1">
      <alignment horizontal="center" vertical="top" wrapText="1"/>
    </xf>
    <xf numFmtId="0" fontId="87" fillId="0" borderId="195" xfId="14951" applyFont="1" applyBorder="1" applyAlignment="1">
      <alignment horizontal="left" vertical="center"/>
    </xf>
    <xf numFmtId="0" fontId="87" fillId="0" borderId="198" xfId="14951" applyFont="1" applyBorder="1" applyAlignment="1">
      <alignment horizontal="left" vertical="center"/>
    </xf>
    <xf numFmtId="0" fontId="47" fillId="0" borderId="70" xfId="16216" applyFont="1" applyBorder="1" applyAlignment="1">
      <alignment horizontal="left"/>
    </xf>
    <xf numFmtId="0" fontId="47" fillId="0" borderId="71" xfId="16216" applyFont="1" applyBorder="1" applyAlignment="1">
      <alignment horizontal="left"/>
    </xf>
    <xf numFmtId="0" fontId="47" fillId="0" borderId="172" xfId="16216" applyFont="1" applyBorder="1" applyAlignment="1">
      <alignment horizontal="left"/>
    </xf>
    <xf numFmtId="0" fontId="11" fillId="0" borderId="198" xfId="2" applyFont="1" applyBorder="1" applyAlignment="1">
      <alignment horizontal="center" vertical="center" wrapText="1"/>
    </xf>
    <xf numFmtId="0" fontId="11" fillId="0" borderId="199" xfId="2" applyFont="1" applyBorder="1" applyAlignment="1">
      <alignment horizontal="center" vertical="center" wrapText="1"/>
    </xf>
    <xf numFmtId="168" fontId="53" fillId="0" borderId="231" xfId="1" applyFont="1" applyFill="1" applyBorder="1" applyAlignment="1">
      <alignment horizontal="center"/>
    </xf>
    <xf numFmtId="168" fontId="53" fillId="0" borderId="223" xfId="1" applyFont="1" applyFill="1" applyBorder="1" applyAlignment="1">
      <alignment horizontal="center"/>
    </xf>
    <xf numFmtId="168" fontId="101" fillId="0" borderId="231" xfId="1" applyFont="1" applyFill="1" applyBorder="1" applyAlignment="1">
      <alignment horizontal="center"/>
    </xf>
    <xf numFmtId="0" fontId="10" fillId="27" borderId="9" xfId="2" applyFont="1" applyFill="1" applyBorder="1"/>
    <xf numFmtId="0" fontId="10" fillId="27" borderId="11" xfId="2" applyFont="1" applyFill="1" applyBorder="1"/>
    <xf numFmtId="0" fontId="10" fillId="27" borderId="9" xfId="2" applyFont="1" applyFill="1" applyBorder="1" applyAlignment="1">
      <alignment horizontal="left"/>
    </xf>
    <xf numFmtId="0" fontId="10" fillId="27" borderId="10" xfId="2" applyFont="1" applyFill="1" applyBorder="1" applyAlignment="1">
      <alignment horizontal="left"/>
    </xf>
    <xf numFmtId="0" fontId="10" fillId="27" borderId="11" xfId="2" applyFont="1" applyFill="1" applyBorder="1" applyAlignment="1">
      <alignment horizontal="left"/>
    </xf>
    <xf numFmtId="0" fontId="94" fillId="2" borderId="242" xfId="2" applyFont="1" applyFill="1" applyBorder="1" applyAlignment="1" applyProtection="1">
      <alignment horizontal="center" vertical="top"/>
      <protection locked="0"/>
    </xf>
    <xf numFmtId="0" fontId="94" fillId="2" borderId="233" xfId="2" applyFont="1" applyFill="1" applyBorder="1" applyAlignment="1" applyProtection="1">
      <alignment horizontal="center" vertical="top"/>
      <protection locked="0"/>
    </xf>
    <xf numFmtId="0" fontId="94" fillId="2" borderId="303" xfId="2" applyFont="1" applyFill="1" applyBorder="1" applyAlignment="1" applyProtection="1">
      <alignment horizontal="center" vertical="top"/>
      <protection locked="0"/>
    </xf>
    <xf numFmtId="0" fontId="94" fillId="2" borderId="235" xfId="2" applyFont="1" applyFill="1" applyBorder="1" applyAlignment="1" applyProtection="1">
      <alignment horizontal="center" vertical="top"/>
      <protection locked="0"/>
    </xf>
    <xf numFmtId="0" fontId="94" fillId="2" borderId="309" xfId="2" applyFont="1" applyFill="1" applyBorder="1" applyAlignment="1" applyProtection="1">
      <alignment horizontal="center" vertical="top"/>
      <protection locked="0"/>
    </xf>
    <xf numFmtId="0" fontId="94" fillId="2" borderId="310" xfId="2" applyFont="1" applyFill="1" applyBorder="1" applyAlignment="1" applyProtection="1">
      <alignment horizontal="center" vertical="top"/>
      <protection locked="0"/>
    </xf>
    <xf numFmtId="0" fontId="47" fillId="0" borderId="184" xfId="16216" applyFont="1" applyBorder="1" applyAlignment="1">
      <alignment horizontal="left" vertical="center"/>
    </xf>
    <xf numFmtId="0" fontId="47" fillId="0" borderId="187" xfId="16216" applyFont="1" applyBorder="1" applyAlignment="1">
      <alignment horizontal="left" vertical="center"/>
    </xf>
    <xf numFmtId="0" fontId="47" fillId="0" borderId="185" xfId="16216" applyFont="1" applyBorder="1" applyAlignment="1">
      <alignment horizontal="left" vertical="center"/>
    </xf>
    <xf numFmtId="43" fontId="36" fillId="27" borderId="251" xfId="16217" applyFont="1" applyFill="1" applyBorder="1" applyAlignment="1">
      <alignment horizontal="center"/>
    </xf>
    <xf numFmtId="43" fontId="36" fillId="27" borderId="253" xfId="16217" applyFont="1" applyFill="1" applyBorder="1" applyAlignment="1">
      <alignment horizontal="center"/>
    </xf>
    <xf numFmtId="0" fontId="47" fillId="0" borderId="212" xfId="16216" applyFont="1" applyBorder="1" applyAlignment="1">
      <alignment horizontal="left" vertical="center"/>
    </xf>
    <xf numFmtId="0" fontId="47" fillId="0" borderId="219" xfId="16216" applyFont="1" applyBorder="1" applyAlignment="1">
      <alignment horizontal="left" vertical="center"/>
    </xf>
    <xf numFmtId="165" fontId="50" fillId="0" borderId="219" xfId="16217" applyNumberFormat="1" applyFont="1" applyFill="1" applyBorder="1" applyAlignment="1">
      <alignment horizontal="center"/>
    </xf>
    <xf numFmtId="165" fontId="50" fillId="0" borderId="222" xfId="16217" applyNumberFormat="1" applyFont="1" applyFill="1" applyBorder="1" applyAlignment="1">
      <alignment horizontal="center"/>
    </xf>
    <xf numFmtId="0" fontId="11" fillId="0" borderId="50" xfId="2" applyFont="1" applyBorder="1" applyAlignment="1">
      <alignment horizontal="center" vertical="center" wrapText="1"/>
    </xf>
    <xf numFmtId="0" fontId="11" fillId="0" borderId="52" xfId="2" applyFont="1" applyBorder="1" applyAlignment="1">
      <alignment horizontal="center" vertical="center" wrapText="1"/>
    </xf>
    <xf numFmtId="0" fontId="11" fillId="0" borderId="51" xfId="2" applyFont="1" applyBorder="1" applyAlignment="1">
      <alignment horizontal="center" vertical="center" wrapText="1"/>
    </xf>
    <xf numFmtId="4" fontId="18" fillId="0" borderId="29" xfId="2" applyNumberFormat="1" applyFont="1" applyBorder="1" applyAlignment="1">
      <alignment vertical="top" wrapText="1"/>
    </xf>
    <xf numFmtId="4" fontId="18" fillId="0" borderId="30" xfId="2" applyNumberFormat="1" applyFont="1" applyBorder="1" applyAlignment="1">
      <alignment vertical="top" wrapText="1"/>
    </xf>
    <xf numFmtId="4" fontId="10" fillId="0" borderId="35" xfId="2" applyNumberFormat="1" applyFont="1" applyBorder="1" applyAlignment="1">
      <alignment vertical="top" wrapText="1"/>
    </xf>
    <xf numFmtId="4" fontId="10" fillId="0" borderId="32" xfId="2" applyNumberFormat="1" applyFont="1" applyBorder="1" applyAlignment="1">
      <alignment vertical="top" wrapText="1"/>
    </xf>
    <xf numFmtId="0" fontId="11" fillId="0" borderId="70" xfId="2" applyFont="1" applyBorder="1" applyAlignment="1">
      <alignment horizontal="left"/>
    </xf>
    <xf numFmtId="0" fontId="11" fillId="0" borderId="231" xfId="2" applyFont="1" applyBorder="1" applyAlignment="1">
      <alignment horizontal="left"/>
    </xf>
    <xf numFmtId="0" fontId="11" fillId="0" borderId="221" xfId="2" applyFont="1" applyBorder="1" applyAlignment="1">
      <alignment horizontal="left"/>
    </xf>
    <xf numFmtId="0" fontId="11" fillId="0" borderId="75" xfId="2" applyFont="1" applyBorder="1" applyAlignment="1">
      <alignment horizontal="left"/>
    </xf>
    <xf numFmtId="0" fontId="11" fillId="0" borderId="76" xfId="2" applyFont="1" applyBorder="1" applyAlignment="1">
      <alignment horizontal="left"/>
    </xf>
    <xf numFmtId="0" fontId="11" fillId="0" borderId="106" xfId="2" applyFont="1" applyBorder="1" applyAlignment="1">
      <alignment horizontal="left"/>
    </xf>
    <xf numFmtId="4" fontId="10" fillId="27" borderId="29" xfId="2" applyNumberFormat="1" applyFont="1" applyFill="1" applyBorder="1" applyAlignment="1">
      <alignment horizontal="right" vertical="top" wrapText="1"/>
    </xf>
    <xf numFmtId="4" fontId="10" fillId="27" borderId="30" xfId="2" applyNumberFormat="1" applyFont="1" applyFill="1" applyBorder="1" applyAlignment="1">
      <alignment horizontal="right" vertical="top" wrapText="1"/>
    </xf>
    <xf numFmtId="0" fontId="29" fillId="0" borderId="35" xfId="16216" applyFont="1" applyBorder="1" applyAlignment="1">
      <alignment horizontal="right"/>
    </xf>
    <xf numFmtId="0" fontId="29" fillId="0" borderId="32" xfId="16216" applyFont="1" applyBorder="1" applyAlignment="1">
      <alignment horizontal="right"/>
    </xf>
    <xf numFmtId="0" fontId="10" fillId="0" borderId="183" xfId="2" applyFont="1" applyBorder="1"/>
    <xf numFmtId="0" fontId="97" fillId="0" borderId="0" xfId="14951" applyFont="1" applyAlignment="1">
      <alignment horizontal="left" vertical="center"/>
    </xf>
    <xf numFmtId="0" fontId="47" fillId="0" borderId="0" xfId="16216" applyFont="1" applyAlignment="1">
      <alignment horizontal="left"/>
    </xf>
    <xf numFmtId="2" fontId="47" fillId="0" borderId="231" xfId="16216" applyNumberFormat="1" applyFont="1" applyBorder="1" applyAlignment="1">
      <alignment horizontal="center"/>
    </xf>
    <xf numFmtId="2" fontId="47" fillId="0" borderId="221" xfId="16216" applyNumberFormat="1" applyFont="1" applyBorder="1" applyAlignment="1">
      <alignment horizontal="center"/>
    </xf>
    <xf numFmtId="2" fontId="47" fillId="0" borderId="220" xfId="16216" applyNumberFormat="1" applyFont="1" applyBorder="1" applyAlignment="1">
      <alignment horizontal="center"/>
    </xf>
    <xf numFmtId="2" fontId="47" fillId="0" borderId="219" xfId="16216" applyNumberFormat="1" applyFont="1" applyBorder="1" applyAlignment="1">
      <alignment horizontal="center"/>
    </xf>
    <xf numFmtId="0" fontId="36" fillId="0" borderId="232" xfId="16216" applyFont="1" applyBorder="1" applyAlignment="1">
      <alignment horizontal="left"/>
    </xf>
    <xf numFmtId="0" fontId="36" fillId="0" borderId="201" xfId="16216" applyFont="1" applyBorder="1" applyAlignment="1">
      <alignment horizontal="left"/>
    </xf>
    <xf numFmtId="0" fontId="36" fillId="0" borderId="233" xfId="16216" applyFont="1" applyBorder="1" applyAlignment="1">
      <alignment horizontal="left"/>
    </xf>
    <xf numFmtId="0" fontId="47" fillId="0" borderId="184" xfId="16216" applyFont="1" applyBorder="1" applyAlignment="1">
      <alignment horizontal="left"/>
    </xf>
    <xf numFmtId="0" fontId="47" fillId="0" borderId="187" xfId="16216" applyFont="1" applyBorder="1" applyAlignment="1">
      <alignment horizontal="left"/>
    </xf>
    <xf numFmtId="0" fontId="47" fillId="0" borderId="0" xfId="16216" applyFont="1" applyAlignment="1">
      <alignment horizontal="right"/>
    </xf>
    <xf numFmtId="43" fontId="36" fillId="27" borderId="248" xfId="16217" applyFont="1" applyFill="1" applyBorder="1" applyAlignment="1">
      <alignment horizontal="center"/>
    </xf>
    <xf numFmtId="43" fontId="36" fillId="27" borderId="249" xfId="16217" applyFont="1" applyFill="1" applyBorder="1" applyAlignment="1">
      <alignment horizontal="center"/>
    </xf>
    <xf numFmtId="43" fontId="36" fillId="27" borderId="241" xfId="16217" applyFont="1" applyFill="1" applyBorder="1" applyAlignment="1">
      <alignment horizontal="center"/>
    </xf>
    <xf numFmtId="43" fontId="36" fillId="27" borderId="203" xfId="16217" applyFont="1" applyFill="1" applyBorder="1" applyAlignment="1">
      <alignment horizontal="center"/>
    </xf>
    <xf numFmtId="0" fontId="36" fillId="0" borderId="246" xfId="16216" applyFont="1" applyBorder="1" applyAlignment="1">
      <alignment horizontal="left"/>
    </xf>
    <xf numFmtId="0" fontId="36" fillId="0" borderId="5" xfId="16216" applyFont="1" applyBorder="1" applyAlignment="1">
      <alignment horizontal="left"/>
    </xf>
    <xf numFmtId="0" fontId="36" fillId="0" borderId="247" xfId="16216" applyFont="1" applyBorder="1" applyAlignment="1">
      <alignment horizontal="left"/>
    </xf>
    <xf numFmtId="166" fontId="14" fillId="0" borderId="187" xfId="2" applyNumberFormat="1" applyFont="1" applyBorder="1" applyAlignment="1">
      <alignment horizontal="center"/>
    </xf>
    <xf numFmtId="43" fontId="36" fillId="27" borderId="242" xfId="16217" applyFont="1" applyFill="1" applyBorder="1" applyAlignment="1">
      <alignment horizontal="center"/>
    </xf>
    <xf numFmtId="43" fontId="36" fillId="27" borderId="202" xfId="16217" applyFont="1" applyFill="1" applyBorder="1" applyAlignment="1">
      <alignment horizontal="center"/>
    </xf>
    <xf numFmtId="43" fontId="36" fillId="27" borderId="240" xfId="16217" applyFont="1" applyFill="1" applyBorder="1" applyAlignment="1">
      <alignment horizontal="center"/>
    </xf>
    <xf numFmtId="43" fontId="36" fillId="27" borderId="205" xfId="16217" applyFont="1" applyFill="1" applyBorder="1" applyAlignment="1">
      <alignment horizontal="center"/>
    </xf>
    <xf numFmtId="43" fontId="36" fillId="27" borderId="244" xfId="16217" applyFont="1" applyFill="1" applyBorder="1" applyAlignment="1">
      <alignment horizontal="center"/>
    </xf>
    <xf numFmtId="43" fontId="36" fillId="27" borderId="245" xfId="16217" applyFont="1" applyFill="1" applyBorder="1" applyAlignment="1">
      <alignment horizontal="center"/>
    </xf>
    <xf numFmtId="165" fontId="102" fillId="0" borderId="166" xfId="16217" applyNumberFormat="1" applyFont="1" applyFill="1" applyBorder="1" applyAlignment="1">
      <alignment horizontal="center"/>
    </xf>
    <xf numFmtId="165" fontId="102" fillId="0" borderId="243" xfId="16217" applyNumberFormat="1" applyFont="1" applyFill="1" applyBorder="1" applyAlignment="1">
      <alignment horizontal="center"/>
    </xf>
    <xf numFmtId="0" fontId="36" fillId="0" borderId="250" xfId="16216" applyFont="1" applyBorder="1" applyAlignment="1">
      <alignment horizontal="left"/>
    </xf>
    <xf numFmtId="0" fontId="36" fillId="0" borderId="251" xfId="16216" applyFont="1" applyBorder="1" applyAlignment="1">
      <alignment horizontal="left"/>
    </xf>
    <xf numFmtId="0" fontId="36" fillId="0" borderId="252" xfId="16216" applyFont="1" applyBorder="1" applyAlignment="1">
      <alignment horizontal="left"/>
    </xf>
    <xf numFmtId="0" fontId="36" fillId="0" borderId="238" xfId="16216" applyFont="1" applyBorder="1" applyAlignment="1">
      <alignment horizontal="left"/>
    </xf>
    <xf numFmtId="0" fontId="36" fillId="0" borderId="257" xfId="16216" applyFont="1" applyBorder="1" applyAlignment="1">
      <alignment horizontal="left"/>
    </xf>
    <xf numFmtId="0" fontId="36" fillId="0" borderId="258" xfId="16216" applyFont="1" applyBorder="1" applyAlignment="1">
      <alignment horizontal="left"/>
    </xf>
    <xf numFmtId="0" fontId="47" fillId="0" borderId="168" xfId="16216" applyFont="1" applyBorder="1" applyAlignment="1">
      <alignment horizontal="left"/>
    </xf>
    <xf numFmtId="0" fontId="47" fillId="0" borderId="167" xfId="16216" applyFont="1" applyBorder="1" applyAlignment="1">
      <alignment horizontal="left"/>
    </xf>
    <xf numFmtId="0" fontId="36" fillId="0" borderId="77" xfId="16216" applyFont="1" applyBorder="1" applyAlignment="1">
      <alignment horizontal="center"/>
    </xf>
    <xf numFmtId="0" fontId="36" fillId="0" borderId="0" xfId="16216" applyFont="1" applyAlignment="1">
      <alignment horizontal="center"/>
    </xf>
    <xf numFmtId="0" fontId="47" fillId="0" borderId="185" xfId="16216" applyFont="1" applyBorder="1" applyAlignment="1">
      <alignment horizontal="left"/>
    </xf>
    <xf numFmtId="0" fontId="47" fillId="0" borderId="183" xfId="16216" applyFont="1" applyBorder="1" applyAlignment="1">
      <alignment horizontal="left"/>
    </xf>
    <xf numFmtId="0" fontId="47" fillId="0" borderId="126" xfId="16216" applyFont="1" applyBorder="1" applyAlignment="1">
      <alignment horizontal="left"/>
    </xf>
    <xf numFmtId="0" fontId="47" fillId="0" borderId="239" xfId="16216" applyFont="1" applyBorder="1" applyAlignment="1">
      <alignment horizontal="left"/>
    </xf>
    <xf numFmtId="165" fontId="50" fillId="0" borderId="190" xfId="16217" applyNumberFormat="1" applyFont="1" applyFill="1" applyBorder="1" applyAlignment="1">
      <alignment horizontal="center"/>
    </xf>
    <xf numFmtId="165" fontId="50" fillId="0" borderId="191" xfId="16217" applyNumberFormat="1" applyFont="1" applyFill="1" applyBorder="1" applyAlignment="1">
      <alignment horizontal="center"/>
    </xf>
    <xf numFmtId="0" fontId="47" fillId="0" borderId="128" xfId="16216" applyFont="1" applyBorder="1" applyAlignment="1">
      <alignment horizontal="left"/>
    </xf>
    <xf numFmtId="0" fontId="36" fillId="0" borderId="236" xfId="16216" applyFont="1" applyBorder="1" applyAlignment="1">
      <alignment horizontal="left"/>
    </xf>
    <xf numFmtId="0" fontId="36" fillId="0" borderId="2" xfId="16216" applyFont="1" applyBorder="1" applyAlignment="1">
      <alignment horizontal="left"/>
    </xf>
    <xf numFmtId="0" fontId="36" fillId="0" borderId="237" xfId="16216" applyFont="1" applyBorder="1" applyAlignment="1">
      <alignment horizontal="left"/>
    </xf>
    <xf numFmtId="43" fontId="59" fillId="27" borderId="305" xfId="16217" applyFont="1" applyFill="1" applyBorder="1" applyAlignment="1">
      <alignment horizontal="center"/>
    </xf>
    <xf numFmtId="43" fontId="59" fillId="27" borderId="306" xfId="16217" applyFont="1" applyFill="1" applyBorder="1" applyAlignment="1">
      <alignment horizontal="center"/>
    </xf>
    <xf numFmtId="0" fontId="47" fillId="0" borderId="114" xfId="16216" applyFont="1" applyBorder="1" applyAlignment="1">
      <alignment horizontal="left"/>
    </xf>
    <xf numFmtId="0" fontId="47" fillId="0" borderId="254" xfId="16216" applyFont="1" applyBorder="1" applyAlignment="1">
      <alignment horizontal="left"/>
    </xf>
    <xf numFmtId="0" fontId="47" fillId="0" borderId="255" xfId="16216" applyFont="1" applyBorder="1" applyAlignment="1">
      <alignment horizontal="left"/>
    </xf>
    <xf numFmtId="43" fontId="102" fillId="0" borderId="167" xfId="16217" applyFont="1" applyFill="1" applyBorder="1" applyAlignment="1">
      <alignment horizontal="center"/>
    </xf>
    <xf numFmtId="43" fontId="102" fillId="0" borderId="243" xfId="16217" applyFont="1" applyFill="1" applyBorder="1" applyAlignment="1">
      <alignment horizontal="center"/>
    </xf>
    <xf numFmtId="43" fontId="36" fillId="27" borderId="305" xfId="16217" applyFont="1" applyFill="1" applyBorder="1" applyAlignment="1">
      <alignment horizontal="center"/>
    </xf>
    <xf numFmtId="43" fontId="36" fillId="27" borderId="306" xfId="16217" applyFont="1" applyFill="1" applyBorder="1" applyAlignment="1">
      <alignment horizontal="center"/>
    </xf>
    <xf numFmtId="165" fontId="103" fillId="0" borderId="219" xfId="16217" applyNumberFormat="1" applyFont="1" applyFill="1" applyBorder="1" applyAlignment="1">
      <alignment horizontal="center"/>
    </xf>
    <xf numFmtId="165" fontId="103" fillId="0" borderId="222" xfId="16217" applyNumberFormat="1" applyFont="1" applyFill="1" applyBorder="1" applyAlignment="1">
      <alignment horizontal="center"/>
    </xf>
    <xf numFmtId="43" fontId="59" fillId="27" borderId="303" xfId="16217" applyFont="1" applyFill="1" applyBorder="1" applyAlignment="1">
      <alignment horizontal="center"/>
    </xf>
    <xf numFmtId="43" fontId="59" fillId="27" borderId="304" xfId="16217" applyFont="1" applyFill="1" applyBorder="1" applyAlignment="1">
      <alignment horizontal="center"/>
    </xf>
    <xf numFmtId="0" fontId="47" fillId="0" borderId="256" xfId="16216" applyFont="1" applyBorder="1" applyAlignment="1">
      <alignment horizontal="left" vertical="center"/>
    </xf>
    <xf numFmtId="0" fontId="47" fillId="0" borderId="102" xfId="16216" applyFont="1" applyBorder="1" applyAlignment="1">
      <alignment horizontal="left" vertical="center"/>
    </xf>
    <xf numFmtId="165" fontId="50" fillId="0" borderId="102" xfId="16217" applyNumberFormat="1" applyFont="1" applyFill="1" applyBorder="1" applyAlignment="1">
      <alignment horizontal="center"/>
    </xf>
    <xf numFmtId="165" fontId="50" fillId="0" borderId="148" xfId="16217" applyNumberFormat="1" applyFont="1" applyFill="1" applyBorder="1" applyAlignment="1">
      <alignment horizontal="center"/>
    </xf>
    <xf numFmtId="0" fontId="47" fillId="0" borderId="213" xfId="16216" applyFont="1" applyBorder="1" applyAlignment="1">
      <alignment horizontal="left" vertical="center"/>
    </xf>
    <xf numFmtId="0" fontId="47" fillId="0" borderId="214" xfId="16216" applyFont="1" applyBorder="1" applyAlignment="1">
      <alignment horizontal="left" vertical="center"/>
    </xf>
    <xf numFmtId="165" fontId="102" fillId="0" borderId="0" xfId="16217" applyNumberFormat="1" applyFont="1" applyFill="1" applyBorder="1" applyAlignment="1">
      <alignment horizontal="center"/>
    </xf>
    <xf numFmtId="0" fontId="83" fillId="0" borderId="256" xfId="2" applyFont="1" applyBorder="1"/>
    <xf numFmtId="0" fontId="83" fillId="0" borderId="260" xfId="2" applyFont="1" applyBorder="1"/>
    <xf numFmtId="0" fontId="62" fillId="0" borderId="213" xfId="2" applyFont="1" applyBorder="1"/>
    <xf numFmtId="0" fontId="62" fillId="0" borderId="214" xfId="2" applyFont="1" applyBorder="1"/>
    <xf numFmtId="0" fontId="80" fillId="0" borderId="198" xfId="2" applyFont="1" applyBorder="1" applyAlignment="1">
      <alignment horizontal="center"/>
    </xf>
    <xf numFmtId="0" fontId="80" fillId="0" borderId="199" xfId="2" applyFont="1" applyBorder="1" applyAlignment="1">
      <alignment horizontal="center"/>
    </xf>
    <xf numFmtId="0" fontId="17" fillId="2" borderId="206" xfId="2" applyFont="1" applyFill="1" applyBorder="1" applyAlignment="1" applyProtection="1">
      <alignment horizontal="center" vertical="center"/>
      <protection locked="0"/>
    </xf>
    <xf numFmtId="0" fontId="17" fillId="2" borderId="202" xfId="2" applyFont="1" applyFill="1" applyBorder="1" applyAlignment="1" applyProtection="1">
      <alignment horizontal="center" vertical="center"/>
      <protection locked="0"/>
    </xf>
    <xf numFmtId="0" fontId="17" fillId="2" borderId="9" xfId="2" applyFont="1" applyFill="1" applyBorder="1" applyAlignment="1" applyProtection="1">
      <alignment horizontal="center" vertical="center"/>
      <protection locked="0"/>
    </xf>
    <xf numFmtId="0" fontId="17" fillId="2" borderId="203" xfId="2" applyFont="1" applyFill="1" applyBorder="1" applyAlignment="1" applyProtection="1">
      <alignment horizontal="center" vertical="center"/>
      <protection locked="0"/>
    </xf>
    <xf numFmtId="0" fontId="17" fillId="2" borderId="200" xfId="2" applyFont="1" applyFill="1" applyBorder="1" applyAlignment="1" applyProtection="1">
      <alignment horizontal="center" vertical="center"/>
      <protection locked="0"/>
    </xf>
    <xf numFmtId="0" fontId="17" fillId="2" borderId="204" xfId="2" applyFont="1" applyFill="1" applyBorder="1" applyAlignment="1" applyProtection="1">
      <alignment horizontal="center" vertical="center"/>
      <protection locked="0"/>
    </xf>
    <xf numFmtId="0" fontId="83" fillId="0" borderId="266" xfId="2" applyFont="1" applyBorder="1"/>
    <xf numFmtId="0" fontId="83" fillId="0" borderId="267" xfId="2" applyFont="1" applyBorder="1"/>
    <xf numFmtId="0" fontId="11" fillId="0" borderId="259" xfId="2" applyFont="1" applyBorder="1"/>
    <xf numFmtId="0" fontId="11" fillId="0" borderId="151" xfId="2" applyFont="1" applyBorder="1"/>
    <xf numFmtId="0" fontId="17" fillId="2" borderId="201" xfId="2" applyFont="1" applyFill="1" applyBorder="1" applyAlignment="1" applyProtection="1">
      <alignment horizontal="center" vertical="center"/>
      <protection locked="0"/>
    </xf>
    <xf numFmtId="0" fontId="17" fillId="2" borderId="207" xfId="2" applyFont="1" applyFill="1" applyBorder="1" applyAlignment="1" applyProtection="1">
      <alignment horizontal="center" vertical="center"/>
      <protection locked="0"/>
    </xf>
    <xf numFmtId="0" fontId="17" fillId="2" borderId="10" xfId="2" applyFont="1" applyFill="1" applyBorder="1" applyAlignment="1" applyProtection="1">
      <alignment horizontal="center" vertical="center"/>
      <protection locked="0"/>
    </xf>
    <xf numFmtId="0" fontId="17" fillId="2" borderId="11" xfId="2" applyFont="1" applyFill="1" applyBorder="1" applyAlignment="1" applyProtection="1">
      <alignment horizontal="center" vertical="center"/>
      <protection locked="0"/>
    </xf>
    <xf numFmtId="0" fontId="51" fillId="0" borderId="0" xfId="16218" applyFont="1" applyAlignment="1" applyProtection="1">
      <alignment horizontal="left" wrapText="1"/>
      <protection hidden="1"/>
    </xf>
    <xf numFmtId="0" fontId="6" fillId="0" borderId="0" xfId="16218" applyAlignment="1" applyProtection="1">
      <alignment horizontal="left"/>
      <protection hidden="1"/>
    </xf>
    <xf numFmtId="0" fontId="6" fillId="0" borderId="0" xfId="16218" applyProtection="1">
      <protection hidden="1"/>
    </xf>
    <xf numFmtId="166" fontId="52" fillId="0" borderId="0" xfId="2" applyNumberFormat="1" applyFont="1" applyAlignment="1">
      <alignment horizontal="left"/>
    </xf>
    <xf numFmtId="0" fontId="10" fillId="2" borderId="311" xfId="2" applyFont="1" applyFill="1" applyBorder="1" applyAlignment="1" applyProtection="1">
      <alignment horizontal="center"/>
      <protection locked="0"/>
    </xf>
    <xf numFmtId="0" fontId="10" fillId="2" borderId="300" xfId="2" applyFont="1" applyFill="1" applyBorder="1" applyAlignment="1" applyProtection="1">
      <alignment horizontal="center"/>
      <protection locked="0"/>
    </xf>
    <xf numFmtId="0" fontId="107" fillId="2" borderId="2" xfId="2" applyFont="1" applyFill="1" applyBorder="1" applyAlignment="1">
      <alignment horizontal="center" vertical="center"/>
    </xf>
    <xf numFmtId="0" fontId="107" fillId="2" borderId="3" xfId="2" applyFont="1" applyFill="1" applyBorder="1" applyAlignment="1">
      <alignment horizontal="center" vertical="center"/>
    </xf>
    <xf numFmtId="0" fontId="107" fillId="2" borderId="251" xfId="2" applyFont="1" applyFill="1" applyBorder="1" applyAlignment="1">
      <alignment horizontal="center" vertical="center"/>
    </xf>
    <xf numFmtId="0" fontId="107" fillId="2" borderId="6" xfId="2" applyFont="1" applyFill="1" applyBorder="1" applyAlignment="1">
      <alignment horizontal="center" vertical="center"/>
    </xf>
    <xf numFmtId="166" fontId="10" fillId="0" borderId="0" xfId="0" applyNumberFormat="1" applyFont="1" applyAlignment="1">
      <alignment horizontal="left" vertical="center"/>
    </xf>
    <xf numFmtId="0" fontId="75" fillId="0" borderId="127" xfId="0" applyFont="1" applyBorder="1" applyAlignment="1">
      <alignment horizontal="center"/>
    </xf>
    <xf numFmtId="0" fontId="75" fillId="0" borderId="126" xfId="0" applyFont="1" applyBorder="1" applyAlignment="1">
      <alignment horizontal="center"/>
    </xf>
    <xf numFmtId="0" fontId="75" fillId="0" borderId="125" xfId="0" applyFont="1" applyBorder="1" applyAlignment="1">
      <alignment horizontal="center"/>
    </xf>
    <xf numFmtId="0" fontId="80" fillId="0" borderId="110" xfId="2" applyFont="1" applyBorder="1" applyAlignment="1">
      <alignment horizontal="center"/>
    </xf>
    <xf numFmtId="0" fontId="80" fillId="0" borderId="117" xfId="2" applyFont="1" applyBorder="1" applyAlignment="1">
      <alignment horizontal="center"/>
    </xf>
    <xf numFmtId="0" fontId="80" fillId="0" borderId="128" xfId="2" applyFont="1" applyBorder="1" applyAlignment="1">
      <alignment horizontal="center"/>
    </xf>
    <xf numFmtId="0" fontId="63" fillId="0" borderId="102" xfId="16222" applyFont="1" applyBorder="1" applyAlignment="1">
      <alignment horizontal="center"/>
    </xf>
    <xf numFmtId="0" fontId="11" fillId="0" borderId="102" xfId="2" applyFont="1" applyBorder="1" applyAlignment="1">
      <alignment horizontal="center"/>
    </xf>
    <xf numFmtId="0" fontId="10" fillId="0" borderId="102" xfId="2" applyFont="1" applyBorder="1" applyAlignment="1">
      <alignment horizontal="center"/>
    </xf>
    <xf numFmtId="0" fontId="18" fillId="0" borderId="127" xfId="0" applyFont="1" applyBorder="1" applyAlignment="1">
      <alignment horizontal="center"/>
    </xf>
    <xf numFmtId="0" fontId="18" fillId="0" borderId="126" xfId="0" applyFont="1" applyBorder="1" applyAlignment="1">
      <alignment horizontal="center"/>
    </xf>
    <xf numFmtId="0" fontId="18" fillId="0" borderId="125" xfId="0" applyFont="1" applyBorder="1" applyAlignment="1">
      <alignment horizontal="center"/>
    </xf>
    <xf numFmtId="166" fontId="14" fillId="0" borderId="0" xfId="2" applyNumberFormat="1" applyFont="1" applyAlignment="1">
      <alignment horizontal="center"/>
    </xf>
    <xf numFmtId="0" fontId="63" fillId="28" borderId="151" xfId="16222" applyFont="1" applyFill="1" applyBorder="1" applyAlignment="1">
      <alignment horizontal="center"/>
    </xf>
    <xf numFmtId="0" fontId="63" fillId="28" borderId="152" xfId="16222" applyFont="1" applyFill="1" applyBorder="1" applyAlignment="1">
      <alignment horizontal="center"/>
    </xf>
    <xf numFmtId="1" fontId="11" fillId="0" borderId="294" xfId="2" applyNumberFormat="1" applyFont="1" applyBorder="1" applyAlignment="1">
      <alignment horizontal="center" vertical="center"/>
    </xf>
    <xf numFmtId="1" fontId="11" fillId="0" borderId="0" xfId="2" applyNumberFormat="1" applyFont="1" applyAlignment="1">
      <alignment horizontal="center" vertical="center"/>
    </xf>
    <xf numFmtId="1" fontId="11" fillId="0" borderId="1" xfId="2" applyNumberFormat="1" applyFont="1" applyBorder="1" applyAlignment="1">
      <alignment horizontal="center" vertical="center"/>
    </xf>
    <xf numFmtId="0" fontId="11" fillId="0" borderId="2" xfId="2" applyFont="1" applyBorder="1" applyAlignment="1">
      <alignment horizontal="center" vertical="center"/>
    </xf>
    <xf numFmtId="0" fontId="11" fillId="0" borderId="3" xfId="2" applyFont="1" applyBorder="1" applyAlignment="1">
      <alignment horizontal="center" vertical="center"/>
    </xf>
    <xf numFmtId="0" fontId="11" fillId="0" borderId="4" xfId="2" applyFont="1" applyBorder="1" applyAlignment="1">
      <alignment horizontal="center" vertical="center"/>
    </xf>
    <xf numFmtId="0" fontId="11" fillId="0" borderId="5" xfId="2" applyFont="1" applyBorder="1" applyAlignment="1">
      <alignment horizontal="center" vertical="center"/>
    </xf>
    <xf numFmtId="0" fontId="11" fillId="0" borderId="6" xfId="2" applyFont="1" applyBorder="1" applyAlignment="1">
      <alignment horizontal="center" vertical="center"/>
    </xf>
    <xf numFmtId="0" fontId="11" fillId="0" borderId="1" xfId="2" applyFont="1" applyBorder="1" applyAlignment="1">
      <alignment horizontal="center" vertical="center"/>
    </xf>
    <xf numFmtId="170" fontId="51" fillId="0" borderId="334" xfId="1" applyNumberFormat="1" applyFont="1" applyFill="1" applyBorder="1" applyAlignment="1" applyProtection="1">
      <alignment vertical="center" wrapText="1"/>
    </xf>
    <xf numFmtId="1" fontId="10" fillId="27" borderId="337" xfId="2" applyNumberFormat="1" applyFont="1" applyFill="1" applyBorder="1"/>
    <xf numFmtId="1" fontId="10" fillId="27" borderId="338" xfId="2" applyNumberFormat="1" applyFont="1" applyFill="1" applyBorder="1"/>
    <xf numFmtId="1" fontId="10" fillId="27" borderId="324" xfId="2" applyNumberFormat="1" applyFont="1" applyFill="1" applyBorder="1"/>
    <xf numFmtId="1" fontId="10" fillId="27" borderId="295" xfId="2" applyNumberFormat="1" applyFont="1" applyFill="1" applyBorder="1"/>
  </cellXfs>
  <cellStyles count="16225">
    <cellStyle name="20% - Akzent1" xfId="4" xr:uid="{00000000-0005-0000-0000-000000000000}"/>
    <cellStyle name="20% - Akzent2" xfId="5" xr:uid="{00000000-0005-0000-0000-000001000000}"/>
    <cellStyle name="20% - Akzent3" xfId="6" xr:uid="{00000000-0005-0000-0000-000002000000}"/>
    <cellStyle name="20% - Akzent4" xfId="7" xr:uid="{00000000-0005-0000-0000-000003000000}"/>
    <cellStyle name="20% - Akzent5" xfId="8" xr:uid="{00000000-0005-0000-0000-000004000000}"/>
    <cellStyle name="20% - Akzent6" xfId="9" xr:uid="{00000000-0005-0000-0000-000005000000}"/>
    <cellStyle name="40% - Akzent1" xfId="10" xr:uid="{00000000-0005-0000-0000-000006000000}"/>
    <cellStyle name="40% - Akzent2" xfId="11" xr:uid="{00000000-0005-0000-0000-000007000000}"/>
    <cellStyle name="40% - Akzent3" xfId="12" xr:uid="{00000000-0005-0000-0000-000008000000}"/>
    <cellStyle name="40% - Akzent4" xfId="13" xr:uid="{00000000-0005-0000-0000-000009000000}"/>
    <cellStyle name="40% - Akzent5" xfId="14" xr:uid="{00000000-0005-0000-0000-00000A000000}"/>
    <cellStyle name="40% - Akzent6" xfId="15" xr:uid="{00000000-0005-0000-0000-00000B000000}"/>
    <cellStyle name="60% - Akzent1" xfId="16" xr:uid="{00000000-0005-0000-0000-00000C000000}"/>
    <cellStyle name="60% - Akzent2" xfId="17" xr:uid="{00000000-0005-0000-0000-00000D000000}"/>
    <cellStyle name="60% - Akzent3" xfId="18" xr:uid="{00000000-0005-0000-0000-00000E000000}"/>
    <cellStyle name="60% - Akzent4" xfId="19" xr:uid="{00000000-0005-0000-0000-00000F000000}"/>
    <cellStyle name="60% - Akzent5" xfId="20" xr:uid="{00000000-0005-0000-0000-000010000000}"/>
    <cellStyle name="60% - Akzent6" xfId="21" xr:uid="{00000000-0005-0000-0000-000011000000}"/>
    <cellStyle name="Akzent1" xfId="22" xr:uid="{00000000-0005-0000-0000-000012000000}"/>
    <cellStyle name="Akzent2" xfId="23" xr:uid="{00000000-0005-0000-0000-000013000000}"/>
    <cellStyle name="Akzent3" xfId="24" xr:uid="{00000000-0005-0000-0000-000014000000}"/>
    <cellStyle name="Akzent4" xfId="25" xr:uid="{00000000-0005-0000-0000-000015000000}"/>
    <cellStyle name="Akzent5" xfId="26" xr:uid="{00000000-0005-0000-0000-000016000000}"/>
    <cellStyle name="Akzent6" xfId="27" xr:uid="{00000000-0005-0000-0000-000017000000}"/>
    <cellStyle name="Ausgabe" xfId="28" xr:uid="{00000000-0005-0000-0000-000018000000}"/>
    <cellStyle name="Berechnung" xfId="29" xr:uid="{00000000-0005-0000-0000-000019000000}"/>
    <cellStyle name="Comma" xfId="1" builtinId="3"/>
    <cellStyle name="Comma 10" xfId="30" xr:uid="{00000000-0005-0000-0000-00001B000000}"/>
    <cellStyle name="Comma 10 2" xfId="31" xr:uid="{00000000-0005-0000-0000-00001C000000}"/>
    <cellStyle name="Comma 10 3" xfId="32" xr:uid="{00000000-0005-0000-0000-00001D000000}"/>
    <cellStyle name="Comma 10 3 2" xfId="33" xr:uid="{00000000-0005-0000-0000-00001E000000}"/>
    <cellStyle name="Comma 10 3 3" xfId="34" xr:uid="{00000000-0005-0000-0000-00001F000000}"/>
    <cellStyle name="Comma 10 4" xfId="35" xr:uid="{00000000-0005-0000-0000-000020000000}"/>
    <cellStyle name="Comma 10 5" xfId="36" xr:uid="{00000000-0005-0000-0000-000021000000}"/>
    <cellStyle name="Comma 10 6" xfId="37" xr:uid="{00000000-0005-0000-0000-000022000000}"/>
    <cellStyle name="Comma 10 7" xfId="38" xr:uid="{00000000-0005-0000-0000-000023000000}"/>
    <cellStyle name="Comma 11" xfId="39" xr:uid="{00000000-0005-0000-0000-000024000000}"/>
    <cellStyle name="Comma 11 2" xfId="40" xr:uid="{00000000-0005-0000-0000-000025000000}"/>
    <cellStyle name="Comma 11 2 2" xfId="41" xr:uid="{00000000-0005-0000-0000-000026000000}"/>
    <cellStyle name="Comma 11 2 2 2" xfId="42" xr:uid="{00000000-0005-0000-0000-000027000000}"/>
    <cellStyle name="Comma 11 2 2 2 2" xfId="43" xr:uid="{00000000-0005-0000-0000-000028000000}"/>
    <cellStyle name="Comma 11 2 3" xfId="44" xr:uid="{00000000-0005-0000-0000-000029000000}"/>
    <cellStyle name="Comma 11 2 4" xfId="45" xr:uid="{00000000-0005-0000-0000-00002A000000}"/>
    <cellStyle name="Comma 11 3" xfId="46" xr:uid="{00000000-0005-0000-0000-00002B000000}"/>
    <cellStyle name="Comma 11 4" xfId="47" xr:uid="{00000000-0005-0000-0000-00002C000000}"/>
    <cellStyle name="Comma 12" xfId="48" xr:uid="{00000000-0005-0000-0000-00002D000000}"/>
    <cellStyle name="Comma 12 2" xfId="49" xr:uid="{00000000-0005-0000-0000-00002E000000}"/>
    <cellStyle name="Comma 12 2 10" xfId="50" xr:uid="{00000000-0005-0000-0000-00002F000000}"/>
    <cellStyle name="Comma 12 2 11" xfId="51" xr:uid="{00000000-0005-0000-0000-000030000000}"/>
    <cellStyle name="Comma 12 2 12" xfId="52" xr:uid="{00000000-0005-0000-0000-000031000000}"/>
    <cellStyle name="Comma 12 2 2" xfId="53" xr:uid="{00000000-0005-0000-0000-000032000000}"/>
    <cellStyle name="Comma 12 2 3" xfId="54" xr:uid="{00000000-0005-0000-0000-000033000000}"/>
    <cellStyle name="Comma 12 2 4" xfId="55" xr:uid="{00000000-0005-0000-0000-000034000000}"/>
    <cellStyle name="Comma 12 2 5" xfId="56" xr:uid="{00000000-0005-0000-0000-000035000000}"/>
    <cellStyle name="Comma 12 2 6" xfId="57" xr:uid="{00000000-0005-0000-0000-000036000000}"/>
    <cellStyle name="Comma 12 2 7" xfId="58" xr:uid="{00000000-0005-0000-0000-000037000000}"/>
    <cellStyle name="Comma 12 2 8" xfId="59" xr:uid="{00000000-0005-0000-0000-000038000000}"/>
    <cellStyle name="Comma 12 2 9" xfId="60" xr:uid="{00000000-0005-0000-0000-000039000000}"/>
    <cellStyle name="Comma 13" xfId="61" xr:uid="{00000000-0005-0000-0000-00003A000000}"/>
    <cellStyle name="Comma 13 2" xfId="62" xr:uid="{00000000-0005-0000-0000-00003B000000}"/>
    <cellStyle name="Comma 13 2 2" xfId="63" xr:uid="{00000000-0005-0000-0000-00003C000000}"/>
    <cellStyle name="Comma 13 2 2 2" xfId="64" xr:uid="{00000000-0005-0000-0000-00003D000000}"/>
    <cellStyle name="Comma 13 2 2 2 2" xfId="65" xr:uid="{00000000-0005-0000-0000-00003E000000}"/>
    <cellStyle name="Comma 13 2 3" xfId="66" xr:uid="{00000000-0005-0000-0000-00003F000000}"/>
    <cellStyle name="Comma 13 2 4" xfId="67" xr:uid="{00000000-0005-0000-0000-000040000000}"/>
    <cellStyle name="Comma 13 3" xfId="68" xr:uid="{00000000-0005-0000-0000-000041000000}"/>
    <cellStyle name="Comma 13 4" xfId="69" xr:uid="{00000000-0005-0000-0000-000042000000}"/>
    <cellStyle name="Comma 13 5" xfId="70" xr:uid="{00000000-0005-0000-0000-000043000000}"/>
    <cellStyle name="Comma 13 6" xfId="71" xr:uid="{00000000-0005-0000-0000-000044000000}"/>
    <cellStyle name="Comma 14" xfId="72" xr:uid="{00000000-0005-0000-0000-000045000000}"/>
    <cellStyle name="Comma 14 2" xfId="73" xr:uid="{00000000-0005-0000-0000-000046000000}"/>
    <cellStyle name="Comma 14 2 10" xfId="74" xr:uid="{00000000-0005-0000-0000-000047000000}"/>
    <cellStyle name="Comma 14 2 11" xfId="75" xr:uid="{00000000-0005-0000-0000-000048000000}"/>
    <cellStyle name="Comma 14 2 12" xfId="76" xr:uid="{00000000-0005-0000-0000-000049000000}"/>
    <cellStyle name="Comma 14 2 2" xfId="77" xr:uid="{00000000-0005-0000-0000-00004A000000}"/>
    <cellStyle name="Comma 14 2 3" xfId="78" xr:uid="{00000000-0005-0000-0000-00004B000000}"/>
    <cellStyle name="Comma 14 2 4" xfId="79" xr:uid="{00000000-0005-0000-0000-00004C000000}"/>
    <cellStyle name="Comma 14 2 5" xfId="80" xr:uid="{00000000-0005-0000-0000-00004D000000}"/>
    <cellStyle name="Comma 14 2 6" xfId="81" xr:uid="{00000000-0005-0000-0000-00004E000000}"/>
    <cellStyle name="Comma 14 2 7" xfId="82" xr:uid="{00000000-0005-0000-0000-00004F000000}"/>
    <cellStyle name="Comma 14 2 8" xfId="83" xr:uid="{00000000-0005-0000-0000-000050000000}"/>
    <cellStyle name="Comma 14 2 9" xfId="84" xr:uid="{00000000-0005-0000-0000-000051000000}"/>
    <cellStyle name="Comma 15" xfId="85" xr:uid="{00000000-0005-0000-0000-000052000000}"/>
    <cellStyle name="Comma 15 10" xfId="86" xr:uid="{00000000-0005-0000-0000-000053000000}"/>
    <cellStyle name="Comma 15 11" xfId="87" xr:uid="{00000000-0005-0000-0000-000054000000}"/>
    <cellStyle name="Comma 15 12" xfId="88" xr:uid="{00000000-0005-0000-0000-000055000000}"/>
    <cellStyle name="Comma 15 2" xfId="89" xr:uid="{00000000-0005-0000-0000-000056000000}"/>
    <cellStyle name="Comma 15 2 10" xfId="90" xr:uid="{00000000-0005-0000-0000-000057000000}"/>
    <cellStyle name="Comma 15 2 11" xfId="91" xr:uid="{00000000-0005-0000-0000-000058000000}"/>
    <cellStyle name="Comma 15 2 2" xfId="92" xr:uid="{00000000-0005-0000-0000-000059000000}"/>
    <cellStyle name="Comma 15 2 3" xfId="93" xr:uid="{00000000-0005-0000-0000-00005A000000}"/>
    <cellStyle name="Comma 15 2 4" xfId="94" xr:uid="{00000000-0005-0000-0000-00005B000000}"/>
    <cellStyle name="Comma 15 2 5" xfId="95" xr:uid="{00000000-0005-0000-0000-00005C000000}"/>
    <cellStyle name="Comma 15 2 6" xfId="96" xr:uid="{00000000-0005-0000-0000-00005D000000}"/>
    <cellStyle name="Comma 15 2 7" xfId="97" xr:uid="{00000000-0005-0000-0000-00005E000000}"/>
    <cellStyle name="Comma 15 2 8" xfId="98" xr:uid="{00000000-0005-0000-0000-00005F000000}"/>
    <cellStyle name="Comma 15 2 9" xfId="99" xr:uid="{00000000-0005-0000-0000-000060000000}"/>
    <cellStyle name="Comma 15 3" xfId="100" xr:uid="{00000000-0005-0000-0000-000061000000}"/>
    <cellStyle name="Comma 15 3 10" xfId="101" xr:uid="{00000000-0005-0000-0000-000062000000}"/>
    <cellStyle name="Comma 15 3 11" xfId="102" xr:uid="{00000000-0005-0000-0000-000063000000}"/>
    <cellStyle name="Comma 15 3 2" xfId="103" xr:uid="{00000000-0005-0000-0000-000064000000}"/>
    <cellStyle name="Comma 15 3 3" xfId="104" xr:uid="{00000000-0005-0000-0000-000065000000}"/>
    <cellStyle name="Comma 15 3 4" xfId="105" xr:uid="{00000000-0005-0000-0000-000066000000}"/>
    <cellStyle name="Comma 15 3 5" xfId="106" xr:uid="{00000000-0005-0000-0000-000067000000}"/>
    <cellStyle name="Comma 15 3 6" xfId="107" xr:uid="{00000000-0005-0000-0000-000068000000}"/>
    <cellStyle name="Comma 15 3 7" xfId="108" xr:uid="{00000000-0005-0000-0000-000069000000}"/>
    <cellStyle name="Comma 15 3 8" xfId="109" xr:uid="{00000000-0005-0000-0000-00006A000000}"/>
    <cellStyle name="Comma 15 3 9" xfId="110" xr:uid="{00000000-0005-0000-0000-00006B000000}"/>
    <cellStyle name="Comma 15 4" xfId="111" xr:uid="{00000000-0005-0000-0000-00006C000000}"/>
    <cellStyle name="Comma 15 5" xfId="112" xr:uid="{00000000-0005-0000-0000-00006D000000}"/>
    <cellStyle name="Comma 15 6" xfId="113" xr:uid="{00000000-0005-0000-0000-00006E000000}"/>
    <cellStyle name="Comma 15 7" xfId="114" xr:uid="{00000000-0005-0000-0000-00006F000000}"/>
    <cellStyle name="Comma 15 8" xfId="115" xr:uid="{00000000-0005-0000-0000-000070000000}"/>
    <cellStyle name="Comma 15 9" xfId="116" xr:uid="{00000000-0005-0000-0000-000071000000}"/>
    <cellStyle name="Comma 16" xfId="117" xr:uid="{00000000-0005-0000-0000-000072000000}"/>
    <cellStyle name="Comma 16 2" xfId="118" xr:uid="{00000000-0005-0000-0000-000073000000}"/>
    <cellStyle name="Comma 17" xfId="119" xr:uid="{00000000-0005-0000-0000-000074000000}"/>
    <cellStyle name="Comma 17 2" xfId="120" xr:uid="{00000000-0005-0000-0000-000075000000}"/>
    <cellStyle name="Comma 18" xfId="121" xr:uid="{00000000-0005-0000-0000-000076000000}"/>
    <cellStyle name="Comma 19" xfId="122" xr:uid="{00000000-0005-0000-0000-000077000000}"/>
    <cellStyle name="Comma 2" xfId="123" xr:uid="{00000000-0005-0000-0000-000078000000}"/>
    <cellStyle name="Comma 2 10" xfId="124" xr:uid="{00000000-0005-0000-0000-000079000000}"/>
    <cellStyle name="Comma 2 11" xfId="125" xr:uid="{00000000-0005-0000-0000-00007A000000}"/>
    <cellStyle name="Comma 2 12" xfId="126" xr:uid="{00000000-0005-0000-0000-00007B000000}"/>
    <cellStyle name="Comma 2 12 10" xfId="127" xr:uid="{00000000-0005-0000-0000-00007C000000}"/>
    <cellStyle name="Comma 2 12 10 2" xfId="128" xr:uid="{00000000-0005-0000-0000-00007D000000}"/>
    <cellStyle name="Comma 2 12 10 3" xfId="129" xr:uid="{00000000-0005-0000-0000-00007E000000}"/>
    <cellStyle name="Comma 2 12 11" xfId="130" xr:uid="{00000000-0005-0000-0000-00007F000000}"/>
    <cellStyle name="Comma 2 12 11 2" xfId="131" xr:uid="{00000000-0005-0000-0000-000080000000}"/>
    <cellStyle name="Comma 2 12 11 3" xfId="132" xr:uid="{00000000-0005-0000-0000-000081000000}"/>
    <cellStyle name="Comma 2 12 11 4" xfId="133" xr:uid="{00000000-0005-0000-0000-000082000000}"/>
    <cellStyle name="Comma 2 12 11 5" xfId="134" xr:uid="{00000000-0005-0000-0000-000083000000}"/>
    <cellStyle name="Comma 2 12 11 6" xfId="135" xr:uid="{00000000-0005-0000-0000-000084000000}"/>
    <cellStyle name="Comma 2 12 11 7" xfId="136" xr:uid="{00000000-0005-0000-0000-000085000000}"/>
    <cellStyle name="Comma 2 12 11 8" xfId="137" xr:uid="{00000000-0005-0000-0000-000086000000}"/>
    <cellStyle name="Comma 2 12 11 9" xfId="138" xr:uid="{00000000-0005-0000-0000-000087000000}"/>
    <cellStyle name="Comma 2 12 12" xfId="139" xr:uid="{00000000-0005-0000-0000-000088000000}"/>
    <cellStyle name="Comma 2 12 12 2" xfId="140" xr:uid="{00000000-0005-0000-0000-000089000000}"/>
    <cellStyle name="Comma 2 12 12 3" xfId="141" xr:uid="{00000000-0005-0000-0000-00008A000000}"/>
    <cellStyle name="Comma 2 12 12 4" xfId="142" xr:uid="{00000000-0005-0000-0000-00008B000000}"/>
    <cellStyle name="Comma 2 12 12 5" xfId="143" xr:uid="{00000000-0005-0000-0000-00008C000000}"/>
    <cellStyle name="Comma 2 12 12 6" xfId="144" xr:uid="{00000000-0005-0000-0000-00008D000000}"/>
    <cellStyle name="Comma 2 12 12 7" xfId="145" xr:uid="{00000000-0005-0000-0000-00008E000000}"/>
    <cellStyle name="Comma 2 12 12 8" xfId="146" xr:uid="{00000000-0005-0000-0000-00008F000000}"/>
    <cellStyle name="Comma 2 12 13" xfId="147" xr:uid="{00000000-0005-0000-0000-000090000000}"/>
    <cellStyle name="Comma 2 12 13 2" xfId="148" xr:uid="{00000000-0005-0000-0000-000091000000}"/>
    <cellStyle name="Comma 2 12 13 3" xfId="149" xr:uid="{00000000-0005-0000-0000-000092000000}"/>
    <cellStyle name="Comma 2 12 13 4" xfId="150" xr:uid="{00000000-0005-0000-0000-000093000000}"/>
    <cellStyle name="Comma 2 12 13 5" xfId="151" xr:uid="{00000000-0005-0000-0000-000094000000}"/>
    <cellStyle name="Comma 2 12 13 6" xfId="152" xr:uid="{00000000-0005-0000-0000-000095000000}"/>
    <cellStyle name="Comma 2 12 13 7" xfId="153" xr:uid="{00000000-0005-0000-0000-000096000000}"/>
    <cellStyle name="Comma 2 12 13 8" xfId="154" xr:uid="{00000000-0005-0000-0000-000097000000}"/>
    <cellStyle name="Comma 2 12 14" xfId="155" xr:uid="{00000000-0005-0000-0000-000098000000}"/>
    <cellStyle name="Comma 2 12 14 2" xfId="156" xr:uid="{00000000-0005-0000-0000-000099000000}"/>
    <cellStyle name="Comma 2 12 14 3" xfId="157" xr:uid="{00000000-0005-0000-0000-00009A000000}"/>
    <cellStyle name="Comma 2 12 14 4" xfId="158" xr:uid="{00000000-0005-0000-0000-00009B000000}"/>
    <cellStyle name="Comma 2 12 14 5" xfId="159" xr:uid="{00000000-0005-0000-0000-00009C000000}"/>
    <cellStyle name="Comma 2 12 14 6" xfId="160" xr:uid="{00000000-0005-0000-0000-00009D000000}"/>
    <cellStyle name="Comma 2 12 14 7" xfId="161" xr:uid="{00000000-0005-0000-0000-00009E000000}"/>
    <cellStyle name="Comma 2 12 14 8" xfId="162" xr:uid="{00000000-0005-0000-0000-00009F000000}"/>
    <cellStyle name="Comma 2 12 15" xfId="163" xr:uid="{00000000-0005-0000-0000-0000A0000000}"/>
    <cellStyle name="Comma 2 12 15 2" xfId="164" xr:uid="{00000000-0005-0000-0000-0000A1000000}"/>
    <cellStyle name="Comma 2 12 15 3" xfId="165" xr:uid="{00000000-0005-0000-0000-0000A2000000}"/>
    <cellStyle name="Comma 2 12 15 4" xfId="166" xr:uid="{00000000-0005-0000-0000-0000A3000000}"/>
    <cellStyle name="Comma 2 12 15 5" xfId="167" xr:uid="{00000000-0005-0000-0000-0000A4000000}"/>
    <cellStyle name="Comma 2 12 15 6" xfId="168" xr:uid="{00000000-0005-0000-0000-0000A5000000}"/>
    <cellStyle name="Comma 2 12 15 7" xfId="169" xr:uid="{00000000-0005-0000-0000-0000A6000000}"/>
    <cellStyle name="Comma 2 12 15 8" xfId="170" xr:uid="{00000000-0005-0000-0000-0000A7000000}"/>
    <cellStyle name="Comma 2 12 16" xfId="171" xr:uid="{00000000-0005-0000-0000-0000A8000000}"/>
    <cellStyle name="Comma 2 12 2" xfId="172" xr:uid="{00000000-0005-0000-0000-0000A9000000}"/>
    <cellStyle name="Comma 2 12 2 10" xfId="173" xr:uid="{00000000-0005-0000-0000-0000AA000000}"/>
    <cellStyle name="Comma 2 12 2 11" xfId="174" xr:uid="{00000000-0005-0000-0000-0000AB000000}"/>
    <cellStyle name="Comma 2 12 2 12" xfId="175" xr:uid="{00000000-0005-0000-0000-0000AC000000}"/>
    <cellStyle name="Comma 2 12 2 13" xfId="176" xr:uid="{00000000-0005-0000-0000-0000AD000000}"/>
    <cellStyle name="Comma 2 12 2 13 2" xfId="177" xr:uid="{00000000-0005-0000-0000-0000AE000000}"/>
    <cellStyle name="Comma 2 12 2 14" xfId="178" xr:uid="{00000000-0005-0000-0000-0000AF000000}"/>
    <cellStyle name="Comma 2 12 2 15" xfId="179" xr:uid="{00000000-0005-0000-0000-0000B0000000}"/>
    <cellStyle name="Comma 2 12 2 16" xfId="180" xr:uid="{00000000-0005-0000-0000-0000B1000000}"/>
    <cellStyle name="Comma 2 12 2 17" xfId="181" xr:uid="{00000000-0005-0000-0000-0000B2000000}"/>
    <cellStyle name="Comma 2 12 2 18" xfId="182" xr:uid="{00000000-0005-0000-0000-0000B3000000}"/>
    <cellStyle name="Comma 2 12 2 19" xfId="183" xr:uid="{00000000-0005-0000-0000-0000B4000000}"/>
    <cellStyle name="Comma 2 12 2 2" xfId="184" xr:uid="{00000000-0005-0000-0000-0000B5000000}"/>
    <cellStyle name="Comma 2 12 2 2 2" xfId="185" xr:uid="{00000000-0005-0000-0000-0000B6000000}"/>
    <cellStyle name="Comma 2 12 2 2 2 10" xfId="186" xr:uid="{00000000-0005-0000-0000-0000B7000000}"/>
    <cellStyle name="Comma 2 12 2 2 2 11" xfId="187" xr:uid="{00000000-0005-0000-0000-0000B8000000}"/>
    <cellStyle name="Comma 2 12 2 2 2 12" xfId="188" xr:uid="{00000000-0005-0000-0000-0000B9000000}"/>
    <cellStyle name="Comma 2 12 2 2 2 13" xfId="189" xr:uid="{00000000-0005-0000-0000-0000BA000000}"/>
    <cellStyle name="Comma 2 12 2 2 2 2" xfId="190" xr:uid="{00000000-0005-0000-0000-0000BB000000}"/>
    <cellStyle name="Comma 2 12 2 2 2 2 2" xfId="191" xr:uid="{00000000-0005-0000-0000-0000BC000000}"/>
    <cellStyle name="Comma 2 12 2 2 2 2 2 2" xfId="192" xr:uid="{00000000-0005-0000-0000-0000BD000000}"/>
    <cellStyle name="Comma 2 12 2 2 2 2 2 3" xfId="193" xr:uid="{00000000-0005-0000-0000-0000BE000000}"/>
    <cellStyle name="Comma 2 12 2 2 2 2 3" xfId="194" xr:uid="{00000000-0005-0000-0000-0000BF000000}"/>
    <cellStyle name="Comma 2 12 2 2 2 3" xfId="195" xr:uid="{00000000-0005-0000-0000-0000C0000000}"/>
    <cellStyle name="Comma 2 12 2 2 2 4" xfId="196" xr:uid="{00000000-0005-0000-0000-0000C1000000}"/>
    <cellStyle name="Comma 2 12 2 2 2 5" xfId="197" xr:uid="{00000000-0005-0000-0000-0000C2000000}"/>
    <cellStyle name="Comma 2 12 2 2 2 6" xfId="198" xr:uid="{00000000-0005-0000-0000-0000C3000000}"/>
    <cellStyle name="Comma 2 12 2 2 2 7" xfId="199" xr:uid="{00000000-0005-0000-0000-0000C4000000}"/>
    <cellStyle name="Comma 2 12 2 2 2 8" xfId="200" xr:uid="{00000000-0005-0000-0000-0000C5000000}"/>
    <cellStyle name="Comma 2 12 2 2 2 9" xfId="201" xr:uid="{00000000-0005-0000-0000-0000C6000000}"/>
    <cellStyle name="Comma 2 12 2 2 3" xfId="202" xr:uid="{00000000-0005-0000-0000-0000C7000000}"/>
    <cellStyle name="Comma 2 12 2 2 3 10" xfId="203" xr:uid="{00000000-0005-0000-0000-0000C8000000}"/>
    <cellStyle name="Comma 2 12 2 2 3 11" xfId="204" xr:uid="{00000000-0005-0000-0000-0000C9000000}"/>
    <cellStyle name="Comma 2 12 2 2 3 2" xfId="205" xr:uid="{00000000-0005-0000-0000-0000CA000000}"/>
    <cellStyle name="Comma 2 12 2 2 3 3" xfId="206" xr:uid="{00000000-0005-0000-0000-0000CB000000}"/>
    <cellStyle name="Comma 2 12 2 2 3 4" xfId="207" xr:uid="{00000000-0005-0000-0000-0000CC000000}"/>
    <cellStyle name="Comma 2 12 2 2 3 5" xfId="208" xr:uid="{00000000-0005-0000-0000-0000CD000000}"/>
    <cellStyle name="Comma 2 12 2 2 3 6" xfId="209" xr:uid="{00000000-0005-0000-0000-0000CE000000}"/>
    <cellStyle name="Comma 2 12 2 2 3 7" xfId="210" xr:uid="{00000000-0005-0000-0000-0000CF000000}"/>
    <cellStyle name="Comma 2 12 2 2 3 8" xfId="211" xr:uid="{00000000-0005-0000-0000-0000D0000000}"/>
    <cellStyle name="Comma 2 12 2 2 3 9" xfId="212" xr:uid="{00000000-0005-0000-0000-0000D1000000}"/>
    <cellStyle name="Comma 2 12 2 2 4" xfId="213" xr:uid="{00000000-0005-0000-0000-0000D2000000}"/>
    <cellStyle name="Comma 2 12 2 3" xfId="214" xr:uid="{00000000-0005-0000-0000-0000D3000000}"/>
    <cellStyle name="Comma 2 12 2 4" xfId="215" xr:uid="{00000000-0005-0000-0000-0000D4000000}"/>
    <cellStyle name="Comma 2 12 2 5" xfId="216" xr:uid="{00000000-0005-0000-0000-0000D5000000}"/>
    <cellStyle name="Comma 2 12 2 6" xfId="217" xr:uid="{00000000-0005-0000-0000-0000D6000000}"/>
    <cellStyle name="Comma 2 12 2 7" xfId="218" xr:uid="{00000000-0005-0000-0000-0000D7000000}"/>
    <cellStyle name="Comma 2 12 2 8" xfId="219" xr:uid="{00000000-0005-0000-0000-0000D8000000}"/>
    <cellStyle name="Comma 2 12 2 9" xfId="220" xr:uid="{00000000-0005-0000-0000-0000D9000000}"/>
    <cellStyle name="Comma 2 12 3" xfId="221" xr:uid="{00000000-0005-0000-0000-0000DA000000}"/>
    <cellStyle name="Comma 2 12 3 10" xfId="222" xr:uid="{00000000-0005-0000-0000-0000DB000000}"/>
    <cellStyle name="Comma 2 12 3 10 2" xfId="223" xr:uid="{00000000-0005-0000-0000-0000DC000000}"/>
    <cellStyle name="Comma 2 12 3 11" xfId="224" xr:uid="{00000000-0005-0000-0000-0000DD000000}"/>
    <cellStyle name="Comma 2 12 3 12" xfId="225" xr:uid="{00000000-0005-0000-0000-0000DE000000}"/>
    <cellStyle name="Comma 2 12 3 13" xfId="226" xr:uid="{00000000-0005-0000-0000-0000DF000000}"/>
    <cellStyle name="Comma 2 12 3 14" xfId="227" xr:uid="{00000000-0005-0000-0000-0000E0000000}"/>
    <cellStyle name="Comma 2 12 3 15" xfId="228" xr:uid="{00000000-0005-0000-0000-0000E1000000}"/>
    <cellStyle name="Comma 2 12 3 16" xfId="229" xr:uid="{00000000-0005-0000-0000-0000E2000000}"/>
    <cellStyle name="Comma 2 12 3 2" xfId="230" xr:uid="{00000000-0005-0000-0000-0000E3000000}"/>
    <cellStyle name="Comma 2 12 3 3" xfId="231" xr:uid="{00000000-0005-0000-0000-0000E4000000}"/>
    <cellStyle name="Comma 2 12 3 4" xfId="232" xr:uid="{00000000-0005-0000-0000-0000E5000000}"/>
    <cellStyle name="Comma 2 12 3 5" xfId="233" xr:uid="{00000000-0005-0000-0000-0000E6000000}"/>
    <cellStyle name="Comma 2 12 3 6" xfId="234" xr:uid="{00000000-0005-0000-0000-0000E7000000}"/>
    <cellStyle name="Comma 2 12 3 7" xfId="235" xr:uid="{00000000-0005-0000-0000-0000E8000000}"/>
    <cellStyle name="Comma 2 12 3 8" xfId="236" xr:uid="{00000000-0005-0000-0000-0000E9000000}"/>
    <cellStyle name="Comma 2 12 3 9" xfId="237" xr:uid="{00000000-0005-0000-0000-0000EA000000}"/>
    <cellStyle name="Comma 2 12 4" xfId="238" xr:uid="{00000000-0005-0000-0000-0000EB000000}"/>
    <cellStyle name="Comma 2 12 4 10" xfId="239" xr:uid="{00000000-0005-0000-0000-0000EC000000}"/>
    <cellStyle name="Comma 2 12 4 11" xfId="240" xr:uid="{00000000-0005-0000-0000-0000ED000000}"/>
    <cellStyle name="Comma 2 12 4 12" xfId="241" xr:uid="{00000000-0005-0000-0000-0000EE000000}"/>
    <cellStyle name="Comma 2 12 4 13" xfId="242" xr:uid="{00000000-0005-0000-0000-0000EF000000}"/>
    <cellStyle name="Comma 2 12 4 14" xfId="243" xr:uid="{00000000-0005-0000-0000-0000F0000000}"/>
    <cellStyle name="Comma 2 12 4 15" xfId="244" xr:uid="{00000000-0005-0000-0000-0000F1000000}"/>
    <cellStyle name="Comma 2 12 4 2" xfId="245" xr:uid="{00000000-0005-0000-0000-0000F2000000}"/>
    <cellStyle name="Comma 2 12 4 3" xfId="246" xr:uid="{00000000-0005-0000-0000-0000F3000000}"/>
    <cellStyle name="Comma 2 12 4 4" xfId="247" xr:uid="{00000000-0005-0000-0000-0000F4000000}"/>
    <cellStyle name="Comma 2 12 4 5" xfId="248" xr:uid="{00000000-0005-0000-0000-0000F5000000}"/>
    <cellStyle name="Comma 2 12 4 6" xfId="249" xr:uid="{00000000-0005-0000-0000-0000F6000000}"/>
    <cellStyle name="Comma 2 12 4 7" xfId="250" xr:uid="{00000000-0005-0000-0000-0000F7000000}"/>
    <cellStyle name="Comma 2 12 4 8" xfId="251" xr:uid="{00000000-0005-0000-0000-0000F8000000}"/>
    <cellStyle name="Comma 2 12 4 9" xfId="252" xr:uid="{00000000-0005-0000-0000-0000F9000000}"/>
    <cellStyle name="Comma 2 12 4 9 2" xfId="253" xr:uid="{00000000-0005-0000-0000-0000FA000000}"/>
    <cellStyle name="Comma 2 12 5" xfId="254" xr:uid="{00000000-0005-0000-0000-0000FB000000}"/>
    <cellStyle name="Comma 2 12 5 10" xfId="255" xr:uid="{00000000-0005-0000-0000-0000FC000000}"/>
    <cellStyle name="Comma 2 12 5 11" xfId="256" xr:uid="{00000000-0005-0000-0000-0000FD000000}"/>
    <cellStyle name="Comma 2 12 5 12" xfId="257" xr:uid="{00000000-0005-0000-0000-0000FE000000}"/>
    <cellStyle name="Comma 2 12 5 13" xfId="258" xr:uid="{00000000-0005-0000-0000-0000FF000000}"/>
    <cellStyle name="Comma 2 12 5 14" xfId="259" xr:uid="{00000000-0005-0000-0000-000000010000}"/>
    <cellStyle name="Comma 2 12 5 2" xfId="260" xr:uid="{00000000-0005-0000-0000-000001010000}"/>
    <cellStyle name="Comma 2 12 5 3" xfId="261" xr:uid="{00000000-0005-0000-0000-000002010000}"/>
    <cellStyle name="Comma 2 12 5 4" xfId="262" xr:uid="{00000000-0005-0000-0000-000003010000}"/>
    <cellStyle name="Comma 2 12 5 5" xfId="263" xr:uid="{00000000-0005-0000-0000-000004010000}"/>
    <cellStyle name="Comma 2 12 5 6" xfId="264" xr:uid="{00000000-0005-0000-0000-000005010000}"/>
    <cellStyle name="Comma 2 12 5 7" xfId="265" xr:uid="{00000000-0005-0000-0000-000006010000}"/>
    <cellStyle name="Comma 2 12 5 8" xfId="266" xr:uid="{00000000-0005-0000-0000-000007010000}"/>
    <cellStyle name="Comma 2 12 5 8 2" xfId="267" xr:uid="{00000000-0005-0000-0000-000008010000}"/>
    <cellStyle name="Comma 2 12 5 9" xfId="268" xr:uid="{00000000-0005-0000-0000-000009010000}"/>
    <cellStyle name="Comma 2 12 6" xfId="269" xr:uid="{00000000-0005-0000-0000-00000A010000}"/>
    <cellStyle name="Comma 2 12 6 10" xfId="270" xr:uid="{00000000-0005-0000-0000-00000B010000}"/>
    <cellStyle name="Comma 2 12 6 11" xfId="271" xr:uid="{00000000-0005-0000-0000-00000C010000}"/>
    <cellStyle name="Comma 2 12 6 12" xfId="272" xr:uid="{00000000-0005-0000-0000-00000D010000}"/>
    <cellStyle name="Comma 2 12 6 13" xfId="273" xr:uid="{00000000-0005-0000-0000-00000E010000}"/>
    <cellStyle name="Comma 2 12 6 2" xfId="274" xr:uid="{00000000-0005-0000-0000-00000F010000}"/>
    <cellStyle name="Comma 2 12 6 3" xfId="275" xr:uid="{00000000-0005-0000-0000-000010010000}"/>
    <cellStyle name="Comma 2 12 6 4" xfId="276" xr:uid="{00000000-0005-0000-0000-000011010000}"/>
    <cellStyle name="Comma 2 12 6 5" xfId="277" xr:uid="{00000000-0005-0000-0000-000012010000}"/>
    <cellStyle name="Comma 2 12 6 6" xfId="278" xr:uid="{00000000-0005-0000-0000-000013010000}"/>
    <cellStyle name="Comma 2 12 6 7" xfId="279" xr:uid="{00000000-0005-0000-0000-000014010000}"/>
    <cellStyle name="Comma 2 12 6 7 2" xfId="280" xr:uid="{00000000-0005-0000-0000-000015010000}"/>
    <cellStyle name="Comma 2 12 6 8" xfId="281" xr:uid="{00000000-0005-0000-0000-000016010000}"/>
    <cellStyle name="Comma 2 12 6 9" xfId="282" xr:uid="{00000000-0005-0000-0000-000017010000}"/>
    <cellStyle name="Comma 2 12 7" xfId="283" xr:uid="{00000000-0005-0000-0000-000018010000}"/>
    <cellStyle name="Comma 2 12 8" xfId="284" xr:uid="{00000000-0005-0000-0000-000019010000}"/>
    <cellStyle name="Comma 2 12 9" xfId="285" xr:uid="{00000000-0005-0000-0000-00001A010000}"/>
    <cellStyle name="Comma 2 12 9 2" xfId="286" xr:uid="{00000000-0005-0000-0000-00001B010000}"/>
    <cellStyle name="Comma 2 12 9 3" xfId="287" xr:uid="{00000000-0005-0000-0000-00001C010000}"/>
    <cellStyle name="Comma 2 13" xfId="288" xr:uid="{00000000-0005-0000-0000-00001D010000}"/>
    <cellStyle name="Comma 2 13 10" xfId="289" xr:uid="{00000000-0005-0000-0000-00001E010000}"/>
    <cellStyle name="Comma 2 13 11" xfId="290" xr:uid="{00000000-0005-0000-0000-00001F010000}"/>
    <cellStyle name="Comma 2 13 2" xfId="291" xr:uid="{00000000-0005-0000-0000-000020010000}"/>
    <cellStyle name="Comma 2 13 2 10" xfId="292" xr:uid="{00000000-0005-0000-0000-000021010000}"/>
    <cellStyle name="Comma 2 13 2 11" xfId="293" xr:uid="{00000000-0005-0000-0000-000022010000}"/>
    <cellStyle name="Comma 2 13 2 12" xfId="294" xr:uid="{00000000-0005-0000-0000-000023010000}"/>
    <cellStyle name="Comma 2 13 2 13" xfId="295" xr:uid="{00000000-0005-0000-0000-000024010000}"/>
    <cellStyle name="Comma 2 13 2 2" xfId="296" xr:uid="{00000000-0005-0000-0000-000025010000}"/>
    <cellStyle name="Comma 2 13 2 3" xfId="297" xr:uid="{00000000-0005-0000-0000-000026010000}"/>
    <cellStyle name="Comma 2 13 2 4" xfId="298" xr:uid="{00000000-0005-0000-0000-000027010000}"/>
    <cellStyle name="Comma 2 13 2 5" xfId="299" xr:uid="{00000000-0005-0000-0000-000028010000}"/>
    <cellStyle name="Comma 2 13 2 6" xfId="300" xr:uid="{00000000-0005-0000-0000-000029010000}"/>
    <cellStyle name="Comma 2 13 2 6 2" xfId="301" xr:uid="{00000000-0005-0000-0000-00002A010000}"/>
    <cellStyle name="Comma 2 13 2 7" xfId="302" xr:uid="{00000000-0005-0000-0000-00002B010000}"/>
    <cellStyle name="Comma 2 13 2 8" xfId="303" xr:uid="{00000000-0005-0000-0000-00002C010000}"/>
    <cellStyle name="Comma 2 13 2 9" xfId="304" xr:uid="{00000000-0005-0000-0000-00002D010000}"/>
    <cellStyle name="Comma 2 13 3" xfId="305" xr:uid="{00000000-0005-0000-0000-00002E010000}"/>
    <cellStyle name="Comma 2 13 3 10" xfId="306" xr:uid="{00000000-0005-0000-0000-00002F010000}"/>
    <cellStyle name="Comma 2 13 3 11" xfId="307" xr:uid="{00000000-0005-0000-0000-000030010000}"/>
    <cellStyle name="Comma 2 13 3 12" xfId="308" xr:uid="{00000000-0005-0000-0000-000031010000}"/>
    <cellStyle name="Comma 2 13 3 2" xfId="309" xr:uid="{00000000-0005-0000-0000-000032010000}"/>
    <cellStyle name="Comma 2 13 3 3" xfId="310" xr:uid="{00000000-0005-0000-0000-000033010000}"/>
    <cellStyle name="Comma 2 13 3 4" xfId="311" xr:uid="{00000000-0005-0000-0000-000034010000}"/>
    <cellStyle name="Comma 2 13 3 5" xfId="312" xr:uid="{00000000-0005-0000-0000-000035010000}"/>
    <cellStyle name="Comma 2 13 3 6" xfId="313" xr:uid="{00000000-0005-0000-0000-000036010000}"/>
    <cellStyle name="Comma 2 13 3 6 2" xfId="314" xr:uid="{00000000-0005-0000-0000-000037010000}"/>
    <cellStyle name="Comma 2 13 3 7" xfId="315" xr:uid="{00000000-0005-0000-0000-000038010000}"/>
    <cellStyle name="Comma 2 13 3 8" xfId="316" xr:uid="{00000000-0005-0000-0000-000039010000}"/>
    <cellStyle name="Comma 2 13 3 9" xfId="317" xr:uid="{00000000-0005-0000-0000-00003A010000}"/>
    <cellStyle name="Comma 2 13 4" xfId="318" xr:uid="{00000000-0005-0000-0000-00003B010000}"/>
    <cellStyle name="Comma 2 13 4 10" xfId="319" xr:uid="{00000000-0005-0000-0000-00003C010000}"/>
    <cellStyle name="Comma 2 13 4 11" xfId="320" xr:uid="{00000000-0005-0000-0000-00003D010000}"/>
    <cellStyle name="Comma 2 13 4 12" xfId="321" xr:uid="{00000000-0005-0000-0000-00003E010000}"/>
    <cellStyle name="Comma 2 13 4 2" xfId="322" xr:uid="{00000000-0005-0000-0000-00003F010000}"/>
    <cellStyle name="Comma 2 13 4 3" xfId="323" xr:uid="{00000000-0005-0000-0000-000040010000}"/>
    <cellStyle name="Comma 2 13 4 4" xfId="324" xr:uid="{00000000-0005-0000-0000-000041010000}"/>
    <cellStyle name="Comma 2 13 4 5" xfId="325" xr:uid="{00000000-0005-0000-0000-000042010000}"/>
    <cellStyle name="Comma 2 13 4 6" xfId="326" xr:uid="{00000000-0005-0000-0000-000043010000}"/>
    <cellStyle name="Comma 2 13 4 6 2" xfId="327" xr:uid="{00000000-0005-0000-0000-000044010000}"/>
    <cellStyle name="Comma 2 13 4 7" xfId="328" xr:uid="{00000000-0005-0000-0000-000045010000}"/>
    <cellStyle name="Comma 2 13 4 8" xfId="329" xr:uid="{00000000-0005-0000-0000-000046010000}"/>
    <cellStyle name="Comma 2 13 4 9" xfId="330" xr:uid="{00000000-0005-0000-0000-000047010000}"/>
    <cellStyle name="Comma 2 13 5" xfId="331" xr:uid="{00000000-0005-0000-0000-000048010000}"/>
    <cellStyle name="Comma 2 13 5 10" xfId="332" xr:uid="{00000000-0005-0000-0000-000049010000}"/>
    <cellStyle name="Comma 2 13 5 11" xfId="333" xr:uid="{00000000-0005-0000-0000-00004A010000}"/>
    <cellStyle name="Comma 2 13 5 12" xfId="334" xr:uid="{00000000-0005-0000-0000-00004B010000}"/>
    <cellStyle name="Comma 2 13 5 2" xfId="335" xr:uid="{00000000-0005-0000-0000-00004C010000}"/>
    <cellStyle name="Comma 2 13 5 3" xfId="336" xr:uid="{00000000-0005-0000-0000-00004D010000}"/>
    <cellStyle name="Comma 2 13 5 4" xfId="337" xr:uid="{00000000-0005-0000-0000-00004E010000}"/>
    <cellStyle name="Comma 2 13 5 5" xfId="338" xr:uid="{00000000-0005-0000-0000-00004F010000}"/>
    <cellStyle name="Comma 2 13 5 6" xfId="339" xr:uid="{00000000-0005-0000-0000-000050010000}"/>
    <cellStyle name="Comma 2 13 5 6 2" xfId="340" xr:uid="{00000000-0005-0000-0000-000051010000}"/>
    <cellStyle name="Comma 2 13 5 7" xfId="341" xr:uid="{00000000-0005-0000-0000-000052010000}"/>
    <cellStyle name="Comma 2 13 5 8" xfId="342" xr:uid="{00000000-0005-0000-0000-000053010000}"/>
    <cellStyle name="Comma 2 13 5 9" xfId="343" xr:uid="{00000000-0005-0000-0000-000054010000}"/>
    <cellStyle name="Comma 2 13 6" xfId="344" xr:uid="{00000000-0005-0000-0000-000055010000}"/>
    <cellStyle name="Comma 2 13 6 2" xfId="345" xr:uid="{00000000-0005-0000-0000-000056010000}"/>
    <cellStyle name="Comma 2 13 6 3" xfId="346" xr:uid="{00000000-0005-0000-0000-000057010000}"/>
    <cellStyle name="Comma 2 13 6 4" xfId="347" xr:uid="{00000000-0005-0000-0000-000058010000}"/>
    <cellStyle name="Comma 2 13 6 5" xfId="348" xr:uid="{00000000-0005-0000-0000-000059010000}"/>
    <cellStyle name="Comma 2 13 6 6" xfId="349" xr:uid="{00000000-0005-0000-0000-00005A010000}"/>
    <cellStyle name="Comma 2 13 6 7" xfId="350" xr:uid="{00000000-0005-0000-0000-00005B010000}"/>
    <cellStyle name="Comma 2 13 6 8" xfId="351" xr:uid="{00000000-0005-0000-0000-00005C010000}"/>
    <cellStyle name="Comma 2 13 7" xfId="352" xr:uid="{00000000-0005-0000-0000-00005D010000}"/>
    <cellStyle name="Comma 2 13 7 2" xfId="353" xr:uid="{00000000-0005-0000-0000-00005E010000}"/>
    <cellStyle name="Comma 2 13 7 3" xfId="354" xr:uid="{00000000-0005-0000-0000-00005F010000}"/>
    <cellStyle name="Comma 2 13 7 4" xfId="355" xr:uid="{00000000-0005-0000-0000-000060010000}"/>
    <cellStyle name="Comma 2 13 7 5" xfId="356" xr:uid="{00000000-0005-0000-0000-000061010000}"/>
    <cellStyle name="Comma 2 13 7 6" xfId="357" xr:uid="{00000000-0005-0000-0000-000062010000}"/>
    <cellStyle name="Comma 2 13 7 7" xfId="358" xr:uid="{00000000-0005-0000-0000-000063010000}"/>
    <cellStyle name="Comma 2 13 7 8" xfId="359" xr:uid="{00000000-0005-0000-0000-000064010000}"/>
    <cellStyle name="Comma 2 13 8" xfId="360" xr:uid="{00000000-0005-0000-0000-000065010000}"/>
    <cellStyle name="Comma 2 13 8 2" xfId="361" xr:uid="{00000000-0005-0000-0000-000066010000}"/>
    <cellStyle name="Comma 2 13 8 3" xfId="362" xr:uid="{00000000-0005-0000-0000-000067010000}"/>
    <cellStyle name="Comma 2 13 8 4" xfId="363" xr:uid="{00000000-0005-0000-0000-000068010000}"/>
    <cellStyle name="Comma 2 13 8 5" xfId="364" xr:uid="{00000000-0005-0000-0000-000069010000}"/>
    <cellStyle name="Comma 2 13 8 6" xfId="365" xr:uid="{00000000-0005-0000-0000-00006A010000}"/>
    <cellStyle name="Comma 2 13 8 7" xfId="366" xr:uid="{00000000-0005-0000-0000-00006B010000}"/>
    <cellStyle name="Comma 2 13 8 8" xfId="367" xr:uid="{00000000-0005-0000-0000-00006C010000}"/>
    <cellStyle name="Comma 2 13 9" xfId="368" xr:uid="{00000000-0005-0000-0000-00006D010000}"/>
    <cellStyle name="Comma 2 13 9 2" xfId="369" xr:uid="{00000000-0005-0000-0000-00006E010000}"/>
    <cellStyle name="Comma 2 13 9 3" xfId="370" xr:uid="{00000000-0005-0000-0000-00006F010000}"/>
    <cellStyle name="Comma 2 13 9 4" xfId="371" xr:uid="{00000000-0005-0000-0000-000070010000}"/>
    <cellStyle name="Comma 2 13 9 5" xfId="372" xr:uid="{00000000-0005-0000-0000-000071010000}"/>
    <cellStyle name="Comma 2 13 9 6" xfId="373" xr:uid="{00000000-0005-0000-0000-000072010000}"/>
    <cellStyle name="Comma 2 13 9 7" xfId="374" xr:uid="{00000000-0005-0000-0000-000073010000}"/>
    <cellStyle name="Comma 2 13 9 8" xfId="375" xr:uid="{00000000-0005-0000-0000-000074010000}"/>
    <cellStyle name="Comma 2 14" xfId="376" xr:uid="{00000000-0005-0000-0000-000075010000}"/>
    <cellStyle name="Comma 2 14 2" xfId="377" xr:uid="{00000000-0005-0000-0000-000076010000}"/>
    <cellStyle name="Comma 2 14 2 10" xfId="378" xr:uid="{00000000-0005-0000-0000-000077010000}"/>
    <cellStyle name="Comma 2 14 2 11" xfId="379" xr:uid="{00000000-0005-0000-0000-000078010000}"/>
    <cellStyle name="Comma 2 14 2 12" xfId="380" xr:uid="{00000000-0005-0000-0000-000079010000}"/>
    <cellStyle name="Comma 2 14 2 2" xfId="381" xr:uid="{00000000-0005-0000-0000-00007A010000}"/>
    <cellStyle name="Comma 2 14 2 3" xfId="382" xr:uid="{00000000-0005-0000-0000-00007B010000}"/>
    <cellStyle name="Comma 2 14 2 4" xfId="383" xr:uid="{00000000-0005-0000-0000-00007C010000}"/>
    <cellStyle name="Comma 2 14 2 5" xfId="384" xr:uid="{00000000-0005-0000-0000-00007D010000}"/>
    <cellStyle name="Comma 2 14 2 6" xfId="385" xr:uid="{00000000-0005-0000-0000-00007E010000}"/>
    <cellStyle name="Comma 2 14 2 6 2" xfId="386" xr:uid="{00000000-0005-0000-0000-00007F010000}"/>
    <cellStyle name="Comma 2 14 2 7" xfId="387" xr:uid="{00000000-0005-0000-0000-000080010000}"/>
    <cellStyle name="Comma 2 14 2 8" xfId="388" xr:uid="{00000000-0005-0000-0000-000081010000}"/>
    <cellStyle name="Comma 2 14 2 9" xfId="389" xr:uid="{00000000-0005-0000-0000-000082010000}"/>
    <cellStyle name="Comma 2 14 3" xfId="390" xr:uid="{00000000-0005-0000-0000-000083010000}"/>
    <cellStyle name="Comma 2 14 3 10" xfId="391" xr:uid="{00000000-0005-0000-0000-000084010000}"/>
    <cellStyle name="Comma 2 14 3 11" xfId="392" xr:uid="{00000000-0005-0000-0000-000085010000}"/>
    <cellStyle name="Comma 2 14 3 12" xfId="393" xr:uid="{00000000-0005-0000-0000-000086010000}"/>
    <cellStyle name="Comma 2 14 3 2" xfId="394" xr:uid="{00000000-0005-0000-0000-000087010000}"/>
    <cellStyle name="Comma 2 14 3 3" xfId="395" xr:uid="{00000000-0005-0000-0000-000088010000}"/>
    <cellStyle name="Comma 2 14 3 4" xfId="396" xr:uid="{00000000-0005-0000-0000-000089010000}"/>
    <cellStyle name="Comma 2 14 3 5" xfId="397" xr:uid="{00000000-0005-0000-0000-00008A010000}"/>
    <cellStyle name="Comma 2 14 3 6" xfId="398" xr:uid="{00000000-0005-0000-0000-00008B010000}"/>
    <cellStyle name="Comma 2 14 3 6 2" xfId="399" xr:uid="{00000000-0005-0000-0000-00008C010000}"/>
    <cellStyle name="Comma 2 14 3 7" xfId="400" xr:uid="{00000000-0005-0000-0000-00008D010000}"/>
    <cellStyle name="Comma 2 14 3 8" xfId="401" xr:uid="{00000000-0005-0000-0000-00008E010000}"/>
    <cellStyle name="Comma 2 14 3 9" xfId="402" xr:uid="{00000000-0005-0000-0000-00008F010000}"/>
    <cellStyle name="Comma 2 14 4" xfId="403" xr:uid="{00000000-0005-0000-0000-000090010000}"/>
    <cellStyle name="Comma 2 14 4 10" xfId="404" xr:uid="{00000000-0005-0000-0000-000091010000}"/>
    <cellStyle name="Comma 2 14 4 11" xfId="405" xr:uid="{00000000-0005-0000-0000-000092010000}"/>
    <cellStyle name="Comma 2 14 4 12" xfId="406" xr:uid="{00000000-0005-0000-0000-000093010000}"/>
    <cellStyle name="Comma 2 14 4 2" xfId="407" xr:uid="{00000000-0005-0000-0000-000094010000}"/>
    <cellStyle name="Comma 2 14 4 3" xfId="408" xr:uid="{00000000-0005-0000-0000-000095010000}"/>
    <cellStyle name="Comma 2 14 4 4" xfId="409" xr:uid="{00000000-0005-0000-0000-000096010000}"/>
    <cellStyle name="Comma 2 14 4 5" xfId="410" xr:uid="{00000000-0005-0000-0000-000097010000}"/>
    <cellStyle name="Comma 2 14 4 6" xfId="411" xr:uid="{00000000-0005-0000-0000-000098010000}"/>
    <cellStyle name="Comma 2 14 4 6 2" xfId="412" xr:uid="{00000000-0005-0000-0000-000099010000}"/>
    <cellStyle name="Comma 2 14 4 7" xfId="413" xr:uid="{00000000-0005-0000-0000-00009A010000}"/>
    <cellStyle name="Comma 2 14 4 8" xfId="414" xr:uid="{00000000-0005-0000-0000-00009B010000}"/>
    <cellStyle name="Comma 2 14 4 9" xfId="415" xr:uid="{00000000-0005-0000-0000-00009C010000}"/>
    <cellStyle name="Comma 2 14 5" xfId="416" xr:uid="{00000000-0005-0000-0000-00009D010000}"/>
    <cellStyle name="Comma 2 14 5 2" xfId="417" xr:uid="{00000000-0005-0000-0000-00009E010000}"/>
    <cellStyle name="Comma 2 14 5 3" xfId="418" xr:uid="{00000000-0005-0000-0000-00009F010000}"/>
    <cellStyle name="Comma 2 14 5 4" xfId="419" xr:uid="{00000000-0005-0000-0000-0000A0010000}"/>
    <cellStyle name="Comma 2 14 5 5" xfId="420" xr:uid="{00000000-0005-0000-0000-0000A1010000}"/>
    <cellStyle name="Comma 2 14 5 6" xfId="421" xr:uid="{00000000-0005-0000-0000-0000A2010000}"/>
    <cellStyle name="Comma 2 14 5 7" xfId="422" xr:uid="{00000000-0005-0000-0000-0000A3010000}"/>
    <cellStyle name="Comma 2 14 5 8" xfId="423" xr:uid="{00000000-0005-0000-0000-0000A4010000}"/>
    <cellStyle name="Comma 2 14 6" xfId="424" xr:uid="{00000000-0005-0000-0000-0000A5010000}"/>
    <cellStyle name="Comma 2 14 6 2" xfId="425" xr:uid="{00000000-0005-0000-0000-0000A6010000}"/>
    <cellStyle name="Comma 2 14 6 3" xfId="426" xr:uid="{00000000-0005-0000-0000-0000A7010000}"/>
    <cellStyle name="Comma 2 14 6 4" xfId="427" xr:uid="{00000000-0005-0000-0000-0000A8010000}"/>
    <cellStyle name="Comma 2 14 6 5" xfId="428" xr:uid="{00000000-0005-0000-0000-0000A9010000}"/>
    <cellStyle name="Comma 2 14 6 6" xfId="429" xr:uid="{00000000-0005-0000-0000-0000AA010000}"/>
    <cellStyle name="Comma 2 14 6 7" xfId="430" xr:uid="{00000000-0005-0000-0000-0000AB010000}"/>
    <cellStyle name="Comma 2 14 6 8" xfId="431" xr:uid="{00000000-0005-0000-0000-0000AC010000}"/>
    <cellStyle name="Comma 2 14 7" xfId="432" xr:uid="{00000000-0005-0000-0000-0000AD010000}"/>
    <cellStyle name="Comma 2 14 7 2" xfId="433" xr:uid="{00000000-0005-0000-0000-0000AE010000}"/>
    <cellStyle name="Comma 2 14 7 3" xfId="434" xr:uid="{00000000-0005-0000-0000-0000AF010000}"/>
    <cellStyle name="Comma 2 14 7 4" xfId="435" xr:uid="{00000000-0005-0000-0000-0000B0010000}"/>
    <cellStyle name="Comma 2 14 7 5" xfId="436" xr:uid="{00000000-0005-0000-0000-0000B1010000}"/>
    <cellStyle name="Comma 2 14 7 6" xfId="437" xr:uid="{00000000-0005-0000-0000-0000B2010000}"/>
    <cellStyle name="Comma 2 14 7 7" xfId="438" xr:uid="{00000000-0005-0000-0000-0000B3010000}"/>
    <cellStyle name="Comma 2 14 7 8" xfId="439" xr:uid="{00000000-0005-0000-0000-0000B4010000}"/>
    <cellStyle name="Comma 2 14 8" xfId="440" xr:uid="{00000000-0005-0000-0000-0000B5010000}"/>
    <cellStyle name="Comma 2 15" xfId="441" xr:uid="{00000000-0005-0000-0000-0000B6010000}"/>
    <cellStyle name="Comma 2 15 2" xfId="442" xr:uid="{00000000-0005-0000-0000-0000B7010000}"/>
    <cellStyle name="Comma 2 15 2 10" xfId="443" xr:uid="{00000000-0005-0000-0000-0000B8010000}"/>
    <cellStyle name="Comma 2 15 2 11" xfId="444" xr:uid="{00000000-0005-0000-0000-0000B9010000}"/>
    <cellStyle name="Comma 2 15 2 12" xfId="445" xr:uid="{00000000-0005-0000-0000-0000BA010000}"/>
    <cellStyle name="Comma 2 15 2 2" xfId="446" xr:uid="{00000000-0005-0000-0000-0000BB010000}"/>
    <cellStyle name="Comma 2 15 2 3" xfId="447" xr:uid="{00000000-0005-0000-0000-0000BC010000}"/>
    <cellStyle name="Comma 2 15 2 4" xfId="448" xr:uid="{00000000-0005-0000-0000-0000BD010000}"/>
    <cellStyle name="Comma 2 15 2 5" xfId="449" xr:uid="{00000000-0005-0000-0000-0000BE010000}"/>
    <cellStyle name="Comma 2 15 2 6" xfId="450" xr:uid="{00000000-0005-0000-0000-0000BF010000}"/>
    <cellStyle name="Comma 2 15 2 6 2" xfId="451" xr:uid="{00000000-0005-0000-0000-0000C0010000}"/>
    <cellStyle name="Comma 2 15 2 7" xfId="452" xr:uid="{00000000-0005-0000-0000-0000C1010000}"/>
    <cellStyle name="Comma 2 15 2 8" xfId="453" xr:uid="{00000000-0005-0000-0000-0000C2010000}"/>
    <cellStyle name="Comma 2 15 2 9" xfId="454" xr:uid="{00000000-0005-0000-0000-0000C3010000}"/>
    <cellStyle name="Comma 2 15 3" xfId="455" xr:uid="{00000000-0005-0000-0000-0000C4010000}"/>
    <cellStyle name="Comma 2 15 3 10" xfId="456" xr:uid="{00000000-0005-0000-0000-0000C5010000}"/>
    <cellStyle name="Comma 2 15 3 11" xfId="457" xr:uid="{00000000-0005-0000-0000-0000C6010000}"/>
    <cellStyle name="Comma 2 15 3 12" xfId="458" xr:uid="{00000000-0005-0000-0000-0000C7010000}"/>
    <cellStyle name="Comma 2 15 3 2" xfId="459" xr:uid="{00000000-0005-0000-0000-0000C8010000}"/>
    <cellStyle name="Comma 2 15 3 3" xfId="460" xr:uid="{00000000-0005-0000-0000-0000C9010000}"/>
    <cellStyle name="Comma 2 15 3 4" xfId="461" xr:uid="{00000000-0005-0000-0000-0000CA010000}"/>
    <cellStyle name="Comma 2 15 3 5" xfId="462" xr:uid="{00000000-0005-0000-0000-0000CB010000}"/>
    <cellStyle name="Comma 2 15 3 6" xfId="463" xr:uid="{00000000-0005-0000-0000-0000CC010000}"/>
    <cellStyle name="Comma 2 15 3 6 2" xfId="464" xr:uid="{00000000-0005-0000-0000-0000CD010000}"/>
    <cellStyle name="Comma 2 15 3 7" xfId="465" xr:uid="{00000000-0005-0000-0000-0000CE010000}"/>
    <cellStyle name="Comma 2 15 3 8" xfId="466" xr:uid="{00000000-0005-0000-0000-0000CF010000}"/>
    <cellStyle name="Comma 2 15 3 9" xfId="467" xr:uid="{00000000-0005-0000-0000-0000D0010000}"/>
    <cellStyle name="Comma 2 15 4" xfId="468" xr:uid="{00000000-0005-0000-0000-0000D1010000}"/>
    <cellStyle name="Comma 2 15 4 2" xfId="469" xr:uid="{00000000-0005-0000-0000-0000D2010000}"/>
    <cellStyle name="Comma 2 15 4 3" xfId="470" xr:uid="{00000000-0005-0000-0000-0000D3010000}"/>
    <cellStyle name="Comma 2 15 4 4" xfId="471" xr:uid="{00000000-0005-0000-0000-0000D4010000}"/>
    <cellStyle name="Comma 2 15 4 5" xfId="472" xr:uid="{00000000-0005-0000-0000-0000D5010000}"/>
    <cellStyle name="Comma 2 15 4 6" xfId="473" xr:uid="{00000000-0005-0000-0000-0000D6010000}"/>
    <cellStyle name="Comma 2 15 4 7" xfId="474" xr:uid="{00000000-0005-0000-0000-0000D7010000}"/>
    <cellStyle name="Comma 2 15 4 8" xfId="475" xr:uid="{00000000-0005-0000-0000-0000D8010000}"/>
    <cellStyle name="Comma 2 15 5" xfId="476" xr:uid="{00000000-0005-0000-0000-0000D9010000}"/>
    <cellStyle name="Comma 2 15 5 2" xfId="477" xr:uid="{00000000-0005-0000-0000-0000DA010000}"/>
    <cellStyle name="Comma 2 15 5 3" xfId="478" xr:uid="{00000000-0005-0000-0000-0000DB010000}"/>
    <cellStyle name="Comma 2 15 5 4" xfId="479" xr:uid="{00000000-0005-0000-0000-0000DC010000}"/>
    <cellStyle name="Comma 2 15 5 5" xfId="480" xr:uid="{00000000-0005-0000-0000-0000DD010000}"/>
    <cellStyle name="Comma 2 15 5 6" xfId="481" xr:uid="{00000000-0005-0000-0000-0000DE010000}"/>
    <cellStyle name="Comma 2 15 5 7" xfId="482" xr:uid="{00000000-0005-0000-0000-0000DF010000}"/>
    <cellStyle name="Comma 2 15 5 8" xfId="483" xr:uid="{00000000-0005-0000-0000-0000E0010000}"/>
    <cellStyle name="Comma 2 15 6" xfId="484" xr:uid="{00000000-0005-0000-0000-0000E1010000}"/>
    <cellStyle name="Comma 2 16" xfId="485" xr:uid="{00000000-0005-0000-0000-0000E2010000}"/>
    <cellStyle name="Comma 2 16 2" xfId="486" xr:uid="{00000000-0005-0000-0000-0000E3010000}"/>
    <cellStyle name="Comma 2 16 2 10" xfId="487" xr:uid="{00000000-0005-0000-0000-0000E4010000}"/>
    <cellStyle name="Comma 2 16 2 11" xfId="488" xr:uid="{00000000-0005-0000-0000-0000E5010000}"/>
    <cellStyle name="Comma 2 16 2 12" xfId="489" xr:uid="{00000000-0005-0000-0000-0000E6010000}"/>
    <cellStyle name="Comma 2 16 2 2" xfId="490" xr:uid="{00000000-0005-0000-0000-0000E7010000}"/>
    <cellStyle name="Comma 2 16 2 3" xfId="491" xr:uid="{00000000-0005-0000-0000-0000E8010000}"/>
    <cellStyle name="Comma 2 16 2 4" xfId="492" xr:uid="{00000000-0005-0000-0000-0000E9010000}"/>
    <cellStyle name="Comma 2 16 2 5" xfId="493" xr:uid="{00000000-0005-0000-0000-0000EA010000}"/>
    <cellStyle name="Comma 2 16 2 6" xfId="494" xr:uid="{00000000-0005-0000-0000-0000EB010000}"/>
    <cellStyle name="Comma 2 16 2 6 2" xfId="495" xr:uid="{00000000-0005-0000-0000-0000EC010000}"/>
    <cellStyle name="Comma 2 16 2 7" xfId="496" xr:uid="{00000000-0005-0000-0000-0000ED010000}"/>
    <cellStyle name="Comma 2 16 2 8" xfId="497" xr:uid="{00000000-0005-0000-0000-0000EE010000}"/>
    <cellStyle name="Comma 2 16 2 9" xfId="498" xr:uid="{00000000-0005-0000-0000-0000EF010000}"/>
    <cellStyle name="Comma 2 16 3" xfId="499" xr:uid="{00000000-0005-0000-0000-0000F0010000}"/>
    <cellStyle name="Comma 2 16 3 2" xfId="500" xr:uid="{00000000-0005-0000-0000-0000F1010000}"/>
    <cellStyle name="Comma 2 16 3 3" xfId="501" xr:uid="{00000000-0005-0000-0000-0000F2010000}"/>
    <cellStyle name="Comma 2 16 3 4" xfId="502" xr:uid="{00000000-0005-0000-0000-0000F3010000}"/>
    <cellStyle name="Comma 2 16 3 5" xfId="503" xr:uid="{00000000-0005-0000-0000-0000F4010000}"/>
    <cellStyle name="Comma 2 16 3 6" xfId="504" xr:uid="{00000000-0005-0000-0000-0000F5010000}"/>
    <cellStyle name="Comma 2 16 3 7" xfId="505" xr:uid="{00000000-0005-0000-0000-0000F6010000}"/>
    <cellStyle name="Comma 2 16 3 8" xfId="506" xr:uid="{00000000-0005-0000-0000-0000F7010000}"/>
    <cellStyle name="Comma 2 16 4" xfId="507" xr:uid="{00000000-0005-0000-0000-0000F8010000}"/>
    <cellStyle name="Comma 2 16 5" xfId="508" xr:uid="{00000000-0005-0000-0000-0000F9010000}"/>
    <cellStyle name="Comma 2 17" xfId="509" xr:uid="{00000000-0005-0000-0000-0000FA010000}"/>
    <cellStyle name="Comma 2 17 2" xfId="510" xr:uid="{00000000-0005-0000-0000-0000FB010000}"/>
    <cellStyle name="Comma 2 17 2 10" xfId="511" xr:uid="{00000000-0005-0000-0000-0000FC010000}"/>
    <cellStyle name="Comma 2 17 2 11" xfId="512" xr:uid="{00000000-0005-0000-0000-0000FD010000}"/>
    <cellStyle name="Comma 2 17 2 12" xfId="513" xr:uid="{00000000-0005-0000-0000-0000FE010000}"/>
    <cellStyle name="Comma 2 17 2 2" xfId="514" xr:uid="{00000000-0005-0000-0000-0000FF010000}"/>
    <cellStyle name="Comma 2 17 2 3" xfId="515" xr:uid="{00000000-0005-0000-0000-000000020000}"/>
    <cellStyle name="Comma 2 17 2 4" xfId="516" xr:uid="{00000000-0005-0000-0000-000001020000}"/>
    <cellStyle name="Comma 2 17 2 5" xfId="517" xr:uid="{00000000-0005-0000-0000-000002020000}"/>
    <cellStyle name="Comma 2 17 2 6" xfId="518" xr:uid="{00000000-0005-0000-0000-000003020000}"/>
    <cellStyle name="Comma 2 17 2 6 2" xfId="519" xr:uid="{00000000-0005-0000-0000-000004020000}"/>
    <cellStyle name="Comma 2 17 2 7" xfId="520" xr:uid="{00000000-0005-0000-0000-000005020000}"/>
    <cellStyle name="Comma 2 17 2 8" xfId="521" xr:uid="{00000000-0005-0000-0000-000006020000}"/>
    <cellStyle name="Comma 2 17 2 9" xfId="522" xr:uid="{00000000-0005-0000-0000-000007020000}"/>
    <cellStyle name="Comma 2 17 3" xfId="523" xr:uid="{00000000-0005-0000-0000-000008020000}"/>
    <cellStyle name="Comma 2 18" xfId="524" xr:uid="{00000000-0005-0000-0000-000009020000}"/>
    <cellStyle name="Comma 2 18 2" xfId="525" xr:uid="{00000000-0005-0000-0000-00000A020000}"/>
    <cellStyle name="Comma 2 18 2 2" xfId="526" xr:uid="{00000000-0005-0000-0000-00000B020000}"/>
    <cellStyle name="Comma 2 18 2 3" xfId="527" xr:uid="{00000000-0005-0000-0000-00000C020000}"/>
    <cellStyle name="Comma 2 18 3" xfId="528" xr:uid="{00000000-0005-0000-0000-00000D020000}"/>
    <cellStyle name="Comma 2 18 4" xfId="529" xr:uid="{00000000-0005-0000-0000-00000E020000}"/>
    <cellStyle name="Comma 2 18 5" xfId="530" xr:uid="{00000000-0005-0000-0000-00000F020000}"/>
    <cellStyle name="Comma 2 19" xfId="531" xr:uid="{00000000-0005-0000-0000-000010020000}"/>
    <cellStyle name="Comma 2 19 2" xfId="532" xr:uid="{00000000-0005-0000-0000-000011020000}"/>
    <cellStyle name="Comma 2 19 2 2" xfId="533" xr:uid="{00000000-0005-0000-0000-000012020000}"/>
    <cellStyle name="Comma 2 19 2 2 2" xfId="534" xr:uid="{00000000-0005-0000-0000-000013020000}"/>
    <cellStyle name="Comma 2 19 2 2 2 2" xfId="535" xr:uid="{00000000-0005-0000-0000-000014020000}"/>
    <cellStyle name="Comma 2 19 2 2 3" xfId="536" xr:uid="{00000000-0005-0000-0000-000015020000}"/>
    <cellStyle name="Comma 2 19 2 2 3 2" xfId="537" xr:uid="{00000000-0005-0000-0000-000016020000}"/>
    <cellStyle name="Comma 2 19 2 2 4" xfId="538" xr:uid="{00000000-0005-0000-0000-000017020000}"/>
    <cellStyle name="Comma 2 19 2 2 4 2" xfId="539" xr:uid="{00000000-0005-0000-0000-000018020000}"/>
    <cellStyle name="Comma 2 19 2 3" xfId="540" xr:uid="{00000000-0005-0000-0000-000019020000}"/>
    <cellStyle name="Comma 2 19 2 4" xfId="541" xr:uid="{00000000-0005-0000-0000-00001A020000}"/>
    <cellStyle name="Comma 2 19 2 5" xfId="542" xr:uid="{00000000-0005-0000-0000-00001B020000}"/>
    <cellStyle name="Comma 2 19 3" xfId="543" xr:uid="{00000000-0005-0000-0000-00001C020000}"/>
    <cellStyle name="Comma 2 19 3 2" xfId="544" xr:uid="{00000000-0005-0000-0000-00001D020000}"/>
    <cellStyle name="Comma 2 19 3 3" xfId="545" xr:uid="{00000000-0005-0000-0000-00001E020000}"/>
    <cellStyle name="Comma 2 19 3 4" xfId="546" xr:uid="{00000000-0005-0000-0000-00001F020000}"/>
    <cellStyle name="Comma 2 19 4" xfId="547" xr:uid="{00000000-0005-0000-0000-000020020000}"/>
    <cellStyle name="Comma 2 19 4 2" xfId="548" xr:uid="{00000000-0005-0000-0000-000021020000}"/>
    <cellStyle name="Comma 2 19 4 3" xfId="549" xr:uid="{00000000-0005-0000-0000-000022020000}"/>
    <cellStyle name="Comma 2 19 5" xfId="550" xr:uid="{00000000-0005-0000-0000-000023020000}"/>
    <cellStyle name="Comma 2 19 5 2" xfId="551" xr:uid="{00000000-0005-0000-0000-000024020000}"/>
    <cellStyle name="Comma 2 19 6" xfId="552" xr:uid="{00000000-0005-0000-0000-000025020000}"/>
    <cellStyle name="Comma 2 19 6 2" xfId="553" xr:uid="{00000000-0005-0000-0000-000026020000}"/>
    <cellStyle name="Comma 2 19 7" xfId="554" xr:uid="{00000000-0005-0000-0000-000027020000}"/>
    <cellStyle name="Comma 2 2" xfId="555" xr:uid="{00000000-0005-0000-0000-000028020000}"/>
    <cellStyle name="Comma 2 2 10" xfId="556" xr:uid="{00000000-0005-0000-0000-000029020000}"/>
    <cellStyle name="Comma 2 2 10 10" xfId="557" xr:uid="{00000000-0005-0000-0000-00002A020000}"/>
    <cellStyle name="Comma 2 2 10 10 2" xfId="558" xr:uid="{00000000-0005-0000-0000-00002B020000}"/>
    <cellStyle name="Comma 2 2 10 10 3" xfId="559" xr:uid="{00000000-0005-0000-0000-00002C020000}"/>
    <cellStyle name="Comma 2 2 10 10 4" xfId="560" xr:uid="{00000000-0005-0000-0000-00002D020000}"/>
    <cellStyle name="Comma 2 2 10 10 5" xfId="561" xr:uid="{00000000-0005-0000-0000-00002E020000}"/>
    <cellStyle name="Comma 2 2 10 10 6" xfId="562" xr:uid="{00000000-0005-0000-0000-00002F020000}"/>
    <cellStyle name="Comma 2 2 10 10 7" xfId="563" xr:uid="{00000000-0005-0000-0000-000030020000}"/>
    <cellStyle name="Comma 2 2 10 10 8" xfId="564" xr:uid="{00000000-0005-0000-0000-000031020000}"/>
    <cellStyle name="Comma 2 2 10 11" xfId="565" xr:uid="{00000000-0005-0000-0000-000032020000}"/>
    <cellStyle name="Comma 2 2 10 11 2" xfId="566" xr:uid="{00000000-0005-0000-0000-000033020000}"/>
    <cellStyle name="Comma 2 2 10 11 3" xfId="567" xr:uid="{00000000-0005-0000-0000-000034020000}"/>
    <cellStyle name="Comma 2 2 10 11 4" xfId="568" xr:uid="{00000000-0005-0000-0000-000035020000}"/>
    <cellStyle name="Comma 2 2 10 11 5" xfId="569" xr:uid="{00000000-0005-0000-0000-000036020000}"/>
    <cellStyle name="Comma 2 2 10 11 6" xfId="570" xr:uid="{00000000-0005-0000-0000-000037020000}"/>
    <cellStyle name="Comma 2 2 10 11 7" xfId="571" xr:uid="{00000000-0005-0000-0000-000038020000}"/>
    <cellStyle name="Comma 2 2 10 11 8" xfId="572" xr:uid="{00000000-0005-0000-0000-000039020000}"/>
    <cellStyle name="Comma 2 2 10 12" xfId="573" xr:uid="{00000000-0005-0000-0000-00003A020000}"/>
    <cellStyle name="Comma 2 2 10 12 2" xfId="574" xr:uid="{00000000-0005-0000-0000-00003B020000}"/>
    <cellStyle name="Comma 2 2 10 12 3" xfId="575" xr:uid="{00000000-0005-0000-0000-00003C020000}"/>
    <cellStyle name="Comma 2 2 10 12 4" xfId="576" xr:uid="{00000000-0005-0000-0000-00003D020000}"/>
    <cellStyle name="Comma 2 2 10 12 5" xfId="577" xr:uid="{00000000-0005-0000-0000-00003E020000}"/>
    <cellStyle name="Comma 2 2 10 12 6" xfId="578" xr:uid="{00000000-0005-0000-0000-00003F020000}"/>
    <cellStyle name="Comma 2 2 10 12 7" xfId="579" xr:uid="{00000000-0005-0000-0000-000040020000}"/>
    <cellStyle name="Comma 2 2 10 12 8" xfId="580" xr:uid="{00000000-0005-0000-0000-000041020000}"/>
    <cellStyle name="Comma 2 2 10 13" xfId="581" xr:uid="{00000000-0005-0000-0000-000042020000}"/>
    <cellStyle name="Comma 2 2 10 13 2" xfId="582" xr:uid="{00000000-0005-0000-0000-000043020000}"/>
    <cellStyle name="Comma 2 2 10 13 3" xfId="583" xr:uid="{00000000-0005-0000-0000-000044020000}"/>
    <cellStyle name="Comma 2 2 10 13 4" xfId="584" xr:uid="{00000000-0005-0000-0000-000045020000}"/>
    <cellStyle name="Comma 2 2 10 13 5" xfId="585" xr:uid="{00000000-0005-0000-0000-000046020000}"/>
    <cellStyle name="Comma 2 2 10 13 6" xfId="586" xr:uid="{00000000-0005-0000-0000-000047020000}"/>
    <cellStyle name="Comma 2 2 10 13 7" xfId="587" xr:uid="{00000000-0005-0000-0000-000048020000}"/>
    <cellStyle name="Comma 2 2 10 13 8" xfId="588" xr:uid="{00000000-0005-0000-0000-000049020000}"/>
    <cellStyle name="Comma 2 2 10 14" xfId="589" xr:uid="{00000000-0005-0000-0000-00004A020000}"/>
    <cellStyle name="Comma 2 2 10 14 2" xfId="590" xr:uid="{00000000-0005-0000-0000-00004B020000}"/>
    <cellStyle name="Comma 2 2 10 14 3" xfId="591" xr:uid="{00000000-0005-0000-0000-00004C020000}"/>
    <cellStyle name="Comma 2 2 10 15" xfId="592" xr:uid="{00000000-0005-0000-0000-00004D020000}"/>
    <cellStyle name="Comma 2 2 10 16" xfId="593" xr:uid="{00000000-0005-0000-0000-00004E020000}"/>
    <cellStyle name="Comma 2 2 10 16 2" xfId="594" xr:uid="{00000000-0005-0000-0000-00004F020000}"/>
    <cellStyle name="Comma 2 2 10 17" xfId="595" xr:uid="{00000000-0005-0000-0000-000050020000}"/>
    <cellStyle name="Comma 2 2 10 17 2" xfId="596" xr:uid="{00000000-0005-0000-0000-000051020000}"/>
    <cellStyle name="Comma 2 2 10 18" xfId="597" xr:uid="{00000000-0005-0000-0000-000052020000}"/>
    <cellStyle name="Comma 2 2 10 19" xfId="598" xr:uid="{00000000-0005-0000-0000-000053020000}"/>
    <cellStyle name="Comma 2 2 10 2" xfId="599" xr:uid="{00000000-0005-0000-0000-000054020000}"/>
    <cellStyle name="Comma 2 2 10 2 2" xfId="600" xr:uid="{00000000-0005-0000-0000-000055020000}"/>
    <cellStyle name="Comma 2 2 10 2 3" xfId="601" xr:uid="{00000000-0005-0000-0000-000056020000}"/>
    <cellStyle name="Comma 2 2 10 2 4" xfId="602" xr:uid="{00000000-0005-0000-0000-000057020000}"/>
    <cellStyle name="Comma 2 2 10 2 5" xfId="603" xr:uid="{00000000-0005-0000-0000-000058020000}"/>
    <cellStyle name="Comma 2 2 10 20" xfId="604" xr:uid="{00000000-0005-0000-0000-000059020000}"/>
    <cellStyle name="Comma 2 2 10 21" xfId="605" xr:uid="{00000000-0005-0000-0000-00005A020000}"/>
    <cellStyle name="Comma 2 2 10 22" xfId="606" xr:uid="{00000000-0005-0000-0000-00005B020000}"/>
    <cellStyle name="Comma 2 2 10 23" xfId="607" xr:uid="{00000000-0005-0000-0000-00005C020000}"/>
    <cellStyle name="Comma 2 2 10 24" xfId="608" xr:uid="{00000000-0005-0000-0000-00005D020000}"/>
    <cellStyle name="Comma 2 2 10 25" xfId="609" xr:uid="{00000000-0005-0000-0000-00005E020000}"/>
    <cellStyle name="Comma 2 2 10 3" xfId="610" xr:uid="{00000000-0005-0000-0000-00005F020000}"/>
    <cellStyle name="Comma 2 2 10 3 2" xfId="611" xr:uid="{00000000-0005-0000-0000-000060020000}"/>
    <cellStyle name="Comma 2 2 10 3 3" xfId="612" xr:uid="{00000000-0005-0000-0000-000061020000}"/>
    <cellStyle name="Comma 2 2 10 4" xfId="613" xr:uid="{00000000-0005-0000-0000-000062020000}"/>
    <cellStyle name="Comma 2 2 10 4 2" xfId="614" xr:uid="{00000000-0005-0000-0000-000063020000}"/>
    <cellStyle name="Comma 2 2 10 5" xfId="615" xr:uid="{00000000-0005-0000-0000-000064020000}"/>
    <cellStyle name="Comma 2 2 10 5 2" xfId="616" xr:uid="{00000000-0005-0000-0000-000065020000}"/>
    <cellStyle name="Comma 2 2 10 5 3" xfId="617" xr:uid="{00000000-0005-0000-0000-000066020000}"/>
    <cellStyle name="Comma 2 2 10 5 4" xfId="618" xr:uid="{00000000-0005-0000-0000-000067020000}"/>
    <cellStyle name="Comma 2 2 10 5 5" xfId="619" xr:uid="{00000000-0005-0000-0000-000068020000}"/>
    <cellStyle name="Comma 2 2 10 5 6" xfId="620" xr:uid="{00000000-0005-0000-0000-000069020000}"/>
    <cellStyle name="Comma 2 2 10 5 7" xfId="621" xr:uid="{00000000-0005-0000-0000-00006A020000}"/>
    <cellStyle name="Comma 2 2 10 5 8" xfId="622" xr:uid="{00000000-0005-0000-0000-00006B020000}"/>
    <cellStyle name="Comma 2 2 10 6" xfId="623" xr:uid="{00000000-0005-0000-0000-00006C020000}"/>
    <cellStyle name="Comma 2 2 10 6 2" xfId="624" xr:uid="{00000000-0005-0000-0000-00006D020000}"/>
    <cellStyle name="Comma 2 2 10 7" xfId="625" xr:uid="{00000000-0005-0000-0000-00006E020000}"/>
    <cellStyle name="Comma 2 2 10 7 2" xfId="626" xr:uid="{00000000-0005-0000-0000-00006F020000}"/>
    <cellStyle name="Comma 2 2 10 7 3" xfId="627" xr:uid="{00000000-0005-0000-0000-000070020000}"/>
    <cellStyle name="Comma 2 2 10 7 4" xfId="628" xr:uid="{00000000-0005-0000-0000-000071020000}"/>
    <cellStyle name="Comma 2 2 10 7 5" xfId="629" xr:uid="{00000000-0005-0000-0000-000072020000}"/>
    <cellStyle name="Comma 2 2 10 7 6" xfId="630" xr:uid="{00000000-0005-0000-0000-000073020000}"/>
    <cellStyle name="Comma 2 2 10 7 7" xfId="631" xr:uid="{00000000-0005-0000-0000-000074020000}"/>
    <cellStyle name="Comma 2 2 10 7 8" xfId="632" xr:uid="{00000000-0005-0000-0000-000075020000}"/>
    <cellStyle name="Comma 2 2 10 8" xfId="633" xr:uid="{00000000-0005-0000-0000-000076020000}"/>
    <cellStyle name="Comma 2 2 10 8 2" xfId="634" xr:uid="{00000000-0005-0000-0000-000077020000}"/>
    <cellStyle name="Comma 2 2 10 8 3" xfId="635" xr:uid="{00000000-0005-0000-0000-000078020000}"/>
    <cellStyle name="Comma 2 2 10 8 4" xfId="636" xr:uid="{00000000-0005-0000-0000-000079020000}"/>
    <cellStyle name="Comma 2 2 10 8 5" xfId="637" xr:uid="{00000000-0005-0000-0000-00007A020000}"/>
    <cellStyle name="Comma 2 2 10 8 6" xfId="638" xr:uid="{00000000-0005-0000-0000-00007B020000}"/>
    <cellStyle name="Comma 2 2 10 8 7" xfId="639" xr:uid="{00000000-0005-0000-0000-00007C020000}"/>
    <cellStyle name="Comma 2 2 10 8 8" xfId="640" xr:uid="{00000000-0005-0000-0000-00007D020000}"/>
    <cellStyle name="Comma 2 2 10 9" xfId="641" xr:uid="{00000000-0005-0000-0000-00007E020000}"/>
    <cellStyle name="Comma 2 2 10 9 2" xfId="642" xr:uid="{00000000-0005-0000-0000-00007F020000}"/>
    <cellStyle name="Comma 2 2 10 9 3" xfId="643" xr:uid="{00000000-0005-0000-0000-000080020000}"/>
    <cellStyle name="Comma 2 2 10 9 4" xfId="644" xr:uid="{00000000-0005-0000-0000-000081020000}"/>
    <cellStyle name="Comma 2 2 10 9 5" xfId="645" xr:uid="{00000000-0005-0000-0000-000082020000}"/>
    <cellStyle name="Comma 2 2 10 9 6" xfId="646" xr:uid="{00000000-0005-0000-0000-000083020000}"/>
    <cellStyle name="Comma 2 2 10 9 7" xfId="647" xr:uid="{00000000-0005-0000-0000-000084020000}"/>
    <cellStyle name="Comma 2 2 10 9 8" xfId="648" xr:uid="{00000000-0005-0000-0000-000085020000}"/>
    <cellStyle name="Comma 2 2 11" xfId="649" xr:uid="{00000000-0005-0000-0000-000086020000}"/>
    <cellStyle name="Comma 2 2 11 10" xfId="650" xr:uid="{00000000-0005-0000-0000-000087020000}"/>
    <cellStyle name="Comma 2 2 11 10 2" xfId="651" xr:uid="{00000000-0005-0000-0000-000088020000}"/>
    <cellStyle name="Comma 2 2 11 10 3" xfId="652" xr:uid="{00000000-0005-0000-0000-000089020000}"/>
    <cellStyle name="Comma 2 2 11 10 4" xfId="653" xr:uid="{00000000-0005-0000-0000-00008A020000}"/>
    <cellStyle name="Comma 2 2 11 10 5" xfId="654" xr:uid="{00000000-0005-0000-0000-00008B020000}"/>
    <cellStyle name="Comma 2 2 11 10 6" xfId="655" xr:uid="{00000000-0005-0000-0000-00008C020000}"/>
    <cellStyle name="Comma 2 2 11 10 7" xfId="656" xr:uid="{00000000-0005-0000-0000-00008D020000}"/>
    <cellStyle name="Comma 2 2 11 10 8" xfId="657" xr:uid="{00000000-0005-0000-0000-00008E020000}"/>
    <cellStyle name="Comma 2 2 11 11" xfId="658" xr:uid="{00000000-0005-0000-0000-00008F020000}"/>
    <cellStyle name="Comma 2 2 11 11 2" xfId="659" xr:uid="{00000000-0005-0000-0000-000090020000}"/>
    <cellStyle name="Comma 2 2 11 11 3" xfId="660" xr:uid="{00000000-0005-0000-0000-000091020000}"/>
    <cellStyle name="Comma 2 2 11 11 4" xfId="661" xr:uid="{00000000-0005-0000-0000-000092020000}"/>
    <cellStyle name="Comma 2 2 11 11 5" xfId="662" xr:uid="{00000000-0005-0000-0000-000093020000}"/>
    <cellStyle name="Comma 2 2 11 11 6" xfId="663" xr:uid="{00000000-0005-0000-0000-000094020000}"/>
    <cellStyle name="Comma 2 2 11 11 7" xfId="664" xr:uid="{00000000-0005-0000-0000-000095020000}"/>
    <cellStyle name="Comma 2 2 11 11 8" xfId="665" xr:uid="{00000000-0005-0000-0000-000096020000}"/>
    <cellStyle name="Comma 2 2 11 12" xfId="666" xr:uid="{00000000-0005-0000-0000-000097020000}"/>
    <cellStyle name="Comma 2 2 11 12 2" xfId="667" xr:uid="{00000000-0005-0000-0000-000098020000}"/>
    <cellStyle name="Comma 2 2 11 12 3" xfId="668" xr:uid="{00000000-0005-0000-0000-000099020000}"/>
    <cellStyle name="Comma 2 2 11 12 4" xfId="669" xr:uid="{00000000-0005-0000-0000-00009A020000}"/>
    <cellStyle name="Comma 2 2 11 12 5" xfId="670" xr:uid="{00000000-0005-0000-0000-00009B020000}"/>
    <cellStyle name="Comma 2 2 11 12 6" xfId="671" xr:uid="{00000000-0005-0000-0000-00009C020000}"/>
    <cellStyle name="Comma 2 2 11 12 7" xfId="672" xr:uid="{00000000-0005-0000-0000-00009D020000}"/>
    <cellStyle name="Comma 2 2 11 12 8" xfId="673" xr:uid="{00000000-0005-0000-0000-00009E020000}"/>
    <cellStyle name="Comma 2 2 11 13" xfId="674" xr:uid="{00000000-0005-0000-0000-00009F020000}"/>
    <cellStyle name="Comma 2 2 11 13 2" xfId="675" xr:uid="{00000000-0005-0000-0000-0000A0020000}"/>
    <cellStyle name="Comma 2 2 11 13 3" xfId="676" xr:uid="{00000000-0005-0000-0000-0000A1020000}"/>
    <cellStyle name="Comma 2 2 11 13 4" xfId="677" xr:uid="{00000000-0005-0000-0000-0000A2020000}"/>
    <cellStyle name="Comma 2 2 11 13 5" xfId="678" xr:uid="{00000000-0005-0000-0000-0000A3020000}"/>
    <cellStyle name="Comma 2 2 11 13 6" xfId="679" xr:uid="{00000000-0005-0000-0000-0000A4020000}"/>
    <cellStyle name="Comma 2 2 11 13 7" xfId="680" xr:uid="{00000000-0005-0000-0000-0000A5020000}"/>
    <cellStyle name="Comma 2 2 11 13 8" xfId="681" xr:uid="{00000000-0005-0000-0000-0000A6020000}"/>
    <cellStyle name="Comma 2 2 11 14" xfId="682" xr:uid="{00000000-0005-0000-0000-0000A7020000}"/>
    <cellStyle name="Comma 2 2 11 14 2" xfId="683" xr:uid="{00000000-0005-0000-0000-0000A8020000}"/>
    <cellStyle name="Comma 2 2 11 14 3" xfId="684" xr:uid="{00000000-0005-0000-0000-0000A9020000}"/>
    <cellStyle name="Comma 2 2 11 15" xfId="685" xr:uid="{00000000-0005-0000-0000-0000AA020000}"/>
    <cellStyle name="Comma 2 2 11 16" xfId="686" xr:uid="{00000000-0005-0000-0000-0000AB020000}"/>
    <cellStyle name="Comma 2 2 11 16 2" xfId="687" xr:uid="{00000000-0005-0000-0000-0000AC020000}"/>
    <cellStyle name="Comma 2 2 11 17" xfId="688" xr:uid="{00000000-0005-0000-0000-0000AD020000}"/>
    <cellStyle name="Comma 2 2 11 17 2" xfId="689" xr:uid="{00000000-0005-0000-0000-0000AE020000}"/>
    <cellStyle name="Comma 2 2 11 18" xfId="690" xr:uid="{00000000-0005-0000-0000-0000AF020000}"/>
    <cellStyle name="Comma 2 2 11 19" xfId="691" xr:uid="{00000000-0005-0000-0000-0000B0020000}"/>
    <cellStyle name="Comma 2 2 11 2" xfId="692" xr:uid="{00000000-0005-0000-0000-0000B1020000}"/>
    <cellStyle name="Comma 2 2 11 2 2" xfId="693" xr:uid="{00000000-0005-0000-0000-0000B2020000}"/>
    <cellStyle name="Comma 2 2 11 2 3" xfId="694" xr:uid="{00000000-0005-0000-0000-0000B3020000}"/>
    <cellStyle name="Comma 2 2 11 2 4" xfId="695" xr:uid="{00000000-0005-0000-0000-0000B4020000}"/>
    <cellStyle name="Comma 2 2 11 2 5" xfId="696" xr:uid="{00000000-0005-0000-0000-0000B5020000}"/>
    <cellStyle name="Comma 2 2 11 20" xfId="697" xr:uid="{00000000-0005-0000-0000-0000B6020000}"/>
    <cellStyle name="Comma 2 2 11 21" xfId="698" xr:uid="{00000000-0005-0000-0000-0000B7020000}"/>
    <cellStyle name="Comma 2 2 11 22" xfId="699" xr:uid="{00000000-0005-0000-0000-0000B8020000}"/>
    <cellStyle name="Comma 2 2 11 23" xfId="700" xr:uid="{00000000-0005-0000-0000-0000B9020000}"/>
    <cellStyle name="Comma 2 2 11 24" xfId="701" xr:uid="{00000000-0005-0000-0000-0000BA020000}"/>
    <cellStyle name="Comma 2 2 11 25" xfId="702" xr:uid="{00000000-0005-0000-0000-0000BB020000}"/>
    <cellStyle name="Comma 2 2 11 3" xfId="703" xr:uid="{00000000-0005-0000-0000-0000BC020000}"/>
    <cellStyle name="Comma 2 2 11 3 2" xfId="704" xr:uid="{00000000-0005-0000-0000-0000BD020000}"/>
    <cellStyle name="Comma 2 2 11 3 3" xfId="705" xr:uid="{00000000-0005-0000-0000-0000BE020000}"/>
    <cellStyle name="Comma 2 2 11 4" xfId="706" xr:uid="{00000000-0005-0000-0000-0000BF020000}"/>
    <cellStyle name="Comma 2 2 11 4 2" xfId="707" xr:uid="{00000000-0005-0000-0000-0000C0020000}"/>
    <cellStyle name="Comma 2 2 11 5" xfId="708" xr:uid="{00000000-0005-0000-0000-0000C1020000}"/>
    <cellStyle name="Comma 2 2 11 5 2" xfId="709" xr:uid="{00000000-0005-0000-0000-0000C2020000}"/>
    <cellStyle name="Comma 2 2 11 5 3" xfId="710" xr:uid="{00000000-0005-0000-0000-0000C3020000}"/>
    <cellStyle name="Comma 2 2 11 5 4" xfId="711" xr:uid="{00000000-0005-0000-0000-0000C4020000}"/>
    <cellStyle name="Comma 2 2 11 5 5" xfId="712" xr:uid="{00000000-0005-0000-0000-0000C5020000}"/>
    <cellStyle name="Comma 2 2 11 5 6" xfId="713" xr:uid="{00000000-0005-0000-0000-0000C6020000}"/>
    <cellStyle name="Comma 2 2 11 5 7" xfId="714" xr:uid="{00000000-0005-0000-0000-0000C7020000}"/>
    <cellStyle name="Comma 2 2 11 5 8" xfId="715" xr:uid="{00000000-0005-0000-0000-0000C8020000}"/>
    <cellStyle name="Comma 2 2 11 6" xfId="716" xr:uid="{00000000-0005-0000-0000-0000C9020000}"/>
    <cellStyle name="Comma 2 2 11 6 2" xfId="717" xr:uid="{00000000-0005-0000-0000-0000CA020000}"/>
    <cellStyle name="Comma 2 2 11 7" xfId="718" xr:uid="{00000000-0005-0000-0000-0000CB020000}"/>
    <cellStyle name="Comma 2 2 11 7 2" xfId="719" xr:uid="{00000000-0005-0000-0000-0000CC020000}"/>
    <cellStyle name="Comma 2 2 11 7 3" xfId="720" xr:uid="{00000000-0005-0000-0000-0000CD020000}"/>
    <cellStyle name="Comma 2 2 11 7 4" xfId="721" xr:uid="{00000000-0005-0000-0000-0000CE020000}"/>
    <cellStyle name="Comma 2 2 11 7 5" xfId="722" xr:uid="{00000000-0005-0000-0000-0000CF020000}"/>
    <cellStyle name="Comma 2 2 11 7 6" xfId="723" xr:uid="{00000000-0005-0000-0000-0000D0020000}"/>
    <cellStyle name="Comma 2 2 11 7 7" xfId="724" xr:uid="{00000000-0005-0000-0000-0000D1020000}"/>
    <cellStyle name="Comma 2 2 11 7 8" xfId="725" xr:uid="{00000000-0005-0000-0000-0000D2020000}"/>
    <cellStyle name="Comma 2 2 11 8" xfId="726" xr:uid="{00000000-0005-0000-0000-0000D3020000}"/>
    <cellStyle name="Comma 2 2 11 8 2" xfId="727" xr:uid="{00000000-0005-0000-0000-0000D4020000}"/>
    <cellStyle name="Comma 2 2 11 8 3" xfId="728" xr:uid="{00000000-0005-0000-0000-0000D5020000}"/>
    <cellStyle name="Comma 2 2 11 8 4" xfId="729" xr:uid="{00000000-0005-0000-0000-0000D6020000}"/>
    <cellStyle name="Comma 2 2 11 8 5" xfId="730" xr:uid="{00000000-0005-0000-0000-0000D7020000}"/>
    <cellStyle name="Comma 2 2 11 8 6" xfId="731" xr:uid="{00000000-0005-0000-0000-0000D8020000}"/>
    <cellStyle name="Comma 2 2 11 8 7" xfId="732" xr:uid="{00000000-0005-0000-0000-0000D9020000}"/>
    <cellStyle name="Comma 2 2 11 8 8" xfId="733" xr:uid="{00000000-0005-0000-0000-0000DA020000}"/>
    <cellStyle name="Comma 2 2 11 9" xfId="734" xr:uid="{00000000-0005-0000-0000-0000DB020000}"/>
    <cellStyle name="Comma 2 2 11 9 2" xfId="735" xr:uid="{00000000-0005-0000-0000-0000DC020000}"/>
    <cellStyle name="Comma 2 2 11 9 3" xfId="736" xr:uid="{00000000-0005-0000-0000-0000DD020000}"/>
    <cellStyle name="Comma 2 2 11 9 4" xfId="737" xr:uid="{00000000-0005-0000-0000-0000DE020000}"/>
    <cellStyle name="Comma 2 2 11 9 5" xfId="738" xr:uid="{00000000-0005-0000-0000-0000DF020000}"/>
    <cellStyle name="Comma 2 2 11 9 6" xfId="739" xr:uid="{00000000-0005-0000-0000-0000E0020000}"/>
    <cellStyle name="Comma 2 2 11 9 7" xfId="740" xr:uid="{00000000-0005-0000-0000-0000E1020000}"/>
    <cellStyle name="Comma 2 2 11 9 8" xfId="741" xr:uid="{00000000-0005-0000-0000-0000E2020000}"/>
    <cellStyle name="Comma 2 2 12" xfId="742" xr:uid="{00000000-0005-0000-0000-0000E3020000}"/>
    <cellStyle name="Comma 2 2 12 10" xfId="743" xr:uid="{00000000-0005-0000-0000-0000E4020000}"/>
    <cellStyle name="Comma 2 2 12 11" xfId="744" xr:uid="{00000000-0005-0000-0000-0000E5020000}"/>
    <cellStyle name="Comma 2 2 12 12" xfId="745" xr:uid="{00000000-0005-0000-0000-0000E6020000}"/>
    <cellStyle name="Comma 2 2 12 13" xfId="746" xr:uid="{00000000-0005-0000-0000-0000E7020000}"/>
    <cellStyle name="Comma 2 2 12 14" xfId="747" xr:uid="{00000000-0005-0000-0000-0000E8020000}"/>
    <cellStyle name="Comma 2 2 12 15" xfId="748" xr:uid="{00000000-0005-0000-0000-0000E9020000}"/>
    <cellStyle name="Comma 2 2 12 16" xfId="749" xr:uid="{00000000-0005-0000-0000-0000EA020000}"/>
    <cellStyle name="Comma 2 2 12 17" xfId="750" xr:uid="{00000000-0005-0000-0000-0000EB020000}"/>
    <cellStyle name="Comma 2 2 12 18" xfId="751" xr:uid="{00000000-0005-0000-0000-0000EC020000}"/>
    <cellStyle name="Comma 2 2 12 19" xfId="752" xr:uid="{00000000-0005-0000-0000-0000ED020000}"/>
    <cellStyle name="Comma 2 2 12 2" xfId="753" xr:uid="{00000000-0005-0000-0000-0000EE020000}"/>
    <cellStyle name="Comma 2 2 12 2 10" xfId="754" xr:uid="{00000000-0005-0000-0000-0000EF020000}"/>
    <cellStyle name="Comma 2 2 12 2 10 2" xfId="755" xr:uid="{00000000-0005-0000-0000-0000F0020000}"/>
    <cellStyle name="Comma 2 2 12 2 2" xfId="756" xr:uid="{00000000-0005-0000-0000-0000F1020000}"/>
    <cellStyle name="Comma 2 2 12 2 2 10" xfId="757" xr:uid="{00000000-0005-0000-0000-0000F2020000}"/>
    <cellStyle name="Comma 2 2 12 2 2 11" xfId="758" xr:uid="{00000000-0005-0000-0000-0000F3020000}"/>
    <cellStyle name="Comma 2 2 12 2 2 12" xfId="759" xr:uid="{00000000-0005-0000-0000-0000F4020000}"/>
    <cellStyle name="Comma 2 2 12 2 2 13" xfId="760" xr:uid="{00000000-0005-0000-0000-0000F5020000}"/>
    <cellStyle name="Comma 2 2 12 2 2 14" xfId="761" xr:uid="{00000000-0005-0000-0000-0000F6020000}"/>
    <cellStyle name="Comma 2 2 12 2 2 15" xfId="762" xr:uid="{00000000-0005-0000-0000-0000F7020000}"/>
    <cellStyle name="Comma 2 2 12 2 2 2" xfId="763" xr:uid="{00000000-0005-0000-0000-0000F8020000}"/>
    <cellStyle name="Comma 2 2 12 2 2 2 2" xfId="764" xr:uid="{00000000-0005-0000-0000-0000F9020000}"/>
    <cellStyle name="Comma 2 2 12 2 2 2 2 10" xfId="765" xr:uid="{00000000-0005-0000-0000-0000FA020000}"/>
    <cellStyle name="Comma 2 2 12 2 2 2 2 11" xfId="766" xr:uid="{00000000-0005-0000-0000-0000FB020000}"/>
    <cellStyle name="Comma 2 2 12 2 2 2 2 12" xfId="767" xr:uid="{00000000-0005-0000-0000-0000FC020000}"/>
    <cellStyle name="Comma 2 2 12 2 2 2 2 2" xfId="768" xr:uid="{00000000-0005-0000-0000-0000FD020000}"/>
    <cellStyle name="Comma 2 2 12 2 2 2 2 3" xfId="769" xr:uid="{00000000-0005-0000-0000-0000FE020000}"/>
    <cellStyle name="Comma 2 2 12 2 2 2 2 4" xfId="770" xr:uid="{00000000-0005-0000-0000-0000FF020000}"/>
    <cellStyle name="Comma 2 2 12 2 2 2 2 5" xfId="771" xr:uid="{00000000-0005-0000-0000-000000030000}"/>
    <cellStyle name="Comma 2 2 12 2 2 2 2 6" xfId="772" xr:uid="{00000000-0005-0000-0000-000001030000}"/>
    <cellStyle name="Comma 2 2 12 2 2 2 2 7" xfId="773" xr:uid="{00000000-0005-0000-0000-000002030000}"/>
    <cellStyle name="Comma 2 2 12 2 2 2 2 8" xfId="774" xr:uid="{00000000-0005-0000-0000-000003030000}"/>
    <cellStyle name="Comma 2 2 12 2 2 2 2 9" xfId="775" xr:uid="{00000000-0005-0000-0000-000004030000}"/>
    <cellStyle name="Comma 2 2 12 2 2 2 3" xfId="776" xr:uid="{00000000-0005-0000-0000-000005030000}"/>
    <cellStyle name="Comma 2 2 12 2 2 2 3 10" xfId="777" xr:uid="{00000000-0005-0000-0000-000006030000}"/>
    <cellStyle name="Comma 2 2 12 2 2 2 3 11" xfId="778" xr:uid="{00000000-0005-0000-0000-000007030000}"/>
    <cellStyle name="Comma 2 2 12 2 2 2 3 2" xfId="779" xr:uid="{00000000-0005-0000-0000-000008030000}"/>
    <cellStyle name="Comma 2 2 12 2 2 2 3 3" xfId="780" xr:uid="{00000000-0005-0000-0000-000009030000}"/>
    <cellStyle name="Comma 2 2 12 2 2 2 3 4" xfId="781" xr:uid="{00000000-0005-0000-0000-00000A030000}"/>
    <cellStyle name="Comma 2 2 12 2 2 2 3 5" xfId="782" xr:uid="{00000000-0005-0000-0000-00000B030000}"/>
    <cellStyle name="Comma 2 2 12 2 2 2 3 6" xfId="783" xr:uid="{00000000-0005-0000-0000-00000C030000}"/>
    <cellStyle name="Comma 2 2 12 2 2 2 3 7" xfId="784" xr:uid="{00000000-0005-0000-0000-00000D030000}"/>
    <cellStyle name="Comma 2 2 12 2 2 2 3 8" xfId="785" xr:uid="{00000000-0005-0000-0000-00000E030000}"/>
    <cellStyle name="Comma 2 2 12 2 2 2 3 9" xfId="786" xr:uid="{00000000-0005-0000-0000-00000F030000}"/>
    <cellStyle name="Comma 2 2 12 2 2 2 4" xfId="787" xr:uid="{00000000-0005-0000-0000-000010030000}"/>
    <cellStyle name="Comma 2 2 12 2 2 2 5" xfId="788" xr:uid="{00000000-0005-0000-0000-000011030000}"/>
    <cellStyle name="Comma 2 2 12 2 2 2 6" xfId="789" xr:uid="{00000000-0005-0000-0000-000012030000}"/>
    <cellStyle name="Comma 2 2 12 2 2 3" xfId="790" xr:uid="{00000000-0005-0000-0000-000013030000}"/>
    <cellStyle name="Comma 2 2 12 2 2 4" xfId="791" xr:uid="{00000000-0005-0000-0000-000014030000}"/>
    <cellStyle name="Comma 2 2 12 2 2 5" xfId="792" xr:uid="{00000000-0005-0000-0000-000015030000}"/>
    <cellStyle name="Comma 2 2 12 2 2 6" xfId="793" xr:uid="{00000000-0005-0000-0000-000016030000}"/>
    <cellStyle name="Comma 2 2 12 2 2 7" xfId="794" xr:uid="{00000000-0005-0000-0000-000017030000}"/>
    <cellStyle name="Comma 2 2 12 2 2 8" xfId="795" xr:uid="{00000000-0005-0000-0000-000018030000}"/>
    <cellStyle name="Comma 2 2 12 2 2 9" xfId="796" xr:uid="{00000000-0005-0000-0000-000019030000}"/>
    <cellStyle name="Comma 2 2 12 2 2 9 2" xfId="797" xr:uid="{00000000-0005-0000-0000-00001A030000}"/>
    <cellStyle name="Comma 2 2 12 2 3" xfId="798" xr:uid="{00000000-0005-0000-0000-00001B030000}"/>
    <cellStyle name="Comma 2 2 12 2 3 10" xfId="799" xr:uid="{00000000-0005-0000-0000-00001C030000}"/>
    <cellStyle name="Comma 2 2 12 2 3 11" xfId="800" xr:uid="{00000000-0005-0000-0000-00001D030000}"/>
    <cellStyle name="Comma 2 2 12 2 3 12" xfId="801" xr:uid="{00000000-0005-0000-0000-00001E030000}"/>
    <cellStyle name="Comma 2 2 12 2 3 2" xfId="802" xr:uid="{00000000-0005-0000-0000-00001F030000}"/>
    <cellStyle name="Comma 2 2 12 2 3 3" xfId="803" xr:uid="{00000000-0005-0000-0000-000020030000}"/>
    <cellStyle name="Comma 2 2 12 2 3 4" xfId="804" xr:uid="{00000000-0005-0000-0000-000021030000}"/>
    <cellStyle name="Comma 2 2 12 2 3 5" xfId="805" xr:uid="{00000000-0005-0000-0000-000022030000}"/>
    <cellStyle name="Comma 2 2 12 2 3 6" xfId="806" xr:uid="{00000000-0005-0000-0000-000023030000}"/>
    <cellStyle name="Comma 2 2 12 2 3 6 2" xfId="807" xr:uid="{00000000-0005-0000-0000-000024030000}"/>
    <cellStyle name="Comma 2 2 12 2 3 7" xfId="808" xr:uid="{00000000-0005-0000-0000-000025030000}"/>
    <cellStyle name="Comma 2 2 12 2 3 8" xfId="809" xr:uid="{00000000-0005-0000-0000-000026030000}"/>
    <cellStyle name="Comma 2 2 12 2 3 9" xfId="810" xr:uid="{00000000-0005-0000-0000-000027030000}"/>
    <cellStyle name="Comma 2 2 12 2 4" xfId="811" xr:uid="{00000000-0005-0000-0000-000028030000}"/>
    <cellStyle name="Comma 2 2 12 2 4 10" xfId="812" xr:uid="{00000000-0005-0000-0000-000029030000}"/>
    <cellStyle name="Comma 2 2 12 2 4 11" xfId="813" xr:uid="{00000000-0005-0000-0000-00002A030000}"/>
    <cellStyle name="Comma 2 2 12 2 4 12" xfId="814" xr:uid="{00000000-0005-0000-0000-00002B030000}"/>
    <cellStyle name="Comma 2 2 12 2 4 2" xfId="815" xr:uid="{00000000-0005-0000-0000-00002C030000}"/>
    <cellStyle name="Comma 2 2 12 2 4 3" xfId="816" xr:uid="{00000000-0005-0000-0000-00002D030000}"/>
    <cellStyle name="Comma 2 2 12 2 4 4" xfId="817" xr:uid="{00000000-0005-0000-0000-00002E030000}"/>
    <cellStyle name="Comma 2 2 12 2 4 5" xfId="818" xr:uid="{00000000-0005-0000-0000-00002F030000}"/>
    <cellStyle name="Comma 2 2 12 2 4 6" xfId="819" xr:uid="{00000000-0005-0000-0000-000030030000}"/>
    <cellStyle name="Comma 2 2 12 2 4 6 2" xfId="820" xr:uid="{00000000-0005-0000-0000-000031030000}"/>
    <cellStyle name="Comma 2 2 12 2 4 7" xfId="821" xr:uid="{00000000-0005-0000-0000-000032030000}"/>
    <cellStyle name="Comma 2 2 12 2 4 8" xfId="822" xr:uid="{00000000-0005-0000-0000-000033030000}"/>
    <cellStyle name="Comma 2 2 12 2 4 9" xfId="823" xr:uid="{00000000-0005-0000-0000-000034030000}"/>
    <cellStyle name="Comma 2 2 12 2 5" xfId="824" xr:uid="{00000000-0005-0000-0000-000035030000}"/>
    <cellStyle name="Comma 2 2 12 2 5 10" xfId="825" xr:uid="{00000000-0005-0000-0000-000036030000}"/>
    <cellStyle name="Comma 2 2 12 2 5 11" xfId="826" xr:uid="{00000000-0005-0000-0000-000037030000}"/>
    <cellStyle name="Comma 2 2 12 2 5 12" xfId="827" xr:uid="{00000000-0005-0000-0000-000038030000}"/>
    <cellStyle name="Comma 2 2 12 2 5 2" xfId="828" xr:uid="{00000000-0005-0000-0000-000039030000}"/>
    <cellStyle name="Comma 2 2 12 2 5 3" xfId="829" xr:uid="{00000000-0005-0000-0000-00003A030000}"/>
    <cellStyle name="Comma 2 2 12 2 5 4" xfId="830" xr:uid="{00000000-0005-0000-0000-00003B030000}"/>
    <cellStyle name="Comma 2 2 12 2 5 5" xfId="831" xr:uid="{00000000-0005-0000-0000-00003C030000}"/>
    <cellStyle name="Comma 2 2 12 2 5 6" xfId="832" xr:uid="{00000000-0005-0000-0000-00003D030000}"/>
    <cellStyle name="Comma 2 2 12 2 5 6 2" xfId="833" xr:uid="{00000000-0005-0000-0000-00003E030000}"/>
    <cellStyle name="Comma 2 2 12 2 5 7" xfId="834" xr:uid="{00000000-0005-0000-0000-00003F030000}"/>
    <cellStyle name="Comma 2 2 12 2 5 8" xfId="835" xr:uid="{00000000-0005-0000-0000-000040030000}"/>
    <cellStyle name="Comma 2 2 12 2 5 9" xfId="836" xr:uid="{00000000-0005-0000-0000-000041030000}"/>
    <cellStyle name="Comma 2 2 12 2 6" xfId="837" xr:uid="{00000000-0005-0000-0000-000042030000}"/>
    <cellStyle name="Comma 2 2 12 2 6 10" xfId="838" xr:uid="{00000000-0005-0000-0000-000043030000}"/>
    <cellStyle name="Comma 2 2 12 2 6 11" xfId="839" xr:uid="{00000000-0005-0000-0000-000044030000}"/>
    <cellStyle name="Comma 2 2 12 2 6 12" xfId="840" xr:uid="{00000000-0005-0000-0000-000045030000}"/>
    <cellStyle name="Comma 2 2 12 2 6 2" xfId="841" xr:uid="{00000000-0005-0000-0000-000046030000}"/>
    <cellStyle name="Comma 2 2 12 2 6 3" xfId="842" xr:uid="{00000000-0005-0000-0000-000047030000}"/>
    <cellStyle name="Comma 2 2 12 2 6 4" xfId="843" xr:uid="{00000000-0005-0000-0000-000048030000}"/>
    <cellStyle name="Comma 2 2 12 2 6 5" xfId="844" xr:uid="{00000000-0005-0000-0000-000049030000}"/>
    <cellStyle name="Comma 2 2 12 2 6 6" xfId="845" xr:uid="{00000000-0005-0000-0000-00004A030000}"/>
    <cellStyle name="Comma 2 2 12 2 6 6 2" xfId="846" xr:uid="{00000000-0005-0000-0000-00004B030000}"/>
    <cellStyle name="Comma 2 2 12 2 6 7" xfId="847" xr:uid="{00000000-0005-0000-0000-00004C030000}"/>
    <cellStyle name="Comma 2 2 12 2 6 8" xfId="848" xr:uid="{00000000-0005-0000-0000-00004D030000}"/>
    <cellStyle name="Comma 2 2 12 2 6 9" xfId="849" xr:uid="{00000000-0005-0000-0000-00004E030000}"/>
    <cellStyle name="Comma 2 2 12 2 7" xfId="850" xr:uid="{00000000-0005-0000-0000-00004F030000}"/>
    <cellStyle name="Comma 2 2 12 2 7 10" xfId="851" xr:uid="{00000000-0005-0000-0000-000050030000}"/>
    <cellStyle name="Comma 2 2 12 2 7 11" xfId="852" xr:uid="{00000000-0005-0000-0000-000051030000}"/>
    <cellStyle name="Comma 2 2 12 2 7 2" xfId="853" xr:uid="{00000000-0005-0000-0000-000052030000}"/>
    <cellStyle name="Comma 2 2 12 2 7 3" xfId="854" xr:uid="{00000000-0005-0000-0000-000053030000}"/>
    <cellStyle name="Comma 2 2 12 2 7 4" xfId="855" xr:uid="{00000000-0005-0000-0000-000054030000}"/>
    <cellStyle name="Comma 2 2 12 2 7 5" xfId="856" xr:uid="{00000000-0005-0000-0000-000055030000}"/>
    <cellStyle name="Comma 2 2 12 2 7 6" xfId="857" xr:uid="{00000000-0005-0000-0000-000056030000}"/>
    <cellStyle name="Comma 2 2 12 2 7 7" xfId="858" xr:uid="{00000000-0005-0000-0000-000057030000}"/>
    <cellStyle name="Comma 2 2 12 2 7 8" xfId="859" xr:uid="{00000000-0005-0000-0000-000058030000}"/>
    <cellStyle name="Comma 2 2 12 2 7 9" xfId="860" xr:uid="{00000000-0005-0000-0000-000059030000}"/>
    <cellStyle name="Comma 2 2 12 2 8" xfId="861" xr:uid="{00000000-0005-0000-0000-00005A030000}"/>
    <cellStyle name="Comma 2 2 12 2 8 10" xfId="862" xr:uid="{00000000-0005-0000-0000-00005B030000}"/>
    <cellStyle name="Comma 2 2 12 2 8 11" xfId="863" xr:uid="{00000000-0005-0000-0000-00005C030000}"/>
    <cellStyle name="Comma 2 2 12 2 8 2" xfId="864" xr:uid="{00000000-0005-0000-0000-00005D030000}"/>
    <cellStyle name="Comma 2 2 12 2 8 3" xfId="865" xr:uid="{00000000-0005-0000-0000-00005E030000}"/>
    <cellStyle name="Comma 2 2 12 2 8 4" xfId="866" xr:uid="{00000000-0005-0000-0000-00005F030000}"/>
    <cellStyle name="Comma 2 2 12 2 8 5" xfId="867" xr:uid="{00000000-0005-0000-0000-000060030000}"/>
    <cellStyle name="Comma 2 2 12 2 8 6" xfId="868" xr:uid="{00000000-0005-0000-0000-000061030000}"/>
    <cellStyle name="Comma 2 2 12 2 8 7" xfId="869" xr:uid="{00000000-0005-0000-0000-000062030000}"/>
    <cellStyle name="Comma 2 2 12 2 8 8" xfId="870" xr:uid="{00000000-0005-0000-0000-000063030000}"/>
    <cellStyle name="Comma 2 2 12 2 8 9" xfId="871" xr:uid="{00000000-0005-0000-0000-000064030000}"/>
    <cellStyle name="Comma 2 2 12 2 9" xfId="872" xr:uid="{00000000-0005-0000-0000-000065030000}"/>
    <cellStyle name="Comma 2 2 12 20" xfId="873" xr:uid="{00000000-0005-0000-0000-000066030000}"/>
    <cellStyle name="Comma 2 2 12 20 2" xfId="874" xr:uid="{00000000-0005-0000-0000-000067030000}"/>
    <cellStyle name="Comma 2 2 12 21" xfId="875" xr:uid="{00000000-0005-0000-0000-000068030000}"/>
    <cellStyle name="Comma 2 2 12 22" xfId="876" xr:uid="{00000000-0005-0000-0000-000069030000}"/>
    <cellStyle name="Comma 2 2 12 23" xfId="877" xr:uid="{00000000-0005-0000-0000-00006A030000}"/>
    <cellStyle name="Comma 2 2 12 24" xfId="878" xr:uid="{00000000-0005-0000-0000-00006B030000}"/>
    <cellStyle name="Comma 2 2 12 25" xfId="879" xr:uid="{00000000-0005-0000-0000-00006C030000}"/>
    <cellStyle name="Comma 2 2 12 26" xfId="880" xr:uid="{00000000-0005-0000-0000-00006D030000}"/>
    <cellStyle name="Comma 2 2 12 27" xfId="881" xr:uid="{00000000-0005-0000-0000-00006E030000}"/>
    <cellStyle name="Comma 2 2 12 3" xfId="882" xr:uid="{00000000-0005-0000-0000-00006F030000}"/>
    <cellStyle name="Comma 2 2 12 3 2" xfId="883" xr:uid="{00000000-0005-0000-0000-000070030000}"/>
    <cellStyle name="Comma 2 2 12 3 2 10" xfId="884" xr:uid="{00000000-0005-0000-0000-000071030000}"/>
    <cellStyle name="Comma 2 2 12 3 2 11" xfId="885" xr:uid="{00000000-0005-0000-0000-000072030000}"/>
    <cellStyle name="Comma 2 2 12 3 2 12" xfId="886" xr:uid="{00000000-0005-0000-0000-000073030000}"/>
    <cellStyle name="Comma 2 2 12 3 2 2" xfId="887" xr:uid="{00000000-0005-0000-0000-000074030000}"/>
    <cellStyle name="Comma 2 2 12 3 2 3" xfId="888" xr:uid="{00000000-0005-0000-0000-000075030000}"/>
    <cellStyle name="Comma 2 2 12 3 2 4" xfId="889" xr:uid="{00000000-0005-0000-0000-000076030000}"/>
    <cellStyle name="Comma 2 2 12 3 2 5" xfId="890" xr:uid="{00000000-0005-0000-0000-000077030000}"/>
    <cellStyle name="Comma 2 2 12 3 2 6" xfId="891" xr:uid="{00000000-0005-0000-0000-000078030000}"/>
    <cellStyle name="Comma 2 2 12 3 2 6 2" xfId="892" xr:uid="{00000000-0005-0000-0000-000079030000}"/>
    <cellStyle name="Comma 2 2 12 3 2 7" xfId="893" xr:uid="{00000000-0005-0000-0000-00007A030000}"/>
    <cellStyle name="Comma 2 2 12 3 2 8" xfId="894" xr:uid="{00000000-0005-0000-0000-00007B030000}"/>
    <cellStyle name="Comma 2 2 12 3 2 9" xfId="895" xr:uid="{00000000-0005-0000-0000-00007C030000}"/>
    <cellStyle name="Comma 2 2 12 3 3" xfId="896" xr:uid="{00000000-0005-0000-0000-00007D030000}"/>
    <cellStyle name="Comma 2 2 12 3 3 10" xfId="897" xr:uid="{00000000-0005-0000-0000-00007E030000}"/>
    <cellStyle name="Comma 2 2 12 3 3 11" xfId="898" xr:uid="{00000000-0005-0000-0000-00007F030000}"/>
    <cellStyle name="Comma 2 2 12 3 3 12" xfId="899" xr:uid="{00000000-0005-0000-0000-000080030000}"/>
    <cellStyle name="Comma 2 2 12 3 3 2" xfId="900" xr:uid="{00000000-0005-0000-0000-000081030000}"/>
    <cellStyle name="Comma 2 2 12 3 3 3" xfId="901" xr:uid="{00000000-0005-0000-0000-000082030000}"/>
    <cellStyle name="Comma 2 2 12 3 3 4" xfId="902" xr:uid="{00000000-0005-0000-0000-000083030000}"/>
    <cellStyle name="Comma 2 2 12 3 3 5" xfId="903" xr:uid="{00000000-0005-0000-0000-000084030000}"/>
    <cellStyle name="Comma 2 2 12 3 3 6" xfId="904" xr:uid="{00000000-0005-0000-0000-000085030000}"/>
    <cellStyle name="Comma 2 2 12 3 3 6 2" xfId="905" xr:uid="{00000000-0005-0000-0000-000086030000}"/>
    <cellStyle name="Comma 2 2 12 3 3 7" xfId="906" xr:uid="{00000000-0005-0000-0000-000087030000}"/>
    <cellStyle name="Comma 2 2 12 3 3 8" xfId="907" xr:uid="{00000000-0005-0000-0000-000088030000}"/>
    <cellStyle name="Comma 2 2 12 3 3 9" xfId="908" xr:uid="{00000000-0005-0000-0000-000089030000}"/>
    <cellStyle name="Comma 2 2 12 3 4" xfId="909" xr:uid="{00000000-0005-0000-0000-00008A030000}"/>
    <cellStyle name="Comma 2 2 12 3 4 10" xfId="910" xr:uid="{00000000-0005-0000-0000-00008B030000}"/>
    <cellStyle name="Comma 2 2 12 3 4 11" xfId="911" xr:uid="{00000000-0005-0000-0000-00008C030000}"/>
    <cellStyle name="Comma 2 2 12 3 4 12" xfId="912" xr:uid="{00000000-0005-0000-0000-00008D030000}"/>
    <cellStyle name="Comma 2 2 12 3 4 2" xfId="913" xr:uid="{00000000-0005-0000-0000-00008E030000}"/>
    <cellStyle name="Comma 2 2 12 3 4 3" xfId="914" xr:uid="{00000000-0005-0000-0000-00008F030000}"/>
    <cellStyle name="Comma 2 2 12 3 4 4" xfId="915" xr:uid="{00000000-0005-0000-0000-000090030000}"/>
    <cellStyle name="Comma 2 2 12 3 4 5" xfId="916" xr:uid="{00000000-0005-0000-0000-000091030000}"/>
    <cellStyle name="Comma 2 2 12 3 4 6" xfId="917" xr:uid="{00000000-0005-0000-0000-000092030000}"/>
    <cellStyle name="Comma 2 2 12 3 4 6 2" xfId="918" xr:uid="{00000000-0005-0000-0000-000093030000}"/>
    <cellStyle name="Comma 2 2 12 3 4 7" xfId="919" xr:uid="{00000000-0005-0000-0000-000094030000}"/>
    <cellStyle name="Comma 2 2 12 3 4 8" xfId="920" xr:uid="{00000000-0005-0000-0000-000095030000}"/>
    <cellStyle name="Comma 2 2 12 3 4 9" xfId="921" xr:uid="{00000000-0005-0000-0000-000096030000}"/>
    <cellStyle name="Comma 2 2 12 3 5" xfId="922" xr:uid="{00000000-0005-0000-0000-000097030000}"/>
    <cellStyle name="Comma 2 2 12 3 5 10" xfId="923" xr:uid="{00000000-0005-0000-0000-000098030000}"/>
    <cellStyle name="Comma 2 2 12 3 5 11" xfId="924" xr:uid="{00000000-0005-0000-0000-000099030000}"/>
    <cellStyle name="Comma 2 2 12 3 5 12" xfId="925" xr:uid="{00000000-0005-0000-0000-00009A030000}"/>
    <cellStyle name="Comma 2 2 12 3 5 2" xfId="926" xr:uid="{00000000-0005-0000-0000-00009B030000}"/>
    <cellStyle name="Comma 2 2 12 3 5 3" xfId="927" xr:uid="{00000000-0005-0000-0000-00009C030000}"/>
    <cellStyle name="Comma 2 2 12 3 5 4" xfId="928" xr:uid="{00000000-0005-0000-0000-00009D030000}"/>
    <cellStyle name="Comma 2 2 12 3 5 5" xfId="929" xr:uid="{00000000-0005-0000-0000-00009E030000}"/>
    <cellStyle name="Comma 2 2 12 3 5 6" xfId="930" xr:uid="{00000000-0005-0000-0000-00009F030000}"/>
    <cellStyle name="Comma 2 2 12 3 5 6 2" xfId="931" xr:uid="{00000000-0005-0000-0000-0000A0030000}"/>
    <cellStyle name="Comma 2 2 12 3 5 7" xfId="932" xr:uid="{00000000-0005-0000-0000-0000A1030000}"/>
    <cellStyle name="Comma 2 2 12 3 5 8" xfId="933" xr:uid="{00000000-0005-0000-0000-0000A2030000}"/>
    <cellStyle name="Comma 2 2 12 3 5 9" xfId="934" xr:uid="{00000000-0005-0000-0000-0000A3030000}"/>
    <cellStyle name="Comma 2 2 12 3 6" xfId="935" xr:uid="{00000000-0005-0000-0000-0000A4030000}"/>
    <cellStyle name="Comma 2 2 12 4" xfId="936" xr:uid="{00000000-0005-0000-0000-0000A5030000}"/>
    <cellStyle name="Comma 2 2 12 4 2" xfId="937" xr:uid="{00000000-0005-0000-0000-0000A6030000}"/>
    <cellStyle name="Comma 2 2 12 4 2 10" xfId="938" xr:uid="{00000000-0005-0000-0000-0000A7030000}"/>
    <cellStyle name="Comma 2 2 12 4 2 11" xfId="939" xr:uid="{00000000-0005-0000-0000-0000A8030000}"/>
    <cellStyle name="Comma 2 2 12 4 2 12" xfId="940" xr:uid="{00000000-0005-0000-0000-0000A9030000}"/>
    <cellStyle name="Comma 2 2 12 4 2 2" xfId="941" xr:uid="{00000000-0005-0000-0000-0000AA030000}"/>
    <cellStyle name="Comma 2 2 12 4 2 3" xfId="942" xr:uid="{00000000-0005-0000-0000-0000AB030000}"/>
    <cellStyle name="Comma 2 2 12 4 2 4" xfId="943" xr:uid="{00000000-0005-0000-0000-0000AC030000}"/>
    <cellStyle name="Comma 2 2 12 4 2 5" xfId="944" xr:uid="{00000000-0005-0000-0000-0000AD030000}"/>
    <cellStyle name="Comma 2 2 12 4 2 6" xfId="945" xr:uid="{00000000-0005-0000-0000-0000AE030000}"/>
    <cellStyle name="Comma 2 2 12 4 2 6 2" xfId="946" xr:uid="{00000000-0005-0000-0000-0000AF030000}"/>
    <cellStyle name="Comma 2 2 12 4 2 7" xfId="947" xr:uid="{00000000-0005-0000-0000-0000B0030000}"/>
    <cellStyle name="Comma 2 2 12 4 2 8" xfId="948" xr:uid="{00000000-0005-0000-0000-0000B1030000}"/>
    <cellStyle name="Comma 2 2 12 4 2 9" xfId="949" xr:uid="{00000000-0005-0000-0000-0000B2030000}"/>
    <cellStyle name="Comma 2 2 12 4 3" xfId="950" xr:uid="{00000000-0005-0000-0000-0000B3030000}"/>
    <cellStyle name="Comma 2 2 12 4 3 10" xfId="951" xr:uid="{00000000-0005-0000-0000-0000B4030000}"/>
    <cellStyle name="Comma 2 2 12 4 3 11" xfId="952" xr:uid="{00000000-0005-0000-0000-0000B5030000}"/>
    <cellStyle name="Comma 2 2 12 4 3 12" xfId="953" xr:uid="{00000000-0005-0000-0000-0000B6030000}"/>
    <cellStyle name="Comma 2 2 12 4 3 2" xfId="954" xr:uid="{00000000-0005-0000-0000-0000B7030000}"/>
    <cellStyle name="Comma 2 2 12 4 3 3" xfId="955" xr:uid="{00000000-0005-0000-0000-0000B8030000}"/>
    <cellStyle name="Comma 2 2 12 4 3 4" xfId="956" xr:uid="{00000000-0005-0000-0000-0000B9030000}"/>
    <cellStyle name="Comma 2 2 12 4 3 5" xfId="957" xr:uid="{00000000-0005-0000-0000-0000BA030000}"/>
    <cellStyle name="Comma 2 2 12 4 3 6" xfId="958" xr:uid="{00000000-0005-0000-0000-0000BB030000}"/>
    <cellStyle name="Comma 2 2 12 4 3 6 2" xfId="959" xr:uid="{00000000-0005-0000-0000-0000BC030000}"/>
    <cellStyle name="Comma 2 2 12 4 3 7" xfId="960" xr:uid="{00000000-0005-0000-0000-0000BD030000}"/>
    <cellStyle name="Comma 2 2 12 4 3 8" xfId="961" xr:uid="{00000000-0005-0000-0000-0000BE030000}"/>
    <cellStyle name="Comma 2 2 12 4 3 9" xfId="962" xr:uid="{00000000-0005-0000-0000-0000BF030000}"/>
    <cellStyle name="Comma 2 2 12 4 4" xfId="963" xr:uid="{00000000-0005-0000-0000-0000C0030000}"/>
    <cellStyle name="Comma 2 2 12 4 4 10" xfId="964" xr:uid="{00000000-0005-0000-0000-0000C1030000}"/>
    <cellStyle name="Comma 2 2 12 4 4 11" xfId="965" xr:uid="{00000000-0005-0000-0000-0000C2030000}"/>
    <cellStyle name="Comma 2 2 12 4 4 12" xfId="966" xr:uid="{00000000-0005-0000-0000-0000C3030000}"/>
    <cellStyle name="Comma 2 2 12 4 4 2" xfId="967" xr:uid="{00000000-0005-0000-0000-0000C4030000}"/>
    <cellStyle name="Comma 2 2 12 4 4 3" xfId="968" xr:uid="{00000000-0005-0000-0000-0000C5030000}"/>
    <cellStyle name="Comma 2 2 12 4 4 4" xfId="969" xr:uid="{00000000-0005-0000-0000-0000C6030000}"/>
    <cellStyle name="Comma 2 2 12 4 4 5" xfId="970" xr:uid="{00000000-0005-0000-0000-0000C7030000}"/>
    <cellStyle name="Comma 2 2 12 4 4 6" xfId="971" xr:uid="{00000000-0005-0000-0000-0000C8030000}"/>
    <cellStyle name="Comma 2 2 12 4 4 6 2" xfId="972" xr:uid="{00000000-0005-0000-0000-0000C9030000}"/>
    <cellStyle name="Comma 2 2 12 4 4 7" xfId="973" xr:uid="{00000000-0005-0000-0000-0000CA030000}"/>
    <cellStyle name="Comma 2 2 12 4 4 8" xfId="974" xr:uid="{00000000-0005-0000-0000-0000CB030000}"/>
    <cellStyle name="Comma 2 2 12 4 4 9" xfId="975" xr:uid="{00000000-0005-0000-0000-0000CC030000}"/>
    <cellStyle name="Comma 2 2 12 5" xfId="976" xr:uid="{00000000-0005-0000-0000-0000CD030000}"/>
    <cellStyle name="Comma 2 2 12 5 2" xfId="977" xr:uid="{00000000-0005-0000-0000-0000CE030000}"/>
    <cellStyle name="Comma 2 2 12 5 2 10" xfId="978" xr:uid="{00000000-0005-0000-0000-0000CF030000}"/>
    <cellStyle name="Comma 2 2 12 5 2 11" xfId="979" xr:uid="{00000000-0005-0000-0000-0000D0030000}"/>
    <cellStyle name="Comma 2 2 12 5 2 12" xfId="980" xr:uid="{00000000-0005-0000-0000-0000D1030000}"/>
    <cellStyle name="Comma 2 2 12 5 2 2" xfId="981" xr:uid="{00000000-0005-0000-0000-0000D2030000}"/>
    <cellStyle name="Comma 2 2 12 5 2 3" xfId="982" xr:uid="{00000000-0005-0000-0000-0000D3030000}"/>
    <cellStyle name="Comma 2 2 12 5 2 4" xfId="983" xr:uid="{00000000-0005-0000-0000-0000D4030000}"/>
    <cellStyle name="Comma 2 2 12 5 2 5" xfId="984" xr:uid="{00000000-0005-0000-0000-0000D5030000}"/>
    <cellStyle name="Comma 2 2 12 5 2 6" xfId="985" xr:uid="{00000000-0005-0000-0000-0000D6030000}"/>
    <cellStyle name="Comma 2 2 12 5 2 6 2" xfId="986" xr:uid="{00000000-0005-0000-0000-0000D7030000}"/>
    <cellStyle name="Comma 2 2 12 5 2 7" xfId="987" xr:uid="{00000000-0005-0000-0000-0000D8030000}"/>
    <cellStyle name="Comma 2 2 12 5 2 8" xfId="988" xr:uid="{00000000-0005-0000-0000-0000D9030000}"/>
    <cellStyle name="Comma 2 2 12 5 2 9" xfId="989" xr:uid="{00000000-0005-0000-0000-0000DA030000}"/>
    <cellStyle name="Comma 2 2 12 5 3" xfId="990" xr:uid="{00000000-0005-0000-0000-0000DB030000}"/>
    <cellStyle name="Comma 2 2 12 5 3 10" xfId="991" xr:uid="{00000000-0005-0000-0000-0000DC030000}"/>
    <cellStyle name="Comma 2 2 12 5 3 11" xfId="992" xr:uid="{00000000-0005-0000-0000-0000DD030000}"/>
    <cellStyle name="Comma 2 2 12 5 3 12" xfId="993" xr:uid="{00000000-0005-0000-0000-0000DE030000}"/>
    <cellStyle name="Comma 2 2 12 5 3 2" xfId="994" xr:uid="{00000000-0005-0000-0000-0000DF030000}"/>
    <cellStyle name="Comma 2 2 12 5 3 3" xfId="995" xr:uid="{00000000-0005-0000-0000-0000E0030000}"/>
    <cellStyle name="Comma 2 2 12 5 3 4" xfId="996" xr:uid="{00000000-0005-0000-0000-0000E1030000}"/>
    <cellStyle name="Comma 2 2 12 5 3 5" xfId="997" xr:uid="{00000000-0005-0000-0000-0000E2030000}"/>
    <cellStyle name="Comma 2 2 12 5 3 6" xfId="998" xr:uid="{00000000-0005-0000-0000-0000E3030000}"/>
    <cellStyle name="Comma 2 2 12 5 3 6 2" xfId="999" xr:uid="{00000000-0005-0000-0000-0000E4030000}"/>
    <cellStyle name="Comma 2 2 12 5 3 7" xfId="1000" xr:uid="{00000000-0005-0000-0000-0000E5030000}"/>
    <cellStyle name="Comma 2 2 12 5 3 8" xfId="1001" xr:uid="{00000000-0005-0000-0000-0000E6030000}"/>
    <cellStyle name="Comma 2 2 12 5 3 9" xfId="1002" xr:uid="{00000000-0005-0000-0000-0000E7030000}"/>
    <cellStyle name="Comma 2 2 12 6" xfId="1003" xr:uid="{00000000-0005-0000-0000-0000E8030000}"/>
    <cellStyle name="Comma 2 2 12 6 2" xfId="1004" xr:uid="{00000000-0005-0000-0000-0000E9030000}"/>
    <cellStyle name="Comma 2 2 12 6 2 10" xfId="1005" xr:uid="{00000000-0005-0000-0000-0000EA030000}"/>
    <cellStyle name="Comma 2 2 12 6 2 11" xfId="1006" xr:uid="{00000000-0005-0000-0000-0000EB030000}"/>
    <cellStyle name="Comma 2 2 12 6 2 12" xfId="1007" xr:uid="{00000000-0005-0000-0000-0000EC030000}"/>
    <cellStyle name="Comma 2 2 12 6 2 2" xfId="1008" xr:uid="{00000000-0005-0000-0000-0000ED030000}"/>
    <cellStyle name="Comma 2 2 12 6 2 3" xfId="1009" xr:uid="{00000000-0005-0000-0000-0000EE030000}"/>
    <cellStyle name="Comma 2 2 12 6 2 4" xfId="1010" xr:uid="{00000000-0005-0000-0000-0000EF030000}"/>
    <cellStyle name="Comma 2 2 12 6 2 5" xfId="1011" xr:uid="{00000000-0005-0000-0000-0000F0030000}"/>
    <cellStyle name="Comma 2 2 12 6 2 6" xfId="1012" xr:uid="{00000000-0005-0000-0000-0000F1030000}"/>
    <cellStyle name="Comma 2 2 12 6 2 6 2" xfId="1013" xr:uid="{00000000-0005-0000-0000-0000F2030000}"/>
    <cellStyle name="Comma 2 2 12 6 2 7" xfId="1014" xr:uid="{00000000-0005-0000-0000-0000F3030000}"/>
    <cellStyle name="Comma 2 2 12 6 2 8" xfId="1015" xr:uid="{00000000-0005-0000-0000-0000F4030000}"/>
    <cellStyle name="Comma 2 2 12 6 2 9" xfId="1016" xr:uid="{00000000-0005-0000-0000-0000F5030000}"/>
    <cellStyle name="Comma 2 2 12 7" xfId="1017" xr:uid="{00000000-0005-0000-0000-0000F6030000}"/>
    <cellStyle name="Comma 2 2 12 7 10" xfId="1018" xr:uid="{00000000-0005-0000-0000-0000F7030000}"/>
    <cellStyle name="Comma 2 2 12 7 11" xfId="1019" xr:uid="{00000000-0005-0000-0000-0000F8030000}"/>
    <cellStyle name="Comma 2 2 12 7 12" xfId="1020" xr:uid="{00000000-0005-0000-0000-0000F9030000}"/>
    <cellStyle name="Comma 2 2 12 7 2" xfId="1021" xr:uid="{00000000-0005-0000-0000-0000FA030000}"/>
    <cellStyle name="Comma 2 2 12 7 3" xfId="1022" xr:uid="{00000000-0005-0000-0000-0000FB030000}"/>
    <cellStyle name="Comma 2 2 12 7 4" xfId="1023" xr:uid="{00000000-0005-0000-0000-0000FC030000}"/>
    <cellStyle name="Comma 2 2 12 7 5" xfId="1024" xr:uid="{00000000-0005-0000-0000-0000FD030000}"/>
    <cellStyle name="Comma 2 2 12 7 6" xfId="1025" xr:uid="{00000000-0005-0000-0000-0000FE030000}"/>
    <cellStyle name="Comma 2 2 12 7 6 2" xfId="1026" xr:uid="{00000000-0005-0000-0000-0000FF030000}"/>
    <cellStyle name="Comma 2 2 12 7 7" xfId="1027" xr:uid="{00000000-0005-0000-0000-000000040000}"/>
    <cellStyle name="Comma 2 2 12 7 8" xfId="1028" xr:uid="{00000000-0005-0000-0000-000001040000}"/>
    <cellStyle name="Comma 2 2 12 7 9" xfId="1029" xr:uid="{00000000-0005-0000-0000-000002040000}"/>
    <cellStyle name="Comma 2 2 12 8" xfId="1030" xr:uid="{00000000-0005-0000-0000-000003040000}"/>
    <cellStyle name="Comma 2 2 12 9" xfId="1031" xr:uid="{00000000-0005-0000-0000-000004040000}"/>
    <cellStyle name="Comma 2 2 13" xfId="1032" xr:uid="{00000000-0005-0000-0000-000005040000}"/>
    <cellStyle name="Comma 2 2 13 10" xfId="1033" xr:uid="{00000000-0005-0000-0000-000006040000}"/>
    <cellStyle name="Comma 2 2 13 11" xfId="1034" xr:uid="{00000000-0005-0000-0000-000007040000}"/>
    <cellStyle name="Comma 2 2 13 12" xfId="1035" xr:uid="{00000000-0005-0000-0000-000008040000}"/>
    <cellStyle name="Comma 2 2 13 13" xfId="1036" xr:uid="{00000000-0005-0000-0000-000009040000}"/>
    <cellStyle name="Comma 2 2 13 14" xfId="1037" xr:uid="{00000000-0005-0000-0000-00000A040000}"/>
    <cellStyle name="Comma 2 2 13 14 2" xfId="1038" xr:uid="{00000000-0005-0000-0000-00000B040000}"/>
    <cellStyle name="Comma 2 2 13 15" xfId="1039" xr:uid="{00000000-0005-0000-0000-00000C040000}"/>
    <cellStyle name="Comma 2 2 13 15 2" xfId="1040" xr:uid="{00000000-0005-0000-0000-00000D040000}"/>
    <cellStyle name="Comma 2 2 13 16" xfId="1041" xr:uid="{00000000-0005-0000-0000-00000E040000}"/>
    <cellStyle name="Comma 2 2 13 17" xfId="1042" xr:uid="{00000000-0005-0000-0000-00000F040000}"/>
    <cellStyle name="Comma 2 2 13 18" xfId="1043" xr:uid="{00000000-0005-0000-0000-000010040000}"/>
    <cellStyle name="Comma 2 2 13 19" xfId="1044" xr:uid="{00000000-0005-0000-0000-000011040000}"/>
    <cellStyle name="Comma 2 2 13 2" xfId="1045" xr:uid="{00000000-0005-0000-0000-000012040000}"/>
    <cellStyle name="Comma 2 2 13 2 2" xfId="1046" xr:uid="{00000000-0005-0000-0000-000013040000}"/>
    <cellStyle name="Comma 2 2 13 2 2 2" xfId="1047" xr:uid="{00000000-0005-0000-0000-000014040000}"/>
    <cellStyle name="Comma 2 2 13 2 2 3" xfId="1048" xr:uid="{00000000-0005-0000-0000-000015040000}"/>
    <cellStyle name="Comma 2 2 13 2 2 4" xfId="1049" xr:uid="{00000000-0005-0000-0000-000016040000}"/>
    <cellStyle name="Comma 2 2 13 2 2 5" xfId="1050" xr:uid="{00000000-0005-0000-0000-000017040000}"/>
    <cellStyle name="Comma 2 2 13 2 3" xfId="1051" xr:uid="{00000000-0005-0000-0000-000018040000}"/>
    <cellStyle name="Comma 2 2 13 2 3 2" xfId="1052" xr:uid="{00000000-0005-0000-0000-000019040000}"/>
    <cellStyle name="Comma 2 2 13 2 3 3" xfId="1053" xr:uid="{00000000-0005-0000-0000-00001A040000}"/>
    <cellStyle name="Comma 2 2 13 2 3 4" xfId="1054" xr:uid="{00000000-0005-0000-0000-00001B040000}"/>
    <cellStyle name="Comma 2 2 13 2 4" xfId="1055" xr:uid="{00000000-0005-0000-0000-00001C040000}"/>
    <cellStyle name="Comma 2 2 13 2 4 2" xfId="1056" xr:uid="{00000000-0005-0000-0000-00001D040000}"/>
    <cellStyle name="Comma 2 2 13 2 4 3" xfId="1057" xr:uid="{00000000-0005-0000-0000-00001E040000}"/>
    <cellStyle name="Comma 2 2 13 20" xfId="1058" xr:uid="{00000000-0005-0000-0000-00001F040000}"/>
    <cellStyle name="Comma 2 2 13 3" xfId="1059" xr:uid="{00000000-0005-0000-0000-000020040000}"/>
    <cellStyle name="Comma 2 2 13 3 2" xfId="1060" xr:uid="{00000000-0005-0000-0000-000021040000}"/>
    <cellStyle name="Comma 2 2 13 3 2 2" xfId="1061" xr:uid="{00000000-0005-0000-0000-000022040000}"/>
    <cellStyle name="Comma 2 2 13 3 2 3" xfId="1062" xr:uid="{00000000-0005-0000-0000-000023040000}"/>
    <cellStyle name="Comma 2 2 13 3 3" xfId="1063" xr:uid="{00000000-0005-0000-0000-000024040000}"/>
    <cellStyle name="Comma 2 2 13 3 3 2" xfId="1064" xr:uid="{00000000-0005-0000-0000-000025040000}"/>
    <cellStyle name="Comma 2 2 13 4" xfId="1065" xr:uid="{00000000-0005-0000-0000-000026040000}"/>
    <cellStyle name="Comma 2 2 13 5" xfId="1066" xr:uid="{00000000-0005-0000-0000-000027040000}"/>
    <cellStyle name="Comma 2 2 13 6" xfId="1067" xr:uid="{00000000-0005-0000-0000-000028040000}"/>
    <cellStyle name="Comma 2 2 13 6 2" xfId="1068" xr:uid="{00000000-0005-0000-0000-000029040000}"/>
    <cellStyle name="Comma 2 2 13 6 3" xfId="1069" xr:uid="{00000000-0005-0000-0000-00002A040000}"/>
    <cellStyle name="Comma 2 2 13 7" xfId="1070" xr:uid="{00000000-0005-0000-0000-00002B040000}"/>
    <cellStyle name="Comma 2 2 13 8" xfId="1071" xr:uid="{00000000-0005-0000-0000-00002C040000}"/>
    <cellStyle name="Comma 2 2 13 9" xfId="1072" xr:uid="{00000000-0005-0000-0000-00002D040000}"/>
    <cellStyle name="Comma 2 2 14" xfId="1073" xr:uid="{00000000-0005-0000-0000-00002E040000}"/>
    <cellStyle name="Comma 2 2 14 10" xfId="1074" xr:uid="{00000000-0005-0000-0000-00002F040000}"/>
    <cellStyle name="Comma 2 2 14 11" xfId="1075" xr:uid="{00000000-0005-0000-0000-000030040000}"/>
    <cellStyle name="Comma 2 2 14 12" xfId="1076" xr:uid="{00000000-0005-0000-0000-000031040000}"/>
    <cellStyle name="Comma 2 2 14 12 2" xfId="1077" xr:uid="{00000000-0005-0000-0000-000032040000}"/>
    <cellStyle name="Comma 2 2 14 13" xfId="1078" xr:uid="{00000000-0005-0000-0000-000033040000}"/>
    <cellStyle name="Comma 2 2 14 14" xfId="1079" xr:uid="{00000000-0005-0000-0000-000034040000}"/>
    <cellStyle name="Comma 2 2 14 15" xfId="1080" xr:uid="{00000000-0005-0000-0000-000035040000}"/>
    <cellStyle name="Comma 2 2 14 16" xfId="1081" xr:uid="{00000000-0005-0000-0000-000036040000}"/>
    <cellStyle name="Comma 2 2 14 17" xfId="1082" xr:uid="{00000000-0005-0000-0000-000037040000}"/>
    <cellStyle name="Comma 2 2 14 18" xfId="1083" xr:uid="{00000000-0005-0000-0000-000038040000}"/>
    <cellStyle name="Comma 2 2 14 2" xfId="1084" xr:uid="{00000000-0005-0000-0000-000039040000}"/>
    <cellStyle name="Comma 2 2 14 2 2" xfId="1085" xr:uid="{00000000-0005-0000-0000-00003A040000}"/>
    <cellStyle name="Comma 2 2 14 2 2 2" xfId="1086" xr:uid="{00000000-0005-0000-0000-00003B040000}"/>
    <cellStyle name="Comma 2 2 14 2 2 3" xfId="1087" xr:uid="{00000000-0005-0000-0000-00003C040000}"/>
    <cellStyle name="Comma 2 2 14 2 3" xfId="1088" xr:uid="{00000000-0005-0000-0000-00003D040000}"/>
    <cellStyle name="Comma 2 2 14 2 3 2" xfId="1089" xr:uid="{00000000-0005-0000-0000-00003E040000}"/>
    <cellStyle name="Comma 2 2 14 3" xfId="1090" xr:uid="{00000000-0005-0000-0000-00003F040000}"/>
    <cellStyle name="Comma 2 2 14 4" xfId="1091" xr:uid="{00000000-0005-0000-0000-000040040000}"/>
    <cellStyle name="Comma 2 2 14 5" xfId="1092" xr:uid="{00000000-0005-0000-0000-000041040000}"/>
    <cellStyle name="Comma 2 2 14 5 2" xfId="1093" xr:uid="{00000000-0005-0000-0000-000042040000}"/>
    <cellStyle name="Comma 2 2 14 5 3" xfId="1094" xr:uid="{00000000-0005-0000-0000-000043040000}"/>
    <cellStyle name="Comma 2 2 14 6" xfId="1095" xr:uid="{00000000-0005-0000-0000-000044040000}"/>
    <cellStyle name="Comma 2 2 14 7" xfId="1096" xr:uid="{00000000-0005-0000-0000-000045040000}"/>
    <cellStyle name="Comma 2 2 14 8" xfId="1097" xr:uid="{00000000-0005-0000-0000-000046040000}"/>
    <cellStyle name="Comma 2 2 14 9" xfId="1098" xr:uid="{00000000-0005-0000-0000-000047040000}"/>
    <cellStyle name="Comma 2 2 15" xfId="1099" xr:uid="{00000000-0005-0000-0000-000048040000}"/>
    <cellStyle name="Comma 2 2 15 10" xfId="1100" xr:uid="{00000000-0005-0000-0000-000049040000}"/>
    <cellStyle name="Comma 2 2 15 10 2" xfId="1101" xr:uid="{00000000-0005-0000-0000-00004A040000}"/>
    <cellStyle name="Comma 2 2 15 11" xfId="1102" xr:uid="{00000000-0005-0000-0000-00004B040000}"/>
    <cellStyle name="Comma 2 2 15 12" xfId="1103" xr:uid="{00000000-0005-0000-0000-00004C040000}"/>
    <cellStyle name="Comma 2 2 15 13" xfId="1104" xr:uid="{00000000-0005-0000-0000-00004D040000}"/>
    <cellStyle name="Comma 2 2 15 14" xfId="1105" xr:uid="{00000000-0005-0000-0000-00004E040000}"/>
    <cellStyle name="Comma 2 2 15 15" xfId="1106" xr:uid="{00000000-0005-0000-0000-00004F040000}"/>
    <cellStyle name="Comma 2 2 15 16" xfId="1107" xr:uid="{00000000-0005-0000-0000-000050040000}"/>
    <cellStyle name="Comma 2 2 15 2" xfId="1108" xr:uid="{00000000-0005-0000-0000-000051040000}"/>
    <cellStyle name="Comma 2 2 15 2 2" xfId="1109" xr:uid="{00000000-0005-0000-0000-000052040000}"/>
    <cellStyle name="Comma 2 2 15 2 2 2" xfId="1110" xr:uid="{00000000-0005-0000-0000-000053040000}"/>
    <cellStyle name="Comma 2 2 15 2 2 3" xfId="1111" xr:uid="{00000000-0005-0000-0000-000054040000}"/>
    <cellStyle name="Comma 2 2 15 2 3" xfId="1112" xr:uid="{00000000-0005-0000-0000-000055040000}"/>
    <cellStyle name="Comma 2 2 15 2 3 2" xfId="1113" xr:uid="{00000000-0005-0000-0000-000056040000}"/>
    <cellStyle name="Comma 2 2 15 3" xfId="1114" xr:uid="{00000000-0005-0000-0000-000057040000}"/>
    <cellStyle name="Comma 2 2 15 4" xfId="1115" xr:uid="{00000000-0005-0000-0000-000058040000}"/>
    <cellStyle name="Comma 2 2 15 4 2" xfId="1116" xr:uid="{00000000-0005-0000-0000-000059040000}"/>
    <cellStyle name="Comma 2 2 15 4 3" xfId="1117" xr:uid="{00000000-0005-0000-0000-00005A040000}"/>
    <cellStyle name="Comma 2 2 15 5" xfId="1118" xr:uid="{00000000-0005-0000-0000-00005B040000}"/>
    <cellStyle name="Comma 2 2 15 6" xfId="1119" xr:uid="{00000000-0005-0000-0000-00005C040000}"/>
    <cellStyle name="Comma 2 2 15 7" xfId="1120" xr:uid="{00000000-0005-0000-0000-00005D040000}"/>
    <cellStyle name="Comma 2 2 15 8" xfId="1121" xr:uid="{00000000-0005-0000-0000-00005E040000}"/>
    <cellStyle name="Comma 2 2 15 9" xfId="1122" xr:uid="{00000000-0005-0000-0000-00005F040000}"/>
    <cellStyle name="Comma 2 2 16" xfId="1123" xr:uid="{00000000-0005-0000-0000-000060040000}"/>
    <cellStyle name="Comma 2 2 16 10" xfId="1124" xr:uid="{00000000-0005-0000-0000-000061040000}"/>
    <cellStyle name="Comma 2 2 16 11" xfId="1125" xr:uid="{00000000-0005-0000-0000-000062040000}"/>
    <cellStyle name="Comma 2 2 16 12" xfId="1126" xr:uid="{00000000-0005-0000-0000-000063040000}"/>
    <cellStyle name="Comma 2 2 16 13" xfId="1127" xr:uid="{00000000-0005-0000-0000-000064040000}"/>
    <cellStyle name="Comma 2 2 16 14" xfId="1128" xr:uid="{00000000-0005-0000-0000-000065040000}"/>
    <cellStyle name="Comma 2 2 16 2" xfId="1129" xr:uid="{00000000-0005-0000-0000-000066040000}"/>
    <cellStyle name="Comma 2 2 16 2 2" xfId="1130" xr:uid="{00000000-0005-0000-0000-000067040000}"/>
    <cellStyle name="Comma 2 2 16 2 2 2" xfId="1131" xr:uid="{00000000-0005-0000-0000-000068040000}"/>
    <cellStyle name="Comma 2 2 16 2 2 3" xfId="1132" xr:uid="{00000000-0005-0000-0000-000069040000}"/>
    <cellStyle name="Comma 2 2 16 2 3" xfId="1133" xr:uid="{00000000-0005-0000-0000-00006A040000}"/>
    <cellStyle name="Comma 2 2 16 2 3 2" xfId="1134" xr:uid="{00000000-0005-0000-0000-00006B040000}"/>
    <cellStyle name="Comma 2 2 16 2 4" xfId="1135" xr:uid="{00000000-0005-0000-0000-00006C040000}"/>
    <cellStyle name="Comma 2 2 16 3" xfId="1136" xr:uid="{00000000-0005-0000-0000-00006D040000}"/>
    <cellStyle name="Comma 2 2 16 3 2" xfId="1137" xr:uid="{00000000-0005-0000-0000-00006E040000}"/>
    <cellStyle name="Comma 2 2 16 3 3" xfId="1138" xr:uid="{00000000-0005-0000-0000-00006F040000}"/>
    <cellStyle name="Comma 2 2 16 4" xfId="1139" xr:uid="{00000000-0005-0000-0000-000070040000}"/>
    <cellStyle name="Comma 2 2 16 5" xfId="1140" xr:uid="{00000000-0005-0000-0000-000071040000}"/>
    <cellStyle name="Comma 2 2 16 6" xfId="1141" xr:uid="{00000000-0005-0000-0000-000072040000}"/>
    <cellStyle name="Comma 2 2 16 7" xfId="1142" xr:uid="{00000000-0005-0000-0000-000073040000}"/>
    <cellStyle name="Comma 2 2 16 8" xfId="1143" xr:uid="{00000000-0005-0000-0000-000074040000}"/>
    <cellStyle name="Comma 2 2 16 8 2" xfId="1144" xr:uid="{00000000-0005-0000-0000-000075040000}"/>
    <cellStyle name="Comma 2 2 16 9" xfId="1145" xr:uid="{00000000-0005-0000-0000-000076040000}"/>
    <cellStyle name="Comma 2 2 17" xfId="1146" xr:uid="{00000000-0005-0000-0000-000077040000}"/>
    <cellStyle name="Comma 2 2 17 10" xfId="1147" xr:uid="{00000000-0005-0000-0000-000078040000}"/>
    <cellStyle name="Comma 2 2 17 11" xfId="1148" xr:uid="{00000000-0005-0000-0000-000079040000}"/>
    <cellStyle name="Comma 2 2 17 12" xfId="1149" xr:uid="{00000000-0005-0000-0000-00007A040000}"/>
    <cellStyle name="Comma 2 2 17 13" xfId="1150" xr:uid="{00000000-0005-0000-0000-00007B040000}"/>
    <cellStyle name="Comma 2 2 17 2" xfId="1151" xr:uid="{00000000-0005-0000-0000-00007C040000}"/>
    <cellStyle name="Comma 2 2 17 3" xfId="1152" xr:uid="{00000000-0005-0000-0000-00007D040000}"/>
    <cellStyle name="Comma 2 2 17 4" xfId="1153" xr:uid="{00000000-0005-0000-0000-00007E040000}"/>
    <cellStyle name="Comma 2 2 17 5" xfId="1154" xr:uid="{00000000-0005-0000-0000-00007F040000}"/>
    <cellStyle name="Comma 2 2 17 6" xfId="1155" xr:uid="{00000000-0005-0000-0000-000080040000}"/>
    <cellStyle name="Comma 2 2 17 7" xfId="1156" xr:uid="{00000000-0005-0000-0000-000081040000}"/>
    <cellStyle name="Comma 2 2 17 7 2" xfId="1157" xr:uid="{00000000-0005-0000-0000-000082040000}"/>
    <cellStyle name="Comma 2 2 17 8" xfId="1158" xr:uid="{00000000-0005-0000-0000-000083040000}"/>
    <cellStyle name="Comma 2 2 17 9" xfId="1159" xr:uid="{00000000-0005-0000-0000-000084040000}"/>
    <cellStyle name="Comma 2 2 18" xfId="1160" xr:uid="{00000000-0005-0000-0000-000085040000}"/>
    <cellStyle name="Comma 2 2 18 2" xfId="1161" xr:uid="{00000000-0005-0000-0000-000086040000}"/>
    <cellStyle name="Comma 2 2 18 3" xfId="1162" xr:uid="{00000000-0005-0000-0000-000087040000}"/>
    <cellStyle name="Comma 2 2 19" xfId="1163" xr:uid="{00000000-0005-0000-0000-000088040000}"/>
    <cellStyle name="Comma 2 2 19 2" xfId="1164" xr:uid="{00000000-0005-0000-0000-000089040000}"/>
    <cellStyle name="Comma 2 2 19 3" xfId="1165" xr:uid="{00000000-0005-0000-0000-00008A040000}"/>
    <cellStyle name="Comma 2 2 2" xfId="1166" xr:uid="{00000000-0005-0000-0000-00008B040000}"/>
    <cellStyle name="Comma 2 2 2 10" xfId="1167" xr:uid="{00000000-0005-0000-0000-00008C040000}"/>
    <cellStyle name="Comma 2 2 2 11" xfId="1168" xr:uid="{00000000-0005-0000-0000-00008D040000}"/>
    <cellStyle name="Comma 2 2 2 12" xfId="1169" xr:uid="{00000000-0005-0000-0000-00008E040000}"/>
    <cellStyle name="Comma 2 2 2 13" xfId="1170" xr:uid="{00000000-0005-0000-0000-00008F040000}"/>
    <cellStyle name="Comma 2 2 2 13 10" xfId="1171" xr:uid="{00000000-0005-0000-0000-000090040000}"/>
    <cellStyle name="Comma 2 2 2 13 10 2" xfId="1172" xr:uid="{00000000-0005-0000-0000-000091040000}"/>
    <cellStyle name="Comma 2 2 2 13 10 3" xfId="1173" xr:uid="{00000000-0005-0000-0000-000092040000}"/>
    <cellStyle name="Comma 2 2 2 13 10 4" xfId="1174" xr:uid="{00000000-0005-0000-0000-000093040000}"/>
    <cellStyle name="Comma 2 2 2 13 10 5" xfId="1175" xr:uid="{00000000-0005-0000-0000-000094040000}"/>
    <cellStyle name="Comma 2 2 2 13 10 6" xfId="1176" xr:uid="{00000000-0005-0000-0000-000095040000}"/>
    <cellStyle name="Comma 2 2 2 13 10 7" xfId="1177" xr:uid="{00000000-0005-0000-0000-000096040000}"/>
    <cellStyle name="Comma 2 2 2 13 10 8" xfId="1178" xr:uid="{00000000-0005-0000-0000-000097040000}"/>
    <cellStyle name="Comma 2 2 2 13 11" xfId="1179" xr:uid="{00000000-0005-0000-0000-000098040000}"/>
    <cellStyle name="Comma 2 2 2 13 11 2" xfId="1180" xr:uid="{00000000-0005-0000-0000-000099040000}"/>
    <cellStyle name="Comma 2 2 2 13 11 3" xfId="1181" xr:uid="{00000000-0005-0000-0000-00009A040000}"/>
    <cellStyle name="Comma 2 2 2 13 11 4" xfId="1182" xr:uid="{00000000-0005-0000-0000-00009B040000}"/>
    <cellStyle name="Comma 2 2 2 13 11 5" xfId="1183" xr:uid="{00000000-0005-0000-0000-00009C040000}"/>
    <cellStyle name="Comma 2 2 2 13 11 6" xfId="1184" xr:uid="{00000000-0005-0000-0000-00009D040000}"/>
    <cellStyle name="Comma 2 2 2 13 11 7" xfId="1185" xr:uid="{00000000-0005-0000-0000-00009E040000}"/>
    <cellStyle name="Comma 2 2 2 13 11 8" xfId="1186" xr:uid="{00000000-0005-0000-0000-00009F040000}"/>
    <cellStyle name="Comma 2 2 2 13 12" xfId="1187" xr:uid="{00000000-0005-0000-0000-0000A0040000}"/>
    <cellStyle name="Comma 2 2 2 13 12 2" xfId="1188" xr:uid="{00000000-0005-0000-0000-0000A1040000}"/>
    <cellStyle name="Comma 2 2 2 13 12 3" xfId="1189" xr:uid="{00000000-0005-0000-0000-0000A2040000}"/>
    <cellStyle name="Comma 2 2 2 13 12 4" xfId="1190" xr:uid="{00000000-0005-0000-0000-0000A3040000}"/>
    <cellStyle name="Comma 2 2 2 13 12 5" xfId="1191" xr:uid="{00000000-0005-0000-0000-0000A4040000}"/>
    <cellStyle name="Comma 2 2 2 13 12 6" xfId="1192" xr:uid="{00000000-0005-0000-0000-0000A5040000}"/>
    <cellStyle name="Comma 2 2 2 13 12 7" xfId="1193" xr:uid="{00000000-0005-0000-0000-0000A6040000}"/>
    <cellStyle name="Comma 2 2 2 13 12 8" xfId="1194" xr:uid="{00000000-0005-0000-0000-0000A7040000}"/>
    <cellStyle name="Comma 2 2 2 13 13" xfId="1195" xr:uid="{00000000-0005-0000-0000-0000A8040000}"/>
    <cellStyle name="Comma 2 2 2 13 13 2" xfId="1196" xr:uid="{00000000-0005-0000-0000-0000A9040000}"/>
    <cellStyle name="Comma 2 2 2 13 2" xfId="1197" xr:uid="{00000000-0005-0000-0000-0000AA040000}"/>
    <cellStyle name="Comma 2 2 2 13 2 10" xfId="1198" xr:uid="{00000000-0005-0000-0000-0000AB040000}"/>
    <cellStyle name="Comma 2 2 2 13 2 11" xfId="1199" xr:uid="{00000000-0005-0000-0000-0000AC040000}"/>
    <cellStyle name="Comma 2 2 2 13 2 11 2" xfId="1200" xr:uid="{00000000-0005-0000-0000-0000AD040000}"/>
    <cellStyle name="Comma 2 2 2 13 2 12" xfId="1201" xr:uid="{00000000-0005-0000-0000-0000AE040000}"/>
    <cellStyle name="Comma 2 2 2 13 2 13" xfId="1202" xr:uid="{00000000-0005-0000-0000-0000AF040000}"/>
    <cellStyle name="Comma 2 2 2 13 2 14" xfId="1203" xr:uid="{00000000-0005-0000-0000-0000B0040000}"/>
    <cellStyle name="Comma 2 2 2 13 2 15" xfId="1204" xr:uid="{00000000-0005-0000-0000-0000B1040000}"/>
    <cellStyle name="Comma 2 2 2 13 2 16" xfId="1205" xr:uid="{00000000-0005-0000-0000-0000B2040000}"/>
    <cellStyle name="Comma 2 2 2 13 2 17" xfId="1206" xr:uid="{00000000-0005-0000-0000-0000B3040000}"/>
    <cellStyle name="Comma 2 2 2 13 2 2" xfId="1207" xr:uid="{00000000-0005-0000-0000-0000B4040000}"/>
    <cellStyle name="Comma 2 2 2 13 2 2 2" xfId="1208" xr:uid="{00000000-0005-0000-0000-0000B5040000}"/>
    <cellStyle name="Comma 2 2 2 13 2 2 2 2" xfId="1209" xr:uid="{00000000-0005-0000-0000-0000B6040000}"/>
    <cellStyle name="Comma 2 2 2 13 2 2 2 3" xfId="1210" xr:uid="{00000000-0005-0000-0000-0000B7040000}"/>
    <cellStyle name="Comma 2 2 2 13 2 3" xfId="1211" xr:uid="{00000000-0005-0000-0000-0000B8040000}"/>
    <cellStyle name="Comma 2 2 2 13 2 4" xfId="1212" xr:uid="{00000000-0005-0000-0000-0000B9040000}"/>
    <cellStyle name="Comma 2 2 2 13 2 5" xfId="1213" xr:uid="{00000000-0005-0000-0000-0000BA040000}"/>
    <cellStyle name="Comma 2 2 2 13 2 6" xfId="1214" xr:uid="{00000000-0005-0000-0000-0000BB040000}"/>
    <cellStyle name="Comma 2 2 2 13 2 7" xfId="1215" xr:uid="{00000000-0005-0000-0000-0000BC040000}"/>
    <cellStyle name="Comma 2 2 2 13 2 8" xfId="1216" xr:uid="{00000000-0005-0000-0000-0000BD040000}"/>
    <cellStyle name="Comma 2 2 2 13 2 9" xfId="1217" xr:uid="{00000000-0005-0000-0000-0000BE040000}"/>
    <cellStyle name="Comma 2 2 2 13 3" xfId="1218" xr:uid="{00000000-0005-0000-0000-0000BF040000}"/>
    <cellStyle name="Comma 2 2 2 13 3 10" xfId="1219" xr:uid="{00000000-0005-0000-0000-0000C0040000}"/>
    <cellStyle name="Comma 2 2 2 13 3 10 2" xfId="1220" xr:uid="{00000000-0005-0000-0000-0000C1040000}"/>
    <cellStyle name="Comma 2 2 2 13 3 11" xfId="1221" xr:uid="{00000000-0005-0000-0000-0000C2040000}"/>
    <cellStyle name="Comma 2 2 2 13 3 12" xfId="1222" xr:uid="{00000000-0005-0000-0000-0000C3040000}"/>
    <cellStyle name="Comma 2 2 2 13 3 13" xfId="1223" xr:uid="{00000000-0005-0000-0000-0000C4040000}"/>
    <cellStyle name="Comma 2 2 2 13 3 14" xfId="1224" xr:uid="{00000000-0005-0000-0000-0000C5040000}"/>
    <cellStyle name="Comma 2 2 2 13 3 15" xfId="1225" xr:uid="{00000000-0005-0000-0000-0000C6040000}"/>
    <cellStyle name="Comma 2 2 2 13 3 16" xfId="1226" xr:uid="{00000000-0005-0000-0000-0000C7040000}"/>
    <cellStyle name="Comma 2 2 2 13 3 2" xfId="1227" xr:uid="{00000000-0005-0000-0000-0000C8040000}"/>
    <cellStyle name="Comma 2 2 2 13 3 2 2" xfId="1228" xr:uid="{00000000-0005-0000-0000-0000C9040000}"/>
    <cellStyle name="Comma 2 2 2 13 3 2 2 2" xfId="1229" xr:uid="{00000000-0005-0000-0000-0000CA040000}"/>
    <cellStyle name="Comma 2 2 2 13 3 2 2 3" xfId="1230" xr:uid="{00000000-0005-0000-0000-0000CB040000}"/>
    <cellStyle name="Comma 2 2 2 13 3 3" xfId="1231" xr:uid="{00000000-0005-0000-0000-0000CC040000}"/>
    <cellStyle name="Comma 2 2 2 13 3 4" xfId="1232" xr:uid="{00000000-0005-0000-0000-0000CD040000}"/>
    <cellStyle name="Comma 2 2 2 13 3 5" xfId="1233" xr:uid="{00000000-0005-0000-0000-0000CE040000}"/>
    <cellStyle name="Comma 2 2 2 13 3 6" xfId="1234" xr:uid="{00000000-0005-0000-0000-0000CF040000}"/>
    <cellStyle name="Comma 2 2 2 13 3 7" xfId="1235" xr:uid="{00000000-0005-0000-0000-0000D0040000}"/>
    <cellStyle name="Comma 2 2 2 13 3 8" xfId="1236" xr:uid="{00000000-0005-0000-0000-0000D1040000}"/>
    <cellStyle name="Comma 2 2 2 13 3 9" xfId="1237" xr:uid="{00000000-0005-0000-0000-0000D2040000}"/>
    <cellStyle name="Comma 2 2 2 13 4" xfId="1238" xr:uid="{00000000-0005-0000-0000-0000D3040000}"/>
    <cellStyle name="Comma 2 2 2 13 4 10" xfId="1239" xr:uid="{00000000-0005-0000-0000-0000D4040000}"/>
    <cellStyle name="Comma 2 2 2 13 4 11" xfId="1240" xr:uid="{00000000-0005-0000-0000-0000D5040000}"/>
    <cellStyle name="Comma 2 2 2 13 4 12" xfId="1241" xr:uid="{00000000-0005-0000-0000-0000D6040000}"/>
    <cellStyle name="Comma 2 2 2 13 4 13" xfId="1242" xr:uid="{00000000-0005-0000-0000-0000D7040000}"/>
    <cellStyle name="Comma 2 2 2 13 4 14" xfId="1243" xr:uid="{00000000-0005-0000-0000-0000D8040000}"/>
    <cellStyle name="Comma 2 2 2 13 4 15" xfId="1244" xr:uid="{00000000-0005-0000-0000-0000D9040000}"/>
    <cellStyle name="Comma 2 2 2 13 4 2" xfId="1245" xr:uid="{00000000-0005-0000-0000-0000DA040000}"/>
    <cellStyle name="Comma 2 2 2 13 4 3" xfId="1246" xr:uid="{00000000-0005-0000-0000-0000DB040000}"/>
    <cellStyle name="Comma 2 2 2 13 4 4" xfId="1247" xr:uid="{00000000-0005-0000-0000-0000DC040000}"/>
    <cellStyle name="Comma 2 2 2 13 4 5" xfId="1248" xr:uid="{00000000-0005-0000-0000-0000DD040000}"/>
    <cellStyle name="Comma 2 2 2 13 4 6" xfId="1249" xr:uid="{00000000-0005-0000-0000-0000DE040000}"/>
    <cellStyle name="Comma 2 2 2 13 4 7" xfId="1250" xr:uid="{00000000-0005-0000-0000-0000DF040000}"/>
    <cellStyle name="Comma 2 2 2 13 4 8" xfId="1251" xr:uid="{00000000-0005-0000-0000-0000E0040000}"/>
    <cellStyle name="Comma 2 2 2 13 4 9" xfId="1252" xr:uid="{00000000-0005-0000-0000-0000E1040000}"/>
    <cellStyle name="Comma 2 2 2 13 4 9 2" xfId="1253" xr:uid="{00000000-0005-0000-0000-0000E2040000}"/>
    <cellStyle name="Comma 2 2 2 13 5" xfId="1254" xr:uid="{00000000-0005-0000-0000-0000E3040000}"/>
    <cellStyle name="Comma 2 2 2 13 5 10" xfId="1255" xr:uid="{00000000-0005-0000-0000-0000E4040000}"/>
    <cellStyle name="Comma 2 2 2 13 5 11" xfId="1256" xr:uid="{00000000-0005-0000-0000-0000E5040000}"/>
    <cellStyle name="Comma 2 2 2 13 5 12" xfId="1257" xr:uid="{00000000-0005-0000-0000-0000E6040000}"/>
    <cellStyle name="Comma 2 2 2 13 5 13" xfId="1258" xr:uid="{00000000-0005-0000-0000-0000E7040000}"/>
    <cellStyle name="Comma 2 2 2 13 5 14" xfId="1259" xr:uid="{00000000-0005-0000-0000-0000E8040000}"/>
    <cellStyle name="Comma 2 2 2 13 5 2" xfId="1260" xr:uid="{00000000-0005-0000-0000-0000E9040000}"/>
    <cellStyle name="Comma 2 2 2 13 5 3" xfId="1261" xr:uid="{00000000-0005-0000-0000-0000EA040000}"/>
    <cellStyle name="Comma 2 2 2 13 5 4" xfId="1262" xr:uid="{00000000-0005-0000-0000-0000EB040000}"/>
    <cellStyle name="Comma 2 2 2 13 5 5" xfId="1263" xr:uid="{00000000-0005-0000-0000-0000EC040000}"/>
    <cellStyle name="Comma 2 2 2 13 5 6" xfId="1264" xr:uid="{00000000-0005-0000-0000-0000ED040000}"/>
    <cellStyle name="Comma 2 2 2 13 5 7" xfId="1265" xr:uid="{00000000-0005-0000-0000-0000EE040000}"/>
    <cellStyle name="Comma 2 2 2 13 5 8" xfId="1266" xr:uid="{00000000-0005-0000-0000-0000EF040000}"/>
    <cellStyle name="Comma 2 2 2 13 5 8 2" xfId="1267" xr:uid="{00000000-0005-0000-0000-0000F0040000}"/>
    <cellStyle name="Comma 2 2 2 13 5 9" xfId="1268" xr:uid="{00000000-0005-0000-0000-0000F1040000}"/>
    <cellStyle name="Comma 2 2 2 13 6" xfId="1269" xr:uid="{00000000-0005-0000-0000-0000F2040000}"/>
    <cellStyle name="Comma 2 2 2 13 6 10" xfId="1270" xr:uid="{00000000-0005-0000-0000-0000F3040000}"/>
    <cellStyle name="Comma 2 2 2 13 6 11" xfId="1271" xr:uid="{00000000-0005-0000-0000-0000F4040000}"/>
    <cellStyle name="Comma 2 2 2 13 6 12" xfId="1272" xr:uid="{00000000-0005-0000-0000-0000F5040000}"/>
    <cellStyle name="Comma 2 2 2 13 6 13" xfId="1273" xr:uid="{00000000-0005-0000-0000-0000F6040000}"/>
    <cellStyle name="Comma 2 2 2 13 6 2" xfId="1274" xr:uid="{00000000-0005-0000-0000-0000F7040000}"/>
    <cellStyle name="Comma 2 2 2 13 6 3" xfId="1275" xr:uid="{00000000-0005-0000-0000-0000F8040000}"/>
    <cellStyle name="Comma 2 2 2 13 6 4" xfId="1276" xr:uid="{00000000-0005-0000-0000-0000F9040000}"/>
    <cellStyle name="Comma 2 2 2 13 6 5" xfId="1277" xr:uid="{00000000-0005-0000-0000-0000FA040000}"/>
    <cellStyle name="Comma 2 2 2 13 6 6" xfId="1278" xr:uid="{00000000-0005-0000-0000-0000FB040000}"/>
    <cellStyle name="Comma 2 2 2 13 6 7" xfId="1279" xr:uid="{00000000-0005-0000-0000-0000FC040000}"/>
    <cellStyle name="Comma 2 2 2 13 6 7 2" xfId="1280" xr:uid="{00000000-0005-0000-0000-0000FD040000}"/>
    <cellStyle name="Comma 2 2 2 13 6 8" xfId="1281" xr:uid="{00000000-0005-0000-0000-0000FE040000}"/>
    <cellStyle name="Comma 2 2 2 13 6 9" xfId="1282" xr:uid="{00000000-0005-0000-0000-0000FF040000}"/>
    <cellStyle name="Comma 2 2 2 13 7" xfId="1283" xr:uid="{00000000-0005-0000-0000-000000050000}"/>
    <cellStyle name="Comma 2 2 2 13 8" xfId="1284" xr:uid="{00000000-0005-0000-0000-000001050000}"/>
    <cellStyle name="Comma 2 2 2 13 8 2" xfId="1285" xr:uid="{00000000-0005-0000-0000-000002050000}"/>
    <cellStyle name="Comma 2 2 2 13 8 3" xfId="1286" xr:uid="{00000000-0005-0000-0000-000003050000}"/>
    <cellStyle name="Comma 2 2 2 13 8 4" xfId="1287" xr:uid="{00000000-0005-0000-0000-000004050000}"/>
    <cellStyle name="Comma 2 2 2 13 8 5" xfId="1288" xr:uid="{00000000-0005-0000-0000-000005050000}"/>
    <cellStyle name="Comma 2 2 2 13 8 6" xfId="1289" xr:uid="{00000000-0005-0000-0000-000006050000}"/>
    <cellStyle name="Comma 2 2 2 13 8 7" xfId="1290" xr:uid="{00000000-0005-0000-0000-000007050000}"/>
    <cellStyle name="Comma 2 2 2 13 8 8" xfId="1291" xr:uid="{00000000-0005-0000-0000-000008050000}"/>
    <cellStyle name="Comma 2 2 2 13 9" xfId="1292" xr:uid="{00000000-0005-0000-0000-000009050000}"/>
    <cellStyle name="Comma 2 2 2 13 9 2" xfId="1293" xr:uid="{00000000-0005-0000-0000-00000A050000}"/>
    <cellStyle name="Comma 2 2 2 13 9 3" xfId="1294" xr:uid="{00000000-0005-0000-0000-00000B050000}"/>
    <cellStyle name="Comma 2 2 2 13 9 4" xfId="1295" xr:uid="{00000000-0005-0000-0000-00000C050000}"/>
    <cellStyle name="Comma 2 2 2 13 9 5" xfId="1296" xr:uid="{00000000-0005-0000-0000-00000D050000}"/>
    <cellStyle name="Comma 2 2 2 13 9 6" xfId="1297" xr:uid="{00000000-0005-0000-0000-00000E050000}"/>
    <cellStyle name="Comma 2 2 2 13 9 7" xfId="1298" xr:uid="{00000000-0005-0000-0000-00000F050000}"/>
    <cellStyle name="Comma 2 2 2 13 9 8" xfId="1299" xr:uid="{00000000-0005-0000-0000-000010050000}"/>
    <cellStyle name="Comma 2 2 2 14" xfId="1300" xr:uid="{00000000-0005-0000-0000-000011050000}"/>
    <cellStyle name="Comma 2 2 2 14 2" xfId="1301" xr:uid="{00000000-0005-0000-0000-000012050000}"/>
    <cellStyle name="Comma 2 2 2 14 2 10" xfId="1302" xr:uid="{00000000-0005-0000-0000-000013050000}"/>
    <cellStyle name="Comma 2 2 2 14 2 11" xfId="1303" xr:uid="{00000000-0005-0000-0000-000014050000}"/>
    <cellStyle name="Comma 2 2 2 14 2 12" xfId="1304" xr:uid="{00000000-0005-0000-0000-000015050000}"/>
    <cellStyle name="Comma 2 2 2 14 2 2" xfId="1305" xr:uid="{00000000-0005-0000-0000-000016050000}"/>
    <cellStyle name="Comma 2 2 2 14 2 2 2" xfId="1306" xr:uid="{00000000-0005-0000-0000-000017050000}"/>
    <cellStyle name="Comma 2 2 2 14 2 2 2 2" xfId="1307" xr:uid="{00000000-0005-0000-0000-000018050000}"/>
    <cellStyle name="Comma 2 2 2 14 2 2 3" xfId="1308" xr:uid="{00000000-0005-0000-0000-000019050000}"/>
    <cellStyle name="Comma 2 2 2 14 2 2 3 2" xfId="1309" xr:uid="{00000000-0005-0000-0000-00001A050000}"/>
    <cellStyle name="Comma 2 2 2 14 2 2 4" xfId="1310" xr:uid="{00000000-0005-0000-0000-00001B050000}"/>
    <cellStyle name="Comma 2 2 2 14 2 2 4 2" xfId="1311" xr:uid="{00000000-0005-0000-0000-00001C050000}"/>
    <cellStyle name="Comma 2 2 2 14 2 2 5" xfId="1312" xr:uid="{00000000-0005-0000-0000-00001D050000}"/>
    <cellStyle name="Comma 2 2 2 14 2 3" xfId="1313" xr:uid="{00000000-0005-0000-0000-00001E050000}"/>
    <cellStyle name="Comma 2 2 2 14 2 3 2" xfId="1314" xr:uid="{00000000-0005-0000-0000-00001F050000}"/>
    <cellStyle name="Comma 2 2 2 14 2 3 3" xfId="1315" xr:uid="{00000000-0005-0000-0000-000020050000}"/>
    <cellStyle name="Comma 2 2 2 14 2 4" xfId="1316" xr:uid="{00000000-0005-0000-0000-000021050000}"/>
    <cellStyle name="Comma 2 2 2 14 2 4 2" xfId="1317" xr:uid="{00000000-0005-0000-0000-000022050000}"/>
    <cellStyle name="Comma 2 2 2 14 2 5" xfId="1318" xr:uid="{00000000-0005-0000-0000-000023050000}"/>
    <cellStyle name="Comma 2 2 2 14 2 6" xfId="1319" xr:uid="{00000000-0005-0000-0000-000024050000}"/>
    <cellStyle name="Comma 2 2 2 14 2 6 2" xfId="1320" xr:uid="{00000000-0005-0000-0000-000025050000}"/>
    <cellStyle name="Comma 2 2 2 14 2 7" xfId="1321" xr:uid="{00000000-0005-0000-0000-000026050000}"/>
    <cellStyle name="Comma 2 2 2 14 2 8" xfId="1322" xr:uid="{00000000-0005-0000-0000-000027050000}"/>
    <cellStyle name="Comma 2 2 2 14 2 9" xfId="1323" xr:uid="{00000000-0005-0000-0000-000028050000}"/>
    <cellStyle name="Comma 2 2 2 14 3" xfId="1324" xr:uid="{00000000-0005-0000-0000-000029050000}"/>
    <cellStyle name="Comma 2 2 2 14 3 10" xfId="1325" xr:uid="{00000000-0005-0000-0000-00002A050000}"/>
    <cellStyle name="Comma 2 2 2 14 3 11" xfId="1326" xr:uid="{00000000-0005-0000-0000-00002B050000}"/>
    <cellStyle name="Comma 2 2 2 14 3 12" xfId="1327" xr:uid="{00000000-0005-0000-0000-00002C050000}"/>
    <cellStyle name="Comma 2 2 2 14 3 2" xfId="1328" xr:uid="{00000000-0005-0000-0000-00002D050000}"/>
    <cellStyle name="Comma 2 2 2 14 3 2 2" xfId="1329" xr:uid="{00000000-0005-0000-0000-00002E050000}"/>
    <cellStyle name="Comma 2 2 2 14 3 2 3" xfId="1330" xr:uid="{00000000-0005-0000-0000-00002F050000}"/>
    <cellStyle name="Comma 2 2 2 14 3 2 4" xfId="1331" xr:uid="{00000000-0005-0000-0000-000030050000}"/>
    <cellStyle name="Comma 2 2 2 14 3 3" xfId="1332" xr:uid="{00000000-0005-0000-0000-000031050000}"/>
    <cellStyle name="Comma 2 2 2 14 3 3 2" xfId="1333" xr:uid="{00000000-0005-0000-0000-000032050000}"/>
    <cellStyle name="Comma 2 2 2 14 3 4" xfId="1334" xr:uid="{00000000-0005-0000-0000-000033050000}"/>
    <cellStyle name="Comma 2 2 2 14 3 5" xfId="1335" xr:uid="{00000000-0005-0000-0000-000034050000}"/>
    <cellStyle name="Comma 2 2 2 14 3 6" xfId="1336" xr:uid="{00000000-0005-0000-0000-000035050000}"/>
    <cellStyle name="Comma 2 2 2 14 3 6 2" xfId="1337" xr:uid="{00000000-0005-0000-0000-000036050000}"/>
    <cellStyle name="Comma 2 2 2 14 3 7" xfId="1338" xr:uid="{00000000-0005-0000-0000-000037050000}"/>
    <cellStyle name="Comma 2 2 2 14 3 8" xfId="1339" xr:uid="{00000000-0005-0000-0000-000038050000}"/>
    <cellStyle name="Comma 2 2 2 14 3 9" xfId="1340" xr:uid="{00000000-0005-0000-0000-000039050000}"/>
    <cellStyle name="Comma 2 2 2 14 4" xfId="1341" xr:uid="{00000000-0005-0000-0000-00003A050000}"/>
    <cellStyle name="Comma 2 2 2 14 4 10" xfId="1342" xr:uid="{00000000-0005-0000-0000-00003B050000}"/>
    <cellStyle name="Comma 2 2 2 14 4 11" xfId="1343" xr:uid="{00000000-0005-0000-0000-00003C050000}"/>
    <cellStyle name="Comma 2 2 2 14 4 12" xfId="1344" xr:uid="{00000000-0005-0000-0000-00003D050000}"/>
    <cellStyle name="Comma 2 2 2 14 4 2" xfId="1345" xr:uid="{00000000-0005-0000-0000-00003E050000}"/>
    <cellStyle name="Comma 2 2 2 14 4 3" xfId="1346" xr:uid="{00000000-0005-0000-0000-00003F050000}"/>
    <cellStyle name="Comma 2 2 2 14 4 4" xfId="1347" xr:uid="{00000000-0005-0000-0000-000040050000}"/>
    <cellStyle name="Comma 2 2 2 14 4 5" xfId="1348" xr:uid="{00000000-0005-0000-0000-000041050000}"/>
    <cellStyle name="Comma 2 2 2 14 4 6" xfId="1349" xr:uid="{00000000-0005-0000-0000-000042050000}"/>
    <cellStyle name="Comma 2 2 2 14 4 6 2" xfId="1350" xr:uid="{00000000-0005-0000-0000-000043050000}"/>
    <cellStyle name="Comma 2 2 2 14 4 7" xfId="1351" xr:uid="{00000000-0005-0000-0000-000044050000}"/>
    <cellStyle name="Comma 2 2 2 14 4 8" xfId="1352" xr:uid="{00000000-0005-0000-0000-000045050000}"/>
    <cellStyle name="Comma 2 2 2 14 4 9" xfId="1353" xr:uid="{00000000-0005-0000-0000-000046050000}"/>
    <cellStyle name="Comma 2 2 2 14 5" xfId="1354" xr:uid="{00000000-0005-0000-0000-000047050000}"/>
    <cellStyle name="Comma 2 2 2 14 5 10" xfId="1355" xr:uid="{00000000-0005-0000-0000-000048050000}"/>
    <cellStyle name="Comma 2 2 2 14 5 11" xfId="1356" xr:uid="{00000000-0005-0000-0000-000049050000}"/>
    <cellStyle name="Comma 2 2 2 14 5 12" xfId="1357" xr:uid="{00000000-0005-0000-0000-00004A050000}"/>
    <cellStyle name="Comma 2 2 2 14 5 2" xfId="1358" xr:uid="{00000000-0005-0000-0000-00004B050000}"/>
    <cellStyle name="Comma 2 2 2 14 5 3" xfId="1359" xr:uid="{00000000-0005-0000-0000-00004C050000}"/>
    <cellStyle name="Comma 2 2 2 14 5 4" xfId="1360" xr:uid="{00000000-0005-0000-0000-00004D050000}"/>
    <cellStyle name="Comma 2 2 2 14 5 5" xfId="1361" xr:uid="{00000000-0005-0000-0000-00004E050000}"/>
    <cellStyle name="Comma 2 2 2 14 5 6" xfId="1362" xr:uid="{00000000-0005-0000-0000-00004F050000}"/>
    <cellStyle name="Comma 2 2 2 14 5 6 2" xfId="1363" xr:uid="{00000000-0005-0000-0000-000050050000}"/>
    <cellStyle name="Comma 2 2 2 14 5 7" xfId="1364" xr:uid="{00000000-0005-0000-0000-000051050000}"/>
    <cellStyle name="Comma 2 2 2 14 5 8" xfId="1365" xr:uid="{00000000-0005-0000-0000-000052050000}"/>
    <cellStyle name="Comma 2 2 2 14 5 9" xfId="1366" xr:uid="{00000000-0005-0000-0000-000053050000}"/>
    <cellStyle name="Comma 2 2 2 14 6" xfId="1367" xr:uid="{00000000-0005-0000-0000-000054050000}"/>
    <cellStyle name="Comma 2 2 2 14 6 2" xfId="1368" xr:uid="{00000000-0005-0000-0000-000055050000}"/>
    <cellStyle name="Comma 2 2 2 14 6 3" xfId="1369" xr:uid="{00000000-0005-0000-0000-000056050000}"/>
    <cellStyle name="Comma 2 2 2 14 6 4" xfId="1370" xr:uid="{00000000-0005-0000-0000-000057050000}"/>
    <cellStyle name="Comma 2 2 2 14 6 5" xfId="1371" xr:uid="{00000000-0005-0000-0000-000058050000}"/>
    <cellStyle name="Comma 2 2 2 14 6 6" xfId="1372" xr:uid="{00000000-0005-0000-0000-000059050000}"/>
    <cellStyle name="Comma 2 2 2 14 6 7" xfId="1373" xr:uid="{00000000-0005-0000-0000-00005A050000}"/>
    <cellStyle name="Comma 2 2 2 14 6 8" xfId="1374" xr:uid="{00000000-0005-0000-0000-00005B050000}"/>
    <cellStyle name="Comma 2 2 2 14 7" xfId="1375" xr:uid="{00000000-0005-0000-0000-00005C050000}"/>
    <cellStyle name="Comma 2 2 2 14 7 2" xfId="1376" xr:uid="{00000000-0005-0000-0000-00005D050000}"/>
    <cellStyle name="Comma 2 2 2 14 7 3" xfId="1377" xr:uid="{00000000-0005-0000-0000-00005E050000}"/>
    <cellStyle name="Comma 2 2 2 14 7 4" xfId="1378" xr:uid="{00000000-0005-0000-0000-00005F050000}"/>
    <cellStyle name="Comma 2 2 2 14 7 5" xfId="1379" xr:uid="{00000000-0005-0000-0000-000060050000}"/>
    <cellStyle name="Comma 2 2 2 14 7 6" xfId="1380" xr:uid="{00000000-0005-0000-0000-000061050000}"/>
    <cellStyle name="Comma 2 2 2 14 7 7" xfId="1381" xr:uid="{00000000-0005-0000-0000-000062050000}"/>
    <cellStyle name="Comma 2 2 2 14 7 8" xfId="1382" xr:uid="{00000000-0005-0000-0000-000063050000}"/>
    <cellStyle name="Comma 2 2 2 14 8" xfId="1383" xr:uid="{00000000-0005-0000-0000-000064050000}"/>
    <cellStyle name="Comma 2 2 2 14 8 2" xfId="1384" xr:uid="{00000000-0005-0000-0000-000065050000}"/>
    <cellStyle name="Comma 2 2 2 14 8 3" xfId="1385" xr:uid="{00000000-0005-0000-0000-000066050000}"/>
    <cellStyle name="Comma 2 2 2 14 8 4" xfId="1386" xr:uid="{00000000-0005-0000-0000-000067050000}"/>
    <cellStyle name="Comma 2 2 2 14 8 5" xfId="1387" xr:uid="{00000000-0005-0000-0000-000068050000}"/>
    <cellStyle name="Comma 2 2 2 14 8 6" xfId="1388" xr:uid="{00000000-0005-0000-0000-000069050000}"/>
    <cellStyle name="Comma 2 2 2 14 8 7" xfId="1389" xr:uid="{00000000-0005-0000-0000-00006A050000}"/>
    <cellStyle name="Comma 2 2 2 14 8 8" xfId="1390" xr:uid="{00000000-0005-0000-0000-00006B050000}"/>
    <cellStyle name="Comma 2 2 2 14 9" xfId="1391" xr:uid="{00000000-0005-0000-0000-00006C050000}"/>
    <cellStyle name="Comma 2 2 2 14 9 2" xfId="1392" xr:uid="{00000000-0005-0000-0000-00006D050000}"/>
    <cellStyle name="Comma 2 2 2 14 9 3" xfId="1393" xr:uid="{00000000-0005-0000-0000-00006E050000}"/>
    <cellStyle name="Comma 2 2 2 14 9 4" xfId="1394" xr:uid="{00000000-0005-0000-0000-00006F050000}"/>
    <cellStyle name="Comma 2 2 2 14 9 5" xfId="1395" xr:uid="{00000000-0005-0000-0000-000070050000}"/>
    <cellStyle name="Comma 2 2 2 14 9 6" xfId="1396" xr:uid="{00000000-0005-0000-0000-000071050000}"/>
    <cellStyle name="Comma 2 2 2 14 9 7" xfId="1397" xr:uid="{00000000-0005-0000-0000-000072050000}"/>
    <cellStyle name="Comma 2 2 2 14 9 8" xfId="1398" xr:uid="{00000000-0005-0000-0000-000073050000}"/>
    <cellStyle name="Comma 2 2 2 15" xfId="1399" xr:uid="{00000000-0005-0000-0000-000074050000}"/>
    <cellStyle name="Comma 2 2 2 15 2" xfId="1400" xr:uid="{00000000-0005-0000-0000-000075050000}"/>
    <cellStyle name="Comma 2 2 2 15 2 10" xfId="1401" xr:uid="{00000000-0005-0000-0000-000076050000}"/>
    <cellStyle name="Comma 2 2 2 15 2 11" xfId="1402" xr:uid="{00000000-0005-0000-0000-000077050000}"/>
    <cellStyle name="Comma 2 2 2 15 2 12" xfId="1403" xr:uid="{00000000-0005-0000-0000-000078050000}"/>
    <cellStyle name="Comma 2 2 2 15 2 2" xfId="1404" xr:uid="{00000000-0005-0000-0000-000079050000}"/>
    <cellStyle name="Comma 2 2 2 15 2 2 2" xfId="1405" xr:uid="{00000000-0005-0000-0000-00007A050000}"/>
    <cellStyle name="Comma 2 2 2 15 2 2 3" xfId="1406" xr:uid="{00000000-0005-0000-0000-00007B050000}"/>
    <cellStyle name="Comma 2 2 2 15 2 2 4" xfId="1407" xr:uid="{00000000-0005-0000-0000-00007C050000}"/>
    <cellStyle name="Comma 2 2 2 15 2 3" xfId="1408" xr:uid="{00000000-0005-0000-0000-00007D050000}"/>
    <cellStyle name="Comma 2 2 2 15 2 3 2" xfId="1409" xr:uid="{00000000-0005-0000-0000-00007E050000}"/>
    <cellStyle name="Comma 2 2 2 15 2 4" xfId="1410" xr:uid="{00000000-0005-0000-0000-00007F050000}"/>
    <cellStyle name="Comma 2 2 2 15 2 5" xfId="1411" xr:uid="{00000000-0005-0000-0000-000080050000}"/>
    <cellStyle name="Comma 2 2 2 15 2 6" xfId="1412" xr:uid="{00000000-0005-0000-0000-000081050000}"/>
    <cellStyle name="Comma 2 2 2 15 2 6 2" xfId="1413" xr:uid="{00000000-0005-0000-0000-000082050000}"/>
    <cellStyle name="Comma 2 2 2 15 2 7" xfId="1414" xr:uid="{00000000-0005-0000-0000-000083050000}"/>
    <cellStyle name="Comma 2 2 2 15 2 8" xfId="1415" xr:uid="{00000000-0005-0000-0000-000084050000}"/>
    <cellStyle name="Comma 2 2 2 15 2 9" xfId="1416" xr:uid="{00000000-0005-0000-0000-000085050000}"/>
    <cellStyle name="Comma 2 2 2 15 3" xfId="1417" xr:uid="{00000000-0005-0000-0000-000086050000}"/>
    <cellStyle name="Comma 2 2 2 15 3 10" xfId="1418" xr:uid="{00000000-0005-0000-0000-000087050000}"/>
    <cellStyle name="Comma 2 2 2 15 3 11" xfId="1419" xr:uid="{00000000-0005-0000-0000-000088050000}"/>
    <cellStyle name="Comma 2 2 2 15 3 12" xfId="1420" xr:uid="{00000000-0005-0000-0000-000089050000}"/>
    <cellStyle name="Comma 2 2 2 15 3 2" xfId="1421" xr:uid="{00000000-0005-0000-0000-00008A050000}"/>
    <cellStyle name="Comma 2 2 2 15 3 3" xfId="1422" xr:uid="{00000000-0005-0000-0000-00008B050000}"/>
    <cellStyle name="Comma 2 2 2 15 3 4" xfId="1423" xr:uid="{00000000-0005-0000-0000-00008C050000}"/>
    <cellStyle name="Comma 2 2 2 15 3 5" xfId="1424" xr:uid="{00000000-0005-0000-0000-00008D050000}"/>
    <cellStyle name="Comma 2 2 2 15 3 6" xfId="1425" xr:uid="{00000000-0005-0000-0000-00008E050000}"/>
    <cellStyle name="Comma 2 2 2 15 3 6 2" xfId="1426" xr:uid="{00000000-0005-0000-0000-00008F050000}"/>
    <cellStyle name="Comma 2 2 2 15 3 7" xfId="1427" xr:uid="{00000000-0005-0000-0000-000090050000}"/>
    <cellStyle name="Comma 2 2 2 15 3 8" xfId="1428" xr:uid="{00000000-0005-0000-0000-000091050000}"/>
    <cellStyle name="Comma 2 2 2 15 3 9" xfId="1429" xr:uid="{00000000-0005-0000-0000-000092050000}"/>
    <cellStyle name="Comma 2 2 2 15 4" xfId="1430" xr:uid="{00000000-0005-0000-0000-000093050000}"/>
    <cellStyle name="Comma 2 2 2 15 4 10" xfId="1431" xr:uid="{00000000-0005-0000-0000-000094050000}"/>
    <cellStyle name="Comma 2 2 2 15 4 11" xfId="1432" xr:uid="{00000000-0005-0000-0000-000095050000}"/>
    <cellStyle name="Comma 2 2 2 15 4 12" xfId="1433" xr:uid="{00000000-0005-0000-0000-000096050000}"/>
    <cellStyle name="Comma 2 2 2 15 4 2" xfId="1434" xr:uid="{00000000-0005-0000-0000-000097050000}"/>
    <cellStyle name="Comma 2 2 2 15 4 3" xfId="1435" xr:uid="{00000000-0005-0000-0000-000098050000}"/>
    <cellStyle name="Comma 2 2 2 15 4 4" xfId="1436" xr:uid="{00000000-0005-0000-0000-000099050000}"/>
    <cellStyle name="Comma 2 2 2 15 4 5" xfId="1437" xr:uid="{00000000-0005-0000-0000-00009A050000}"/>
    <cellStyle name="Comma 2 2 2 15 4 6" xfId="1438" xr:uid="{00000000-0005-0000-0000-00009B050000}"/>
    <cellStyle name="Comma 2 2 2 15 4 6 2" xfId="1439" xr:uid="{00000000-0005-0000-0000-00009C050000}"/>
    <cellStyle name="Comma 2 2 2 15 4 7" xfId="1440" xr:uid="{00000000-0005-0000-0000-00009D050000}"/>
    <cellStyle name="Comma 2 2 2 15 4 8" xfId="1441" xr:uid="{00000000-0005-0000-0000-00009E050000}"/>
    <cellStyle name="Comma 2 2 2 15 4 9" xfId="1442" xr:uid="{00000000-0005-0000-0000-00009F050000}"/>
    <cellStyle name="Comma 2 2 2 15 5" xfId="1443" xr:uid="{00000000-0005-0000-0000-0000A0050000}"/>
    <cellStyle name="Comma 2 2 2 15 5 2" xfId="1444" xr:uid="{00000000-0005-0000-0000-0000A1050000}"/>
    <cellStyle name="Comma 2 2 2 15 5 3" xfId="1445" xr:uid="{00000000-0005-0000-0000-0000A2050000}"/>
    <cellStyle name="Comma 2 2 2 15 5 4" xfId="1446" xr:uid="{00000000-0005-0000-0000-0000A3050000}"/>
    <cellStyle name="Comma 2 2 2 15 5 5" xfId="1447" xr:uid="{00000000-0005-0000-0000-0000A4050000}"/>
    <cellStyle name="Comma 2 2 2 15 5 6" xfId="1448" xr:uid="{00000000-0005-0000-0000-0000A5050000}"/>
    <cellStyle name="Comma 2 2 2 15 5 7" xfId="1449" xr:uid="{00000000-0005-0000-0000-0000A6050000}"/>
    <cellStyle name="Comma 2 2 2 15 5 8" xfId="1450" xr:uid="{00000000-0005-0000-0000-0000A7050000}"/>
    <cellStyle name="Comma 2 2 2 15 6" xfId="1451" xr:uid="{00000000-0005-0000-0000-0000A8050000}"/>
    <cellStyle name="Comma 2 2 2 15 6 2" xfId="1452" xr:uid="{00000000-0005-0000-0000-0000A9050000}"/>
    <cellStyle name="Comma 2 2 2 15 6 3" xfId="1453" xr:uid="{00000000-0005-0000-0000-0000AA050000}"/>
    <cellStyle name="Comma 2 2 2 15 6 4" xfId="1454" xr:uid="{00000000-0005-0000-0000-0000AB050000}"/>
    <cellStyle name="Comma 2 2 2 15 6 5" xfId="1455" xr:uid="{00000000-0005-0000-0000-0000AC050000}"/>
    <cellStyle name="Comma 2 2 2 15 6 6" xfId="1456" xr:uid="{00000000-0005-0000-0000-0000AD050000}"/>
    <cellStyle name="Comma 2 2 2 15 6 7" xfId="1457" xr:uid="{00000000-0005-0000-0000-0000AE050000}"/>
    <cellStyle name="Comma 2 2 2 15 6 8" xfId="1458" xr:uid="{00000000-0005-0000-0000-0000AF050000}"/>
    <cellStyle name="Comma 2 2 2 15 7" xfId="1459" xr:uid="{00000000-0005-0000-0000-0000B0050000}"/>
    <cellStyle name="Comma 2 2 2 15 7 2" xfId="1460" xr:uid="{00000000-0005-0000-0000-0000B1050000}"/>
    <cellStyle name="Comma 2 2 2 15 7 3" xfId="1461" xr:uid="{00000000-0005-0000-0000-0000B2050000}"/>
    <cellStyle name="Comma 2 2 2 15 7 4" xfId="1462" xr:uid="{00000000-0005-0000-0000-0000B3050000}"/>
    <cellStyle name="Comma 2 2 2 15 7 5" xfId="1463" xr:uid="{00000000-0005-0000-0000-0000B4050000}"/>
    <cellStyle name="Comma 2 2 2 15 7 6" xfId="1464" xr:uid="{00000000-0005-0000-0000-0000B5050000}"/>
    <cellStyle name="Comma 2 2 2 15 7 7" xfId="1465" xr:uid="{00000000-0005-0000-0000-0000B6050000}"/>
    <cellStyle name="Comma 2 2 2 15 7 8" xfId="1466" xr:uid="{00000000-0005-0000-0000-0000B7050000}"/>
    <cellStyle name="Comma 2 2 2 15 8" xfId="1467" xr:uid="{00000000-0005-0000-0000-0000B8050000}"/>
    <cellStyle name="Comma 2 2 2 16" xfId="1468" xr:uid="{00000000-0005-0000-0000-0000B9050000}"/>
    <cellStyle name="Comma 2 2 2 16 2" xfId="1469" xr:uid="{00000000-0005-0000-0000-0000BA050000}"/>
    <cellStyle name="Comma 2 2 2 16 2 10" xfId="1470" xr:uid="{00000000-0005-0000-0000-0000BB050000}"/>
    <cellStyle name="Comma 2 2 2 16 2 11" xfId="1471" xr:uid="{00000000-0005-0000-0000-0000BC050000}"/>
    <cellStyle name="Comma 2 2 2 16 2 12" xfId="1472" xr:uid="{00000000-0005-0000-0000-0000BD050000}"/>
    <cellStyle name="Comma 2 2 2 16 2 2" xfId="1473" xr:uid="{00000000-0005-0000-0000-0000BE050000}"/>
    <cellStyle name="Comma 2 2 2 16 2 2 2" xfId="1474" xr:uid="{00000000-0005-0000-0000-0000BF050000}"/>
    <cellStyle name="Comma 2 2 2 16 2 2 3" xfId="1475" xr:uid="{00000000-0005-0000-0000-0000C0050000}"/>
    <cellStyle name="Comma 2 2 2 16 2 2 4" xfId="1476" xr:uid="{00000000-0005-0000-0000-0000C1050000}"/>
    <cellStyle name="Comma 2 2 2 16 2 3" xfId="1477" xr:uid="{00000000-0005-0000-0000-0000C2050000}"/>
    <cellStyle name="Comma 2 2 2 16 2 3 2" xfId="1478" xr:uid="{00000000-0005-0000-0000-0000C3050000}"/>
    <cellStyle name="Comma 2 2 2 16 2 4" xfId="1479" xr:uid="{00000000-0005-0000-0000-0000C4050000}"/>
    <cellStyle name="Comma 2 2 2 16 2 5" xfId="1480" xr:uid="{00000000-0005-0000-0000-0000C5050000}"/>
    <cellStyle name="Comma 2 2 2 16 2 6" xfId="1481" xr:uid="{00000000-0005-0000-0000-0000C6050000}"/>
    <cellStyle name="Comma 2 2 2 16 2 6 2" xfId="1482" xr:uid="{00000000-0005-0000-0000-0000C7050000}"/>
    <cellStyle name="Comma 2 2 2 16 2 7" xfId="1483" xr:uid="{00000000-0005-0000-0000-0000C8050000}"/>
    <cellStyle name="Comma 2 2 2 16 2 8" xfId="1484" xr:uid="{00000000-0005-0000-0000-0000C9050000}"/>
    <cellStyle name="Comma 2 2 2 16 2 9" xfId="1485" xr:uid="{00000000-0005-0000-0000-0000CA050000}"/>
    <cellStyle name="Comma 2 2 2 16 3" xfId="1486" xr:uid="{00000000-0005-0000-0000-0000CB050000}"/>
    <cellStyle name="Comma 2 2 2 16 3 10" xfId="1487" xr:uid="{00000000-0005-0000-0000-0000CC050000}"/>
    <cellStyle name="Comma 2 2 2 16 3 11" xfId="1488" xr:uid="{00000000-0005-0000-0000-0000CD050000}"/>
    <cellStyle name="Comma 2 2 2 16 3 12" xfId="1489" xr:uid="{00000000-0005-0000-0000-0000CE050000}"/>
    <cellStyle name="Comma 2 2 2 16 3 2" xfId="1490" xr:uid="{00000000-0005-0000-0000-0000CF050000}"/>
    <cellStyle name="Comma 2 2 2 16 3 3" xfId="1491" xr:uid="{00000000-0005-0000-0000-0000D0050000}"/>
    <cellStyle name="Comma 2 2 2 16 3 4" xfId="1492" xr:uid="{00000000-0005-0000-0000-0000D1050000}"/>
    <cellStyle name="Comma 2 2 2 16 3 5" xfId="1493" xr:uid="{00000000-0005-0000-0000-0000D2050000}"/>
    <cellStyle name="Comma 2 2 2 16 3 6" xfId="1494" xr:uid="{00000000-0005-0000-0000-0000D3050000}"/>
    <cellStyle name="Comma 2 2 2 16 3 6 2" xfId="1495" xr:uid="{00000000-0005-0000-0000-0000D4050000}"/>
    <cellStyle name="Comma 2 2 2 16 3 7" xfId="1496" xr:uid="{00000000-0005-0000-0000-0000D5050000}"/>
    <cellStyle name="Comma 2 2 2 16 3 8" xfId="1497" xr:uid="{00000000-0005-0000-0000-0000D6050000}"/>
    <cellStyle name="Comma 2 2 2 16 3 9" xfId="1498" xr:uid="{00000000-0005-0000-0000-0000D7050000}"/>
    <cellStyle name="Comma 2 2 2 16 4" xfId="1499" xr:uid="{00000000-0005-0000-0000-0000D8050000}"/>
    <cellStyle name="Comma 2 2 2 16 4 2" xfId="1500" xr:uid="{00000000-0005-0000-0000-0000D9050000}"/>
    <cellStyle name="Comma 2 2 2 16 4 3" xfId="1501" xr:uid="{00000000-0005-0000-0000-0000DA050000}"/>
    <cellStyle name="Comma 2 2 2 16 4 4" xfId="1502" xr:uid="{00000000-0005-0000-0000-0000DB050000}"/>
    <cellStyle name="Comma 2 2 2 16 4 5" xfId="1503" xr:uid="{00000000-0005-0000-0000-0000DC050000}"/>
    <cellStyle name="Comma 2 2 2 16 4 6" xfId="1504" xr:uid="{00000000-0005-0000-0000-0000DD050000}"/>
    <cellStyle name="Comma 2 2 2 16 4 7" xfId="1505" xr:uid="{00000000-0005-0000-0000-0000DE050000}"/>
    <cellStyle name="Comma 2 2 2 16 4 8" xfId="1506" xr:uid="{00000000-0005-0000-0000-0000DF050000}"/>
    <cellStyle name="Comma 2 2 2 16 5" xfId="1507" xr:uid="{00000000-0005-0000-0000-0000E0050000}"/>
    <cellStyle name="Comma 2 2 2 16 5 2" xfId="1508" xr:uid="{00000000-0005-0000-0000-0000E1050000}"/>
    <cellStyle name="Comma 2 2 2 16 5 3" xfId="1509" xr:uid="{00000000-0005-0000-0000-0000E2050000}"/>
    <cellStyle name="Comma 2 2 2 16 5 4" xfId="1510" xr:uid="{00000000-0005-0000-0000-0000E3050000}"/>
    <cellStyle name="Comma 2 2 2 16 5 5" xfId="1511" xr:uid="{00000000-0005-0000-0000-0000E4050000}"/>
    <cellStyle name="Comma 2 2 2 16 5 6" xfId="1512" xr:uid="{00000000-0005-0000-0000-0000E5050000}"/>
    <cellStyle name="Comma 2 2 2 16 5 7" xfId="1513" xr:uid="{00000000-0005-0000-0000-0000E6050000}"/>
    <cellStyle name="Comma 2 2 2 16 5 8" xfId="1514" xr:uid="{00000000-0005-0000-0000-0000E7050000}"/>
    <cellStyle name="Comma 2 2 2 16 6" xfId="1515" xr:uid="{00000000-0005-0000-0000-0000E8050000}"/>
    <cellStyle name="Comma 2 2 2 17" xfId="1516" xr:uid="{00000000-0005-0000-0000-0000E9050000}"/>
    <cellStyle name="Comma 2 2 2 17 2" xfId="1517" xr:uid="{00000000-0005-0000-0000-0000EA050000}"/>
    <cellStyle name="Comma 2 2 2 17 2 10" xfId="1518" xr:uid="{00000000-0005-0000-0000-0000EB050000}"/>
    <cellStyle name="Comma 2 2 2 17 2 11" xfId="1519" xr:uid="{00000000-0005-0000-0000-0000EC050000}"/>
    <cellStyle name="Comma 2 2 2 17 2 12" xfId="1520" xr:uid="{00000000-0005-0000-0000-0000ED050000}"/>
    <cellStyle name="Comma 2 2 2 17 2 2" xfId="1521" xr:uid="{00000000-0005-0000-0000-0000EE050000}"/>
    <cellStyle name="Comma 2 2 2 17 2 2 2" xfId="1522" xr:uid="{00000000-0005-0000-0000-0000EF050000}"/>
    <cellStyle name="Comma 2 2 2 17 2 2 3" xfId="1523" xr:uid="{00000000-0005-0000-0000-0000F0050000}"/>
    <cellStyle name="Comma 2 2 2 17 2 2 4" xfId="1524" xr:uid="{00000000-0005-0000-0000-0000F1050000}"/>
    <cellStyle name="Comma 2 2 2 17 2 3" xfId="1525" xr:uid="{00000000-0005-0000-0000-0000F2050000}"/>
    <cellStyle name="Comma 2 2 2 17 2 3 2" xfId="1526" xr:uid="{00000000-0005-0000-0000-0000F3050000}"/>
    <cellStyle name="Comma 2 2 2 17 2 4" xfId="1527" xr:uid="{00000000-0005-0000-0000-0000F4050000}"/>
    <cellStyle name="Comma 2 2 2 17 2 5" xfId="1528" xr:uid="{00000000-0005-0000-0000-0000F5050000}"/>
    <cellStyle name="Comma 2 2 2 17 2 6" xfId="1529" xr:uid="{00000000-0005-0000-0000-0000F6050000}"/>
    <cellStyle name="Comma 2 2 2 17 2 6 2" xfId="1530" xr:uid="{00000000-0005-0000-0000-0000F7050000}"/>
    <cellStyle name="Comma 2 2 2 17 2 7" xfId="1531" xr:uid="{00000000-0005-0000-0000-0000F8050000}"/>
    <cellStyle name="Comma 2 2 2 17 2 8" xfId="1532" xr:uid="{00000000-0005-0000-0000-0000F9050000}"/>
    <cellStyle name="Comma 2 2 2 17 2 9" xfId="1533" xr:uid="{00000000-0005-0000-0000-0000FA050000}"/>
    <cellStyle name="Comma 2 2 2 17 3" xfId="1534" xr:uid="{00000000-0005-0000-0000-0000FB050000}"/>
    <cellStyle name="Comma 2 2 2 17 3 2" xfId="1535" xr:uid="{00000000-0005-0000-0000-0000FC050000}"/>
    <cellStyle name="Comma 2 2 2 17 3 3" xfId="1536" xr:uid="{00000000-0005-0000-0000-0000FD050000}"/>
    <cellStyle name="Comma 2 2 2 17 3 4" xfId="1537" xr:uid="{00000000-0005-0000-0000-0000FE050000}"/>
    <cellStyle name="Comma 2 2 2 17 3 5" xfId="1538" xr:uid="{00000000-0005-0000-0000-0000FF050000}"/>
    <cellStyle name="Comma 2 2 2 17 3 6" xfId="1539" xr:uid="{00000000-0005-0000-0000-000000060000}"/>
    <cellStyle name="Comma 2 2 2 17 3 7" xfId="1540" xr:uid="{00000000-0005-0000-0000-000001060000}"/>
    <cellStyle name="Comma 2 2 2 17 3 8" xfId="1541" xr:uid="{00000000-0005-0000-0000-000002060000}"/>
    <cellStyle name="Comma 2 2 2 18" xfId="1542" xr:uid="{00000000-0005-0000-0000-000003060000}"/>
    <cellStyle name="Comma 2 2 2 18 2" xfId="1543" xr:uid="{00000000-0005-0000-0000-000004060000}"/>
    <cellStyle name="Comma 2 2 2 18 2 10" xfId="1544" xr:uid="{00000000-0005-0000-0000-000005060000}"/>
    <cellStyle name="Comma 2 2 2 18 2 11" xfId="1545" xr:uid="{00000000-0005-0000-0000-000006060000}"/>
    <cellStyle name="Comma 2 2 2 18 2 12" xfId="1546" xr:uid="{00000000-0005-0000-0000-000007060000}"/>
    <cellStyle name="Comma 2 2 2 18 2 2" xfId="1547" xr:uid="{00000000-0005-0000-0000-000008060000}"/>
    <cellStyle name="Comma 2 2 2 18 2 3" xfId="1548" xr:uid="{00000000-0005-0000-0000-000009060000}"/>
    <cellStyle name="Comma 2 2 2 18 2 4" xfId="1549" xr:uid="{00000000-0005-0000-0000-00000A060000}"/>
    <cellStyle name="Comma 2 2 2 18 2 5" xfId="1550" xr:uid="{00000000-0005-0000-0000-00000B060000}"/>
    <cellStyle name="Comma 2 2 2 18 2 6" xfId="1551" xr:uid="{00000000-0005-0000-0000-00000C060000}"/>
    <cellStyle name="Comma 2 2 2 18 2 6 2" xfId="1552" xr:uid="{00000000-0005-0000-0000-00000D060000}"/>
    <cellStyle name="Comma 2 2 2 18 2 7" xfId="1553" xr:uid="{00000000-0005-0000-0000-00000E060000}"/>
    <cellStyle name="Comma 2 2 2 18 2 8" xfId="1554" xr:uid="{00000000-0005-0000-0000-00000F060000}"/>
    <cellStyle name="Comma 2 2 2 18 2 9" xfId="1555" xr:uid="{00000000-0005-0000-0000-000010060000}"/>
    <cellStyle name="Comma 2 2 2 19" xfId="1556" xr:uid="{00000000-0005-0000-0000-000011060000}"/>
    <cellStyle name="Comma 2 2 2 19 2" xfId="1557" xr:uid="{00000000-0005-0000-0000-000012060000}"/>
    <cellStyle name="Comma 2 2 2 2" xfId="1558" xr:uid="{00000000-0005-0000-0000-000013060000}"/>
    <cellStyle name="Comma 2 2 2 2 10" xfId="1559" xr:uid="{00000000-0005-0000-0000-000014060000}"/>
    <cellStyle name="Comma 2 2 2 2 10 10" xfId="1560" xr:uid="{00000000-0005-0000-0000-000015060000}"/>
    <cellStyle name="Comma 2 2 2 2 10 10 2" xfId="1561" xr:uid="{00000000-0005-0000-0000-000016060000}"/>
    <cellStyle name="Comma 2 2 2 2 10 10 3" xfId="1562" xr:uid="{00000000-0005-0000-0000-000017060000}"/>
    <cellStyle name="Comma 2 2 2 2 10 10 4" xfId="1563" xr:uid="{00000000-0005-0000-0000-000018060000}"/>
    <cellStyle name="Comma 2 2 2 2 10 10 5" xfId="1564" xr:uid="{00000000-0005-0000-0000-000019060000}"/>
    <cellStyle name="Comma 2 2 2 2 10 10 6" xfId="1565" xr:uid="{00000000-0005-0000-0000-00001A060000}"/>
    <cellStyle name="Comma 2 2 2 2 10 10 7" xfId="1566" xr:uid="{00000000-0005-0000-0000-00001B060000}"/>
    <cellStyle name="Comma 2 2 2 2 10 10 8" xfId="1567" xr:uid="{00000000-0005-0000-0000-00001C060000}"/>
    <cellStyle name="Comma 2 2 2 2 10 11" xfId="1568" xr:uid="{00000000-0005-0000-0000-00001D060000}"/>
    <cellStyle name="Comma 2 2 2 2 10 11 2" xfId="1569" xr:uid="{00000000-0005-0000-0000-00001E060000}"/>
    <cellStyle name="Comma 2 2 2 2 10 11 3" xfId="1570" xr:uid="{00000000-0005-0000-0000-00001F060000}"/>
    <cellStyle name="Comma 2 2 2 2 10 11 4" xfId="1571" xr:uid="{00000000-0005-0000-0000-000020060000}"/>
    <cellStyle name="Comma 2 2 2 2 10 11 5" xfId="1572" xr:uid="{00000000-0005-0000-0000-000021060000}"/>
    <cellStyle name="Comma 2 2 2 2 10 11 6" xfId="1573" xr:uid="{00000000-0005-0000-0000-000022060000}"/>
    <cellStyle name="Comma 2 2 2 2 10 11 7" xfId="1574" xr:uid="{00000000-0005-0000-0000-000023060000}"/>
    <cellStyle name="Comma 2 2 2 2 10 11 8" xfId="1575" xr:uid="{00000000-0005-0000-0000-000024060000}"/>
    <cellStyle name="Comma 2 2 2 2 10 12" xfId="1576" xr:uid="{00000000-0005-0000-0000-000025060000}"/>
    <cellStyle name="Comma 2 2 2 2 10 12 2" xfId="1577" xr:uid="{00000000-0005-0000-0000-000026060000}"/>
    <cellStyle name="Comma 2 2 2 2 10 12 3" xfId="1578" xr:uid="{00000000-0005-0000-0000-000027060000}"/>
    <cellStyle name="Comma 2 2 2 2 10 12 4" xfId="1579" xr:uid="{00000000-0005-0000-0000-000028060000}"/>
    <cellStyle name="Comma 2 2 2 2 10 12 5" xfId="1580" xr:uid="{00000000-0005-0000-0000-000029060000}"/>
    <cellStyle name="Comma 2 2 2 2 10 12 6" xfId="1581" xr:uid="{00000000-0005-0000-0000-00002A060000}"/>
    <cellStyle name="Comma 2 2 2 2 10 12 7" xfId="1582" xr:uid="{00000000-0005-0000-0000-00002B060000}"/>
    <cellStyle name="Comma 2 2 2 2 10 12 8" xfId="1583" xr:uid="{00000000-0005-0000-0000-00002C060000}"/>
    <cellStyle name="Comma 2 2 2 2 10 13" xfId="1584" xr:uid="{00000000-0005-0000-0000-00002D060000}"/>
    <cellStyle name="Comma 2 2 2 2 10 13 2" xfId="1585" xr:uid="{00000000-0005-0000-0000-00002E060000}"/>
    <cellStyle name="Comma 2 2 2 2 10 13 3" xfId="1586" xr:uid="{00000000-0005-0000-0000-00002F060000}"/>
    <cellStyle name="Comma 2 2 2 2 10 13 4" xfId="1587" xr:uid="{00000000-0005-0000-0000-000030060000}"/>
    <cellStyle name="Comma 2 2 2 2 10 13 5" xfId="1588" xr:uid="{00000000-0005-0000-0000-000031060000}"/>
    <cellStyle name="Comma 2 2 2 2 10 13 6" xfId="1589" xr:uid="{00000000-0005-0000-0000-000032060000}"/>
    <cellStyle name="Comma 2 2 2 2 10 13 7" xfId="1590" xr:uid="{00000000-0005-0000-0000-000033060000}"/>
    <cellStyle name="Comma 2 2 2 2 10 13 8" xfId="1591" xr:uid="{00000000-0005-0000-0000-000034060000}"/>
    <cellStyle name="Comma 2 2 2 2 10 14" xfId="1592" xr:uid="{00000000-0005-0000-0000-000035060000}"/>
    <cellStyle name="Comma 2 2 2 2 10 14 2" xfId="1593" xr:uid="{00000000-0005-0000-0000-000036060000}"/>
    <cellStyle name="Comma 2 2 2 2 10 14 3" xfId="1594" xr:uid="{00000000-0005-0000-0000-000037060000}"/>
    <cellStyle name="Comma 2 2 2 2 10 15" xfId="1595" xr:uid="{00000000-0005-0000-0000-000038060000}"/>
    <cellStyle name="Comma 2 2 2 2 10 16" xfId="1596" xr:uid="{00000000-0005-0000-0000-000039060000}"/>
    <cellStyle name="Comma 2 2 2 2 10 16 2" xfId="1597" xr:uid="{00000000-0005-0000-0000-00003A060000}"/>
    <cellStyle name="Comma 2 2 2 2 10 17" xfId="1598" xr:uid="{00000000-0005-0000-0000-00003B060000}"/>
    <cellStyle name="Comma 2 2 2 2 10 17 2" xfId="1599" xr:uid="{00000000-0005-0000-0000-00003C060000}"/>
    <cellStyle name="Comma 2 2 2 2 10 18" xfId="1600" xr:uid="{00000000-0005-0000-0000-00003D060000}"/>
    <cellStyle name="Comma 2 2 2 2 10 19" xfId="1601" xr:uid="{00000000-0005-0000-0000-00003E060000}"/>
    <cellStyle name="Comma 2 2 2 2 10 2" xfId="1602" xr:uid="{00000000-0005-0000-0000-00003F060000}"/>
    <cellStyle name="Comma 2 2 2 2 10 2 2" xfId="1603" xr:uid="{00000000-0005-0000-0000-000040060000}"/>
    <cellStyle name="Comma 2 2 2 2 10 2 3" xfId="1604" xr:uid="{00000000-0005-0000-0000-000041060000}"/>
    <cellStyle name="Comma 2 2 2 2 10 2 4" xfId="1605" xr:uid="{00000000-0005-0000-0000-000042060000}"/>
    <cellStyle name="Comma 2 2 2 2 10 2 5" xfId="1606" xr:uid="{00000000-0005-0000-0000-000043060000}"/>
    <cellStyle name="Comma 2 2 2 2 10 20" xfId="1607" xr:uid="{00000000-0005-0000-0000-000044060000}"/>
    <cellStyle name="Comma 2 2 2 2 10 21" xfId="1608" xr:uid="{00000000-0005-0000-0000-000045060000}"/>
    <cellStyle name="Comma 2 2 2 2 10 22" xfId="1609" xr:uid="{00000000-0005-0000-0000-000046060000}"/>
    <cellStyle name="Comma 2 2 2 2 10 23" xfId="1610" xr:uid="{00000000-0005-0000-0000-000047060000}"/>
    <cellStyle name="Comma 2 2 2 2 10 24" xfId="1611" xr:uid="{00000000-0005-0000-0000-000048060000}"/>
    <cellStyle name="Comma 2 2 2 2 10 25" xfId="1612" xr:uid="{00000000-0005-0000-0000-000049060000}"/>
    <cellStyle name="Comma 2 2 2 2 10 3" xfId="1613" xr:uid="{00000000-0005-0000-0000-00004A060000}"/>
    <cellStyle name="Comma 2 2 2 2 10 3 2" xfId="1614" xr:uid="{00000000-0005-0000-0000-00004B060000}"/>
    <cellStyle name="Comma 2 2 2 2 10 3 3" xfId="1615" xr:uid="{00000000-0005-0000-0000-00004C060000}"/>
    <cellStyle name="Comma 2 2 2 2 10 4" xfId="1616" xr:uid="{00000000-0005-0000-0000-00004D060000}"/>
    <cellStyle name="Comma 2 2 2 2 10 4 2" xfId="1617" xr:uid="{00000000-0005-0000-0000-00004E060000}"/>
    <cellStyle name="Comma 2 2 2 2 10 5" xfId="1618" xr:uid="{00000000-0005-0000-0000-00004F060000}"/>
    <cellStyle name="Comma 2 2 2 2 10 5 2" xfId="1619" xr:uid="{00000000-0005-0000-0000-000050060000}"/>
    <cellStyle name="Comma 2 2 2 2 10 5 3" xfId="1620" xr:uid="{00000000-0005-0000-0000-000051060000}"/>
    <cellStyle name="Comma 2 2 2 2 10 5 4" xfId="1621" xr:uid="{00000000-0005-0000-0000-000052060000}"/>
    <cellStyle name="Comma 2 2 2 2 10 5 5" xfId="1622" xr:uid="{00000000-0005-0000-0000-000053060000}"/>
    <cellStyle name="Comma 2 2 2 2 10 5 6" xfId="1623" xr:uid="{00000000-0005-0000-0000-000054060000}"/>
    <cellStyle name="Comma 2 2 2 2 10 5 7" xfId="1624" xr:uid="{00000000-0005-0000-0000-000055060000}"/>
    <cellStyle name="Comma 2 2 2 2 10 5 8" xfId="1625" xr:uid="{00000000-0005-0000-0000-000056060000}"/>
    <cellStyle name="Comma 2 2 2 2 10 6" xfId="1626" xr:uid="{00000000-0005-0000-0000-000057060000}"/>
    <cellStyle name="Comma 2 2 2 2 10 6 2" xfId="1627" xr:uid="{00000000-0005-0000-0000-000058060000}"/>
    <cellStyle name="Comma 2 2 2 2 10 7" xfId="1628" xr:uid="{00000000-0005-0000-0000-000059060000}"/>
    <cellStyle name="Comma 2 2 2 2 10 7 2" xfId="1629" xr:uid="{00000000-0005-0000-0000-00005A060000}"/>
    <cellStyle name="Comma 2 2 2 2 10 7 3" xfId="1630" xr:uid="{00000000-0005-0000-0000-00005B060000}"/>
    <cellStyle name="Comma 2 2 2 2 10 7 4" xfId="1631" xr:uid="{00000000-0005-0000-0000-00005C060000}"/>
    <cellStyle name="Comma 2 2 2 2 10 7 5" xfId="1632" xr:uid="{00000000-0005-0000-0000-00005D060000}"/>
    <cellStyle name="Comma 2 2 2 2 10 7 6" xfId="1633" xr:uid="{00000000-0005-0000-0000-00005E060000}"/>
    <cellStyle name="Comma 2 2 2 2 10 7 7" xfId="1634" xr:uid="{00000000-0005-0000-0000-00005F060000}"/>
    <cellStyle name="Comma 2 2 2 2 10 7 8" xfId="1635" xr:uid="{00000000-0005-0000-0000-000060060000}"/>
    <cellStyle name="Comma 2 2 2 2 10 8" xfId="1636" xr:uid="{00000000-0005-0000-0000-000061060000}"/>
    <cellStyle name="Comma 2 2 2 2 10 8 2" xfId="1637" xr:uid="{00000000-0005-0000-0000-000062060000}"/>
    <cellStyle name="Comma 2 2 2 2 10 8 3" xfId="1638" xr:uid="{00000000-0005-0000-0000-000063060000}"/>
    <cellStyle name="Comma 2 2 2 2 10 8 4" xfId="1639" xr:uid="{00000000-0005-0000-0000-000064060000}"/>
    <cellStyle name="Comma 2 2 2 2 10 8 5" xfId="1640" xr:uid="{00000000-0005-0000-0000-000065060000}"/>
    <cellStyle name="Comma 2 2 2 2 10 8 6" xfId="1641" xr:uid="{00000000-0005-0000-0000-000066060000}"/>
    <cellStyle name="Comma 2 2 2 2 10 8 7" xfId="1642" xr:uid="{00000000-0005-0000-0000-000067060000}"/>
    <cellStyle name="Comma 2 2 2 2 10 8 8" xfId="1643" xr:uid="{00000000-0005-0000-0000-000068060000}"/>
    <cellStyle name="Comma 2 2 2 2 10 9" xfId="1644" xr:uid="{00000000-0005-0000-0000-000069060000}"/>
    <cellStyle name="Comma 2 2 2 2 10 9 2" xfId="1645" xr:uid="{00000000-0005-0000-0000-00006A060000}"/>
    <cellStyle name="Comma 2 2 2 2 10 9 3" xfId="1646" xr:uid="{00000000-0005-0000-0000-00006B060000}"/>
    <cellStyle name="Comma 2 2 2 2 10 9 4" xfId="1647" xr:uid="{00000000-0005-0000-0000-00006C060000}"/>
    <cellStyle name="Comma 2 2 2 2 10 9 5" xfId="1648" xr:uid="{00000000-0005-0000-0000-00006D060000}"/>
    <cellStyle name="Comma 2 2 2 2 10 9 6" xfId="1649" xr:uid="{00000000-0005-0000-0000-00006E060000}"/>
    <cellStyle name="Comma 2 2 2 2 10 9 7" xfId="1650" xr:uid="{00000000-0005-0000-0000-00006F060000}"/>
    <cellStyle name="Comma 2 2 2 2 10 9 8" xfId="1651" xr:uid="{00000000-0005-0000-0000-000070060000}"/>
    <cellStyle name="Comma 2 2 2 2 11" xfId="1652" xr:uid="{00000000-0005-0000-0000-000071060000}"/>
    <cellStyle name="Comma 2 2 2 2 11 10" xfId="1653" xr:uid="{00000000-0005-0000-0000-000072060000}"/>
    <cellStyle name="Comma 2 2 2 2 11 11" xfId="1654" xr:uid="{00000000-0005-0000-0000-000073060000}"/>
    <cellStyle name="Comma 2 2 2 2 11 12" xfId="1655" xr:uid="{00000000-0005-0000-0000-000074060000}"/>
    <cellStyle name="Comma 2 2 2 2 11 13" xfId="1656" xr:uid="{00000000-0005-0000-0000-000075060000}"/>
    <cellStyle name="Comma 2 2 2 2 11 14" xfId="1657" xr:uid="{00000000-0005-0000-0000-000076060000}"/>
    <cellStyle name="Comma 2 2 2 2 11 15" xfId="1658" xr:uid="{00000000-0005-0000-0000-000077060000}"/>
    <cellStyle name="Comma 2 2 2 2 11 16" xfId="1659" xr:uid="{00000000-0005-0000-0000-000078060000}"/>
    <cellStyle name="Comma 2 2 2 2 11 17" xfId="1660" xr:uid="{00000000-0005-0000-0000-000079060000}"/>
    <cellStyle name="Comma 2 2 2 2 11 17 2" xfId="1661" xr:uid="{00000000-0005-0000-0000-00007A060000}"/>
    <cellStyle name="Comma 2 2 2 2 11 18" xfId="1662" xr:uid="{00000000-0005-0000-0000-00007B060000}"/>
    <cellStyle name="Comma 2 2 2 2 11 19" xfId="1663" xr:uid="{00000000-0005-0000-0000-00007C060000}"/>
    <cellStyle name="Comma 2 2 2 2 11 2" xfId="1664" xr:uid="{00000000-0005-0000-0000-00007D060000}"/>
    <cellStyle name="Comma 2 2 2 2 11 2 2" xfId="1665" xr:uid="{00000000-0005-0000-0000-00007E060000}"/>
    <cellStyle name="Comma 2 2 2 2 11 2 2 10" xfId="1666" xr:uid="{00000000-0005-0000-0000-00007F060000}"/>
    <cellStyle name="Comma 2 2 2 2 11 2 2 11" xfId="1667" xr:uid="{00000000-0005-0000-0000-000080060000}"/>
    <cellStyle name="Comma 2 2 2 2 11 2 2 12" xfId="1668" xr:uid="{00000000-0005-0000-0000-000081060000}"/>
    <cellStyle name="Comma 2 2 2 2 11 2 2 2" xfId="1669" xr:uid="{00000000-0005-0000-0000-000082060000}"/>
    <cellStyle name="Comma 2 2 2 2 11 2 2 3" xfId="1670" xr:uid="{00000000-0005-0000-0000-000083060000}"/>
    <cellStyle name="Comma 2 2 2 2 11 2 2 4" xfId="1671" xr:uid="{00000000-0005-0000-0000-000084060000}"/>
    <cellStyle name="Comma 2 2 2 2 11 2 2 5" xfId="1672" xr:uid="{00000000-0005-0000-0000-000085060000}"/>
    <cellStyle name="Comma 2 2 2 2 11 2 2 6" xfId="1673" xr:uid="{00000000-0005-0000-0000-000086060000}"/>
    <cellStyle name="Comma 2 2 2 2 11 2 2 6 2" xfId="1674" xr:uid="{00000000-0005-0000-0000-000087060000}"/>
    <cellStyle name="Comma 2 2 2 2 11 2 2 7" xfId="1675" xr:uid="{00000000-0005-0000-0000-000088060000}"/>
    <cellStyle name="Comma 2 2 2 2 11 2 2 8" xfId="1676" xr:uid="{00000000-0005-0000-0000-000089060000}"/>
    <cellStyle name="Comma 2 2 2 2 11 2 2 9" xfId="1677" xr:uid="{00000000-0005-0000-0000-00008A060000}"/>
    <cellStyle name="Comma 2 2 2 2 11 2 3" xfId="1678" xr:uid="{00000000-0005-0000-0000-00008B060000}"/>
    <cellStyle name="Comma 2 2 2 2 11 2 3 10" xfId="1679" xr:uid="{00000000-0005-0000-0000-00008C060000}"/>
    <cellStyle name="Comma 2 2 2 2 11 2 3 11" xfId="1680" xr:uid="{00000000-0005-0000-0000-00008D060000}"/>
    <cellStyle name="Comma 2 2 2 2 11 2 3 12" xfId="1681" xr:uid="{00000000-0005-0000-0000-00008E060000}"/>
    <cellStyle name="Comma 2 2 2 2 11 2 3 2" xfId="1682" xr:uid="{00000000-0005-0000-0000-00008F060000}"/>
    <cellStyle name="Comma 2 2 2 2 11 2 3 3" xfId="1683" xr:uid="{00000000-0005-0000-0000-000090060000}"/>
    <cellStyle name="Comma 2 2 2 2 11 2 3 4" xfId="1684" xr:uid="{00000000-0005-0000-0000-000091060000}"/>
    <cellStyle name="Comma 2 2 2 2 11 2 3 5" xfId="1685" xr:uid="{00000000-0005-0000-0000-000092060000}"/>
    <cellStyle name="Comma 2 2 2 2 11 2 3 6" xfId="1686" xr:uid="{00000000-0005-0000-0000-000093060000}"/>
    <cellStyle name="Comma 2 2 2 2 11 2 3 6 2" xfId="1687" xr:uid="{00000000-0005-0000-0000-000094060000}"/>
    <cellStyle name="Comma 2 2 2 2 11 2 3 7" xfId="1688" xr:uid="{00000000-0005-0000-0000-000095060000}"/>
    <cellStyle name="Comma 2 2 2 2 11 2 3 8" xfId="1689" xr:uid="{00000000-0005-0000-0000-000096060000}"/>
    <cellStyle name="Comma 2 2 2 2 11 2 3 9" xfId="1690" xr:uid="{00000000-0005-0000-0000-000097060000}"/>
    <cellStyle name="Comma 2 2 2 2 11 2 4" xfId="1691" xr:uid="{00000000-0005-0000-0000-000098060000}"/>
    <cellStyle name="Comma 2 2 2 2 11 2 4 10" xfId="1692" xr:uid="{00000000-0005-0000-0000-000099060000}"/>
    <cellStyle name="Comma 2 2 2 2 11 2 4 11" xfId="1693" xr:uid="{00000000-0005-0000-0000-00009A060000}"/>
    <cellStyle name="Comma 2 2 2 2 11 2 4 12" xfId="1694" xr:uid="{00000000-0005-0000-0000-00009B060000}"/>
    <cellStyle name="Comma 2 2 2 2 11 2 4 2" xfId="1695" xr:uid="{00000000-0005-0000-0000-00009C060000}"/>
    <cellStyle name="Comma 2 2 2 2 11 2 4 3" xfId="1696" xr:uid="{00000000-0005-0000-0000-00009D060000}"/>
    <cellStyle name="Comma 2 2 2 2 11 2 4 4" xfId="1697" xr:uid="{00000000-0005-0000-0000-00009E060000}"/>
    <cellStyle name="Comma 2 2 2 2 11 2 4 5" xfId="1698" xr:uid="{00000000-0005-0000-0000-00009F060000}"/>
    <cellStyle name="Comma 2 2 2 2 11 2 4 6" xfId="1699" xr:uid="{00000000-0005-0000-0000-0000A0060000}"/>
    <cellStyle name="Comma 2 2 2 2 11 2 4 6 2" xfId="1700" xr:uid="{00000000-0005-0000-0000-0000A1060000}"/>
    <cellStyle name="Comma 2 2 2 2 11 2 4 7" xfId="1701" xr:uid="{00000000-0005-0000-0000-0000A2060000}"/>
    <cellStyle name="Comma 2 2 2 2 11 2 4 8" xfId="1702" xr:uid="{00000000-0005-0000-0000-0000A3060000}"/>
    <cellStyle name="Comma 2 2 2 2 11 2 4 9" xfId="1703" xr:uid="{00000000-0005-0000-0000-0000A4060000}"/>
    <cellStyle name="Comma 2 2 2 2 11 2 5" xfId="1704" xr:uid="{00000000-0005-0000-0000-0000A5060000}"/>
    <cellStyle name="Comma 2 2 2 2 11 2 5 10" xfId="1705" xr:uid="{00000000-0005-0000-0000-0000A6060000}"/>
    <cellStyle name="Comma 2 2 2 2 11 2 5 11" xfId="1706" xr:uid="{00000000-0005-0000-0000-0000A7060000}"/>
    <cellStyle name="Comma 2 2 2 2 11 2 5 12" xfId="1707" xr:uid="{00000000-0005-0000-0000-0000A8060000}"/>
    <cellStyle name="Comma 2 2 2 2 11 2 5 2" xfId="1708" xr:uid="{00000000-0005-0000-0000-0000A9060000}"/>
    <cellStyle name="Comma 2 2 2 2 11 2 5 3" xfId="1709" xr:uid="{00000000-0005-0000-0000-0000AA060000}"/>
    <cellStyle name="Comma 2 2 2 2 11 2 5 4" xfId="1710" xr:uid="{00000000-0005-0000-0000-0000AB060000}"/>
    <cellStyle name="Comma 2 2 2 2 11 2 5 5" xfId="1711" xr:uid="{00000000-0005-0000-0000-0000AC060000}"/>
    <cellStyle name="Comma 2 2 2 2 11 2 5 6" xfId="1712" xr:uid="{00000000-0005-0000-0000-0000AD060000}"/>
    <cellStyle name="Comma 2 2 2 2 11 2 5 6 2" xfId="1713" xr:uid="{00000000-0005-0000-0000-0000AE060000}"/>
    <cellStyle name="Comma 2 2 2 2 11 2 5 7" xfId="1714" xr:uid="{00000000-0005-0000-0000-0000AF060000}"/>
    <cellStyle name="Comma 2 2 2 2 11 2 5 8" xfId="1715" xr:uid="{00000000-0005-0000-0000-0000B0060000}"/>
    <cellStyle name="Comma 2 2 2 2 11 2 5 9" xfId="1716" xr:uid="{00000000-0005-0000-0000-0000B1060000}"/>
    <cellStyle name="Comma 2 2 2 2 11 2 6" xfId="1717" xr:uid="{00000000-0005-0000-0000-0000B2060000}"/>
    <cellStyle name="Comma 2 2 2 2 11 2 6 10" xfId="1718" xr:uid="{00000000-0005-0000-0000-0000B3060000}"/>
    <cellStyle name="Comma 2 2 2 2 11 2 6 11" xfId="1719" xr:uid="{00000000-0005-0000-0000-0000B4060000}"/>
    <cellStyle name="Comma 2 2 2 2 11 2 6 12" xfId="1720" xr:uid="{00000000-0005-0000-0000-0000B5060000}"/>
    <cellStyle name="Comma 2 2 2 2 11 2 6 2" xfId="1721" xr:uid="{00000000-0005-0000-0000-0000B6060000}"/>
    <cellStyle name="Comma 2 2 2 2 11 2 6 3" xfId="1722" xr:uid="{00000000-0005-0000-0000-0000B7060000}"/>
    <cellStyle name="Comma 2 2 2 2 11 2 6 4" xfId="1723" xr:uid="{00000000-0005-0000-0000-0000B8060000}"/>
    <cellStyle name="Comma 2 2 2 2 11 2 6 5" xfId="1724" xr:uid="{00000000-0005-0000-0000-0000B9060000}"/>
    <cellStyle name="Comma 2 2 2 2 11 2 6 6" xfId="1725" xr:uid="{00000000-0005-0000-0000-0000BA060000}"/>
    <cellStyle name="Comma 2 2 2 2 11 2 6 6 2" xfId="1726" xr:uid="{00000000-0005-0000-0000-0000BB060000}"/>
    <cellStyle name="Comma 2 2 2 2 11 2 6 7" xfId="1727" xr:uid="{00000000-0005-0000-0000-0000BC060000}"/>
    <cellStyle name="Comma 2 2 2 2 11 2 6 8" xfId="1728" xr:uid="{00000000-0005-0000-0000-0000BD060000}"/>
    <cellStyle name="Comma 2 2 2 2 11 2 6 9" xfId="1729" xr:uid="{00000000-0005-0000-0000-0000BE060000}"/>
    <cellStyle name="Comma 2 2 2 2 11 2 7" xfId="1730" xr:uid="{00000000-0005-0000-0000-0000BF060000}"/>
    <cellStyle name="Comma 2 2 2 2 11 2 7 2" xfId="1731" xr:uid="{00000000-0005-0000-0000-0000C0060000}"/>
    <cellStyle name="Comma 2 2 2 2 11 2 8" xfId="1732" xr:uid="{00000000-0005-0000-0000-0000C1060000}"/>
    <cellStyle name="Comma 2 2 2 2 11 20" xfId="1733" xr:uid="{00000000-0005-0000-0000-0000C2060000}"/>
    <cellStyle name="Comma 2 2 2 2 11 21" xfId="1734" xr:uid="{00000000-0005-0000-0000-0000C3060000}"/>
    <cellStyle name="Comma 2 2 2 2 11 22" xfId="1735" xr:uid="{00000000-0005-0000-0000-0000C4060000}"/>
    <cellStyle name="Comma 2 2 2 2 11 23" xfId="1736" xr:uid="{00000000-0005-0000-0000-0000C5060000}"/>
    <cellStyle name="Comma 2 2 2 2 11 3" xfId="1737" xr:uid="{00000000-0005-0000-0000-0000C6060000}"/>
    <cellStyle name="Comma 2 2 2 2 11 3 2" xfId="1738" xr:uid="{00000000-0005-0000-0000-0000C7060000}"/>
    <cellStyle name="Comma 2 2 2 2 11 3 2 10" xfId="1739" xr:uid="{00000000-0005-0000-0000-0000C8060000}"/>
    <cellStyle name="Comma 2 2 2 2 11 3 2 11" xfId="1740" xr:uid="{00000000-0005-0000-0000-0000C9060000}"/>
    <cellStyle name="Comma 2 2 2 2 11 3 2 12" xfId="1741" xr:uid="{00000000-0005-0000-0000-0000CA060000}"/>
    <cellStyle name="Comma 2 2 2 2 11 3 2 2" xfId="1742" xr:uid="{00000000-0005-0000-0000-0000CB060000}"/>
    <cellStyle name="Comma 2 2 2 2 11 3 2 3" xfId="1743" xr:uid="{00000000-0005-0000-0000-0000CC060000}"/>
    <cellStyle name="Comma 2 2 2 2 11 3 2 4" xfId="1744" xr:uid="{00000000-0005-0000-0000-0000CD060000}"/>
    <cellStyle name="Comma 2 2 2 2 11 3 2 5" xfId="1745" xr:uid="{00000000-0005-0000-0000-0000CE060000}"/>
    <cellStyle name="Comma 2 2 2 2 11 3 2 6" xfId="1746" xr:uid="{00000000-0005-0000-0000-0000CF060000}"/>
    <cellStyle name="Comma 2 2 2 2 11 3 2 6 2" xfId="1747" xr:uid="{00000000-0005-0000-0000-0000D0060000}"/>
    <cellStyle name="Comma 2 2 2 2 11 3 2 7" xfId="1748" xr:uid="{00000000-0005-0000-0000-0000D1060000}"/>
    <cellStyle name="Comma 2 2 2 2 11 3 2 8" xfId="1749" xr:uid="{00000000-0005-0000-0000-0000D2060000}"/>
    <cellStyle name="Comma 2 2 2 2 11 3 2 9" xfId="1750" xr:uid="{00000000-0005-0000-0000-0000D3060000}"/>
    <cellStyle name="Comma 2 2 2 2 11 3 3" xfId="1751" xr:uid="{00000000-0005-0000-0000-0000D4060000}"/>
    <cellStyle name="Comma 2 2 2 2 11 3 3 10" xfId="1752" xr:uid="{00000000-0005-0000-0000-0000D5060000}"/>
    <cellStyle name="Comma 2 2 2 2 11 3 3 11" xfId="1753" xr:uid="{00000000-0005-0000-0000-0000D6060000}"/>
    <cellStyle name="Comma 2 2 2 2 11 3 3 12" xfId="1754" xr:uid="{00000000-0005-0000-0000-0000D7060000}"/>
    <cellStyle name="Comma 2 2 2 2 11 3 3 2" xfId="1755" xr:uid="{00000000-0005-0000-0000-0000D8060000}"/>
    <cellStyle name="Comma 2 2 2 2 11 3 3 3" xfId="1756" xr:uid="{00000000-0005-0000-0000-0000D9060000}"/>
    <cellStyle name="Comma 2 2 2 2 11 3 3 4" xfId="1757" xr:uid="{00000000-0005-0000-0000-0000DA060000}"/>
    <cellStyle name="Comma 2 2 2 2 11 3 3 5" xfId="1758" xr:uid="{00000000-0005-0000-0000-0000DB060000}"/>
    <cellStyle name="Comma 2 2 2 2 11 3 3 6" xfId="1759" xr:uid="{00000000-0005-0000-0000-0000DC060000}"/>
    <cellStyle name="Comma 2 2 2 2 11 3 3 6 2" xfId="1760" xr:uid="{00000000-0005-0000-0000-0000DD060000}"/>
    <cellStyle name="Comma 2 2 2 2 11 3 3 7" xfId="1761" xr:uid="{00000000-0005-0000-0000-0000DE060000}"/>
    <cellStyle name="Comma 2 2 2 2 11 3 3 8" xfId="1762" xr:uid="{00000000-0005-0000-0000-0000DF060000}"/>
    <cellStyle name="Comma 2 2 2 2 11 3 3 9" xfId="1763" xr:uid="{00000000-0005-0000-0000-0000E0060000}"/>
    <cellStyle name="Comma 2 2 2 2 11 3 4" xfId="1764" xr:uid="{00000000-0005-0000-0000-0000E1060000}"/>
    <cellStyle name="Comma 2 2 2 2 11 3 4 10" xfId="1765" xr:uid="{00000000-0005-0000-0000-0000E2060000}"/>
    <cellStyle name="Comma 2 2 2 2 11 3 4 11" xfId="1766" xr:uid="{00000000-0005-0000-0000-0000E3060000}"/>
    <cellStyle name="Comma 2 2 2 2 11 3 4 12" xfId="1767" xr:uid="{00000000-0005-0000-0000-0000E4060000}"/>
    <cellStyle name="Comma 2 2 2 2 11 3 4 2" xfId="1768" xr:uid="{00000000-0005-0000-0000-0000E5060000}"/>
    <cellStyle name="Comma 2 2 2 2 11 3 4 3" xfId="1769" xr:uid="{00000000-0005-0000-0000-0000E6060000}"/>
    <cellStyle name="Comma 2 2 2 2 11 3 4 4" xfId="1770" xr:uid="{00000000-0005-0000-0000-0000E7060000}"/>
    <cellStyle name="Comma 2 2 2 2 11 3 4 5" xfId="1771" xr:uid="{00000000-0005-0000-0000-0000E8060000}"/>
    <cellStyle name="Comma 2 2 2 2 11 3 4 6" xfId="1772" xr:uid="{00000000-0005-0000-0000-0000E9060000}"/>
    <cellStyle name="Comma 2 2 2 2 11 3 4 6 2" xfId="1773" xr:uid="{00000000-0005-0000-0000-0000EA060000}"/>
    <cellStyle name="Comma 2 2 2 2 11 3 4 7" xfId="1774" xr:uid="{00000000-0005-0000-0000-0000EB060000}"/>
    <cellStyle name="Comma 2 2 2 2 11 3 4 8" xfId="1775" xr:uid="{00000000-0005-0000-0000-0000EC060000}"/>
    <cellStyle name="Comma 2 2 2 2 11 3 4 9" xfId="1776" xr:uid="{00000000-0005-0000-0000-0000ED060000}"/>
    <cellStyle name="Comma 2 2 2 2 11 3 5" xfId="1777" xr:uid="{00000000-0005-0000-0000-0000EE060000}"/>
    <cellStyle name="Comma 2 2 2 2 11 3 5 10" xfId="1778" xr:uid="{00000000-0005-0000-0000-0000EF060000}"/>
    <cellStyle name="Comma 2 2 2 2 11 3 5 11" xfId="1779" xr:uid="{00000000-0005-0000-0000-0000F0060000}"/>
    <cellStyle name="Comma 2 2 2 2 11 3 5 12" xfId="1780" xr:uid="{00000000-0005-0000-0000-0000F1060000}"/>
    <cellStyle name="Comma 2 2 2 2 11 3 5 2" xfId="1781" xr:uid="{00000000-0005-0000-0000-0000F2060000}"/>
    <cellStyle name="Comma 2 2 2 2 11 3 5 3" xfId="1782" xr:uid="{00000000-0005-0000-0000-0000F3060000}"/>
    <cellStyle name="Comma 2 2 2 2 11 3 5 4" xfId="1783" xr:uid="{00000000-0005-0000-0000-0000F4060000}"/>
    <cellStyle name="Comma 2 2 2 2 11 3 5 5" xfId="1784" xr:uid="{00000000-0005-0000-0000-0000F5060000}"/>
    <cellStyle name="Comma 2 2 2 2 11 3 5 6" xfId="1785" xr:uid="{00000000-0005-0000-0000-0000F6060000}"/>
    <cellStyle name="Comma 2 2 2 2 11 3 5 6 2" xfId="1786" xr:uid="{00000000-0005-0000-0000-0000F7060000}"/>
    <cellStyle name="Comma 2 2 2 2 11 3 5 7" xfId="1787" xr:uid="{00000000-0005-0000-0000-0000F8060000}"/>
    <cellStyle name="Comma 2 2 2 2 11 3 5 8" xfId="1788" xr:uid="{00000000-0005-0000-0000-0000F9060000}"/>
    <cellStyle name="Comma 2 2 2 2 11 3 5 9" xfId="1789" xr:uid="{00000000-0005-0000-0000-0000FA060000}"/>
    <cellStyle name="Comma 2 2 2 2 11 3 6" xfId="1790" xr:uid="{00000000-0005-0000-0000-0000FB060000}"/>
    <cellStyle name="Comma 2 2 2 2 11 4" xfId="1791" xr:uid="{00000000-0005-0000-0000-0000FC060000}"/>
    <cellStyle name="Comma 2 2 2 2 11 4 2" xfId="1792" xr:uid="{00000000-0005-0000-0000-0000FD060000}"/>
    <cellStyle name="Comma 2 2 2 2 11 4 2 10" xfId="1793" xr:uid="{00000000-0005-0000-0000-0000FE060000}"/>
    <cellStyle name="Comma 2 2 2 2 11 4 2 11" xfId="1794" xr:uid="{00000000-0005-0000-0000-0000FF060000}"/>
    <cellStyle name="Comma 2 2 2 2 11 4 2 12" xfId="1795" xr:uid="{00000000-0005-0000-0000-000000070000}"/>
    <cellStyle name="Comma 2 2 2 2 11 4 2 2" xfId="1796" xr:uid="{00000000-0005-0000-0000-000001070000}"/>
    <cellStyle name="Comma 2 2 2 2 11 4 2 3" xfId="1797" xr:uid="{00000000-0005-0000-0000-000002070000}"/>
    <cellStyle name="Comma 2 2 2 2 11 4 2 4" xfId="1798" xr:uid="{00000000-0005-0000-0000-000003070000}"/>
    <cellStyle name="Comma 2 2 2 2 11 4 2 5" xfId="1799" xr:uid="{00000000-0005-0000-0000-000004070000}"/>
    <cellStyle name="Comma 2 2 2 2 11 4 2 6" xfId="1800" xr:uid="{00000000-0005-0000-0000-000005070000}"/>
    <cellStyle name="Comma 2 2 2 2 11 4 2 6 2" xfId="1801" xr:uid="{00000000-0005-0000-0000-000006070000}"/>
    <cellStyle name="Comma 2 2 2 2 11 4 2 7" xfId="1802" xr:uid="{00000000-0005-0000-0000-000007070000}"/>
    <cellStyle name="Comma 2 2 2 2 11 4 2 8" xfId="1803" xr:uid="{00000000-0005-0000-0000-000008070000}"/>
    <cellStyle name="Comma 2 2 2 2 11 4 2 9" xfId="1804" xr:uid="{00000000-0005-0000-0000-000009070000}"/>
    <cellStyle name="Comma 2 2 2 2 11 4 3" xfId="1805" xr:uid="{00000000-0005-0000-0000-00000A070000}"/>
    <cellStyle name="Comma 2 2 2 2 11 4 3 10" xfId="1806" xr:uid="{00000000-0005-0000-0000-00000B070000}"/>
    <cellStyle name="Comma 2 2 2 2 11 4 3 11" xfId="1807" xr:uid="{00000000-0005-0000-0000-00000C070000}"/>
    <cellStyle name="Comma 2 2 2 2 11 4 3 12" xfId="1808" xr:uid="{00000000-0005-0000-0000-00000D070000}"/>
    <cellStyle name="Comma 2 2 2 2 11 4 3 2" xfId="1809" xr:uid="{00000000-0005-0000-0000-00000E070000}"/>
    <cellStyle name="Comma 2 2 2 2 11 4 3 3" xfId="1810" xr:uid="{00000000-0005-0000-0000-00000F070000}"/>
    <cellStyle name="Comma 2 2 2 2 11 4 3 4" xfId="1811" xr:uid="{00000000-0005-0000-0000-000010070000}"/>
    <cellStyle name="Comma 2 2 2 2 11 4 3 5" xfId="1812" xr:uid="{00000000-0005-0000-0000-000011070000}"/>
    <cellStyle name="Comma 2 2 2 2 11 4 3 6" xfId="1813" xr:uid="{00000000-0005-0000-0000-000012070000}"/>
    <cellStyle name="Comma 2 2 2 2 11 4 3 6 2" xfId="1814" xr:uid="{00000000-0005-0000-0000-000013070000}"/>
    <cellStyle name="Comma 2 2 2 2 11 4 3 7" xfId="1815" xr:uid="{00000000-0005-0000-0000-000014070000}"/>
    <cellStyle name="Comma 2 2 2 2 11 4 3 8" xfId="1816" xr:uid="{00000000-0005-0000-0000-000015070000}"/>
    <cellStyle name="Comma 2 2 2 2 11 4 3 9" xfId="1817" xr:uid="{00000000-0005-0000-0000-000016070000}"/>
    <cellStyle name="Comma 2 2 2 2 11 4 4" xfId="1818" xr:uid="{00000000-0005-0000-0000-000017070000}"/>
    <cellStyle name="Comma 2 2 2 2 11 4 4 10" xfId="1819" xr:uid="{00000000-0005-0000-0000-000018070000}"/>
    <cellStyle name="Comma 2 2 2 2 11 4 4 11" xfId="1820" xr:uid="{00000000-0005-0000-0000-000019070000}"/>
    <cellStyle name="Comma 2 2 2 2 11 4 4 12" xfId="1821" xr:uid="{00000000-0005-0000-0000-00001A070000}"/>
    <cellStyle name="Comma 2 2 2 2 11 4 4 2" xfId="1822" xr:uid="{00000000-0005-0000-0000-00001B070000}"/>
    <cellStyle name="Comma 2 2 2 2 11 4 4 3" xfId="1823" xr:uid="{00000000-0005-0000-0000-00001C070000}"/>
    <cellStyle name="Comma 2 2 2 2 11 4 4 4" xfId="1824" xr:uid="{00000000-0005-0000-0000-00001D070000}"/>
    <cellStyle name="Comma 2 2 2 2 11 4 4 5" xfId="1825" xr:uid="{00000000-0005-0000-0000-00001E070000}"/>
    <cellStyle name="Comma 2 2 2 2 11 4 4 6" xfId="1826" xr:uid="{00000000-0005-0000-0000-00001F070000}"/>
    <cellStyle name="Comma 2 2 2 2 11 4 4 6 2" xfId="1827" xr:uid="{00000000-0005-0000-0000-000020070000}"/>
    <cellStyle name="Comma 2 2 2 2 11 4 4 7" xfId="1828" xr:uid="{00000000-0005-0000-0000-000021070000}"/>
    <cellStyle name="Comma 2 2 2 2 11 4 4 8" xfId="1829" xr:uid="{00000000-0005-0000-0000-000022070000}"/>
    <cellStyle name="Comma 2 2 2 2 11 4 4 9" xfId="1830" xr:uid="{00000000-0005-0000-0000-000023070000}"/>
    <cellStyle name="Comma 2 2 2 2 11 5" xfId="1831" xr:uid="{00000000-0005-0000-0000-000024070000}"/>
    <cellStyle name="Comma 2 2 2 2 11 5 2" xfId="1832" xr:uid="{00000000-0005-0000-0000-000025070000}"/>
    <cellStyle name="Comma 2 2 2 2 11 5 2 10" xfId="1833" xr:uid="{00000000-0005-0000-0000-000026070000}"/>
    <cellStyle name="Comma 2 2 2 2 11 5 2 11" xfId="1834" xr:uid="{00000000-0005-0000-0000-000027070000}"/>
    <cellStyle name="Comma 2 2 2 2 11 5 2 12" xfId="1835" xr:uid="{00000000-0005-0000-0000-000028070000}"/>
    <cellStyle name="Comma 2 2 2 2 11 5 2 2" xfId="1836" xr:uid="{00000000-0005-0000-0000-000029070000}"/>
    <cellStyle name="Comma 2 2 2 2 11 5 2 3" xfId="1837" xr:uid="{00000000-0005-0000-0000-00002A070000}"/>
    <cellStyle name="Comma 2 2 2 2 11 5 2 4" xfId="1838" xr:uid="{00000000-0005-0000-0000-00002B070000}"/>
    <cellStyle name="Comma 2 2 2 2 11 5 2 5" xfId="1839" xr:uid="{00000000-0005-0000-0000-00002C070000}"/>
    <cellStyle name="Comma 2 2 2 2 11 5 2 6" xfId="1840" xr:uid="{00000000-0005-0000-0000-00002D070000}"/>
    <cellStyle name="Comma 2 2 2 2 11 5 2 6 2" xfId="1841" xr:uid="{00000000-0005-0000-0000-00002E070000}"/>
    <cellStyle name="Comma 2 2 2 2 11 5 2 7" xfId="1842" xr:uid="{00000000-0005-0000-0000-00002F070000}"/>
    <cellStyle name="Comma 2 2 2 2 11 5 2 8" xfId="1843" xr:uid="{00000000-0005-0000-0000-000030070000}"/>
    <cellStyle name="Comma 2 2 2 2 11 5 2 9" xfId="1844" xr:uid="{00000000-0005-0000-0000-000031070000}"/>
    <cellStyle name="Comma 2 2 2 2 11 5 3" xfId="1845" xr:uid="{00000000-0005-0000-0000-000032070000}"/>
    <cellStyle name="Comma 2 2 2 2 11 5 3 10" xfId="1846" xr:uid="{00000000-0005-0000-0000-000033070000}"/>
    <cellStyle name="Comma 2 2 2 2 11 5 3 11" xfId="1847" xr:uid="{00000000-0005-0000-0000-000034070000}"/>
    <cellStyle name="Comma 2 2 2 2 11 5 3 12" xfId="1848" xr:uid="{00000000-0005-0000-0000-000035070000}"/>
    <cellStyle name="Comma 2 2 2 2 11 5 3 2" xfId="1849" xr:uid="{00000000-0005-0000-0000-000036070000}"/>
    <cellStyle name="Comma 2 2 2 2 11 5 3 3" xfId="1850" xr:uid="{00000000-0005-0000-0000-000037070000}"/>
    <cellStyle name="Comma 2 2 2 2 11 5 3 4" xfId="1851" xr:uid="{00000000-0005-0000-0000-000038070000}"/>
    <cellStyle name="Comma 2 2 2 2 11 5 3 5" xfId="1852" xr:uid="{00000000-0005-0000-0000-000039070000}"/>
    <cellStyle name="Comma 2 2 2 2 11 5 3 6" xfId="1853" xr:uid="{00000000-0005-0000-0000-00003A070000}"/>
    <cellStyle name="Comma 2 2 2 2 11 5 3 6 2" xfId="1854" xr:uid="{00000000-0005-0000-0000-00003B070000}"/>
    <cellStyle name="Comma 2 2 2 2 11 5 3 7" xfId="1855" xr:uid="{00000000-0005-0000-0000-00003C070000}"/>
    <cellStyle name="Comma 2 2 2 2 11 5 3 8" xfId="1856" xr:uid="{00000000-0005-0000-0000-00003D070000}"/>
    <cellStyle name="Comma 2 2 2 2 11 5 3 9" xfId="1857" xr:uid="{00000000-0005-0000-0000-00003E070000}"/>
    <cellStyle name="Comma 2 2 2 2 11 6" xfId="1858" xr:uid="{00000000-0005-0000-0000-00003F070000}"/>
    <cellStyle name="Comma 2 2 2 2 11 6 2" xfId="1859" xr:uid="{00000000-0005-0000-0000-000040070000}"/>
    <cellStyle name="Comma 2 2 2 2 11 6 2 10" xfId="1860" xr:uid="{00000000-0005-0000-0000-000041070000}"/>
    <cellStyle name="Comma 2 2 2 2 11 6 2 11" xfId="1861" xr:uid="{00000000-0005-0000-0000-000042070000}"/>
    <cellStyle name="Comma 2 2 2 2 11 6 2 12" xfId="1862" xr:uid="{00000000-0005-0000-0000-000043070000}"/>
    <cellStyle name="Comma 2 2 2 2 11 6 2 2" xfId="1863" xr:uid="{00000000-0005-0000-0000-000044070000}"/>
    <cellStyle name="Comma 2 2 2 2 11 6 2 3" xfId="1864" xr:uid="{00000000-0005-0000-0000-000045070000}"/>
    <cellStyle name="Comma 2 2 2 2 11 6 2 4" xfId="1865" xr:uid="{00000000-0005-0000-0000-000046070000}"/>
    <cellStyle name="Comma 2 2 2 2 11 6 2 5" xfId="1866" xr:uid="{00000000-0005-0000-0000-000047070000}"/>
    <cellStyle name="Comma 2 2 2 2 11 6 2 6" xfId="1867" xr:uid="{00000000-0005-0000-0000-000048070000}"/>
    <cellStyle name="Comma 2 2 2 2 11 6 2 6 2" xfId="1868" xr:uid="{00000000-0005-0000-0000-000049070000}"/>
    <cellStyle name="Comma 2 2 2 2 11 6 2 7" xfId="1869" xr:uid="{00000000-0005-0000-0000-00004A070000}"/>
    <cellStyle name="Comma 2 2 2 2 11 6 2 8" xfId="1870" xr:uid="{00000000-0005-0000-0000-00004B070000}"/>
    <cellStyle name="Comma 2 2 2 2 11 6 2 9" xfId="1871" xr:uid="{00000000-0005-0000-0000-00004C070000}"/>
    <cellStyle name="Comma 2 2 2 2 11 7" xfId="1872" xr:uid="{00000000-0005-0000-0000-00004D070000}"/>
    <cellStyle name="Comma 2 2 2 2 11 7 10" xfId="1873" xr:uid="{00000000-0005-0000-0000-00004E070000}"/>
    <cellStyle name="Comma 2 2 2 2 11 7 11" xfId="1874" xr:uid="{00000000-0005-0000-0000-00004F070000}"/>
    <cellStyle name="Comma 2 2 2 2 11 7 12" xfId="1875" xr:uid="{00000000-0005-0000-0000-000050070000}"/>
    <cellStyle name="Comma 2 2 2 2 11 7 2" xfId="1876" xr:uid="{00000000-0005-0000-0000-000051070000}"/>
    <cellStyle name="Comma 2 2 2 2 11 7 3" xfId="1877" xr:uid="{00000000-0005-0000-0000-000052070000}"/>
    <cellStyle name="Comma 2 2 2 2 11 7 4" xfId="1878" xr:uid="{00000000-0005-0000-0000-000053070000}"/>
    <cellStyle name="Comma 2 2 2 2 11 7 5" xfId="1879" xr:uid="{00000000-0005-0000-0000-000054070000}"/>
    <cellStyle name="Comma 2 2 2 2 11 7 6" xfId="1880" xr:uid="{00000000-0005-0000-0000-000055070000}"/>
    <cellStyle name="Comma 2 2 2 2 11 7 6 2" xfId="1881" xr:uid="{00000000-0005-0000-0000-000056070000}"/>
    <cellStyle name="Comma 2 2 2 2 11 7 7" xfId="1882" xr:uid="{00000000-0005-0000-0000-000057070000}"/>
    <cellStyle name="Comma 2 2 2 2 11 7 8" xfId="1883" xr:uid="{00000000-0005-0000-0000-000058070000}"/>
    <cellStyle name="Comma 2 2 2 2 11 7 9" xfId="1884" xr:uid="{00000000-0005-0000-0000-000059070000}"/>
    <cellStyle name="Comma 2 2 2 2 11 8" xfId="1885" xr:uid="{00000000-0005-0000-0000-00005A070000}"/>
    <cellStyle name="Comma 2 2 2 2 11 9" xfId="1886" xr:uid="{00000000-0005-0000-0000-00005B070000}"/>
    <cellStyle name="Comma 2 2 2 2 12" xfId="1887" xr:uid="{00000000-0005-0000-0000-00005C070000}"/>
    <cellStyle name="Comma 2 2 2 2 12 10" xfId="1888" xr:uid="{00000000-0005-0000-0000-00005D070000}"/>
    <cellStyle name="Comma 2 2 2 2 12 11" xfId="1889" xr:uid="{00000000-0005-0000-0000-00005E070000}"/>
    <cellStyle name="Comma 2 2 2 2 12 12" xfId="1890" xr:uid="{00000000-0005-0000-0000-00005F070000}"/>
    <cellStyle name="Comma 2 2 2 2 12 13" xfId="1891" xr:uid="{00000000-0005-0000-0000-000060070000}"/>
    <cellStyle name="Comma 2 2 2 2 12 14" xfId="1892" xr:uid="{00000000-0005-0000-0000-000061070000}"/>
    <cellStyle name="Comma 2 2 2 2 12 14 2" xfId="1893" xr:uid="{00000000-0005-0000-0000-000062070000}"/>
    <cellStyle name="Comma 2 2 2 2 12 15" xfId="1894" xr:uid="{00000000-0005-0000-0000-000063070000}"/>
    <cellStyle name="Comma 2 2 2 2 12 15 2" xfId="1895" xr:uid="{00000000-0005-0000-0000-000064070000}"/>
    <cellStyle name="Comma 2 2 2 2 12 16" xfId="1896" xr:uid="{00000000-0005-0000-0000-000065070000}"/>
    <cellStyle name="Comma 2 2 2 2 12 17" xfId="1897" xr:uid="{00000000-0005-0000-0000-000066070000}"/>
    <cellStyle name="Comma 2 2 2 2 12 18" xfId="1898" xr:uid="{00000000-0005-0000-0000-000067070000}"/>
    <cellStyle name="Comma 2 2 2 2 12 19" xfId="1899" xr:uid="{00000000-0005-0000-0000-000068070000}"/>
    <cellStyle name="Comma 2 2 2 2 12 2" xfId="1900" xr:uid="{00000000-0005-0000-0000-000069070000}"/>
    <cellStyle name="Comma 2 2 2 2 12 2 2" xfId="1901" xr:uid="{00000000-0005-0000-0000-00006A070000}"/>
    <cellStyle name="Comma 2 2 2 2 12 2 2 2" xfId="1902" xr:uid="{00000000-0005-0000-0000-00006B070000}"/>
    <cellStyle name="Comma 2 2 2 2 12 2 2 3" xfId="1903" xr:uid="{00000000-0005-0000-0000-00006C070000}"/>
    <cellStyle name="Comma 2 2 2 2 12 2 2 4" xfId="1904" xr:uid="{00000000-0005-0000-0000-00006D070000}"/>
    <cellStyle name="Comma 2 2 2 2 12 2 2 5" xfId="1905" xr:uid="{00000000-0005-0000-0000-00006E070000}"/>
    <cellStyle name="Comma 2 2 2 2 12 2 3" xfId="1906" xr:uid="{00000000-0005-0000-0000-00006F070000}"/>
    <cellStyle name="Comma 2 2 2 2 12 2 3 2" xfId="1907" xr:uid="{00000000-0005-0000-0000-000070070000}"/>
    <cellStyle name="Comma 2 2 2 2 12 2 3 3" xfId="1908" xr:uid="{00000000-0005-0000-0000-000071070000}"/>
    <cellStyle name="Comma 2 2 2 2 12 2 3 4" xfId="1909" xr:uid="{00000000-0005-0000-0000-000072070000}"/>
    <cellStyle name="Comma 2 2 2 2 12 2 4" xfId="1910" xr:uid="{00000000-0005-0000-0000-000073070000}"/>
    <cellStyle name="Comma 2 2 2 2 12 2 4 2" xfId="1911" xr:uid="{00000000-0005-0000-0000-000074070000}"/>
    <cellStyle name="Comma 2 2 2 2 12 2 4 3" xfId="1912" xr:uid="{00000000-0005-0000-0000-000075070000}"/>
    <cellStyle name="Comma 2 2 2 2 12 20" xfId="1913" xr:uid="{00000000-0005-0000-0000-000076070000}"/>
    <cellStyle name="Comma 2 2 2 2 12 3" xfId="1914" xr:uid="{00000000-0005-0000-0000-000077070000}"/>
    <cellStyle name="Comma 2 2 2 2 12 3 2" xfId="1915" xr:uid="{00000000-0005-0000-0000-000078070000}"/>
    <cellStyle name="Comma 2 2 2 2 12 3 2 2" xfId="1916" xr:uid="{00000000-0005-0000-0000-000079070000}"/>
    <cellStyle name="Comma 2 2 2 2 12 3 2 3" xfId="1917" xr:uid="{00000000-0005-0000-0000-00007A070000}"/>
    <cellStyle name="Comma 2 2 2 2 12 3 3" xfId="1918" xr:uid="{00000000-0005-0000-0000-00007B070000}"/>
    <cellStyle name="Comma 2 2 2 2 12 3 3 2" xfId="1919" xr:uid="{00000000-0005-0000-0000-00007C070000}"/>
    <cellStyle name="Comma 2 2 2 2 12 4" xfId="1920" xr:uid="{00000000-0005-0000-0000-00007D070000}"/>
    <cellStyle name="Comma 2 2 2 2 12 5" xfId="1921" xr:uid="{00000000-0005-0000-0000-00007E070000}"/>
    <cellStyle name="Comma 2 2 2 2 12 6" xfId="1922" xr:uid="{00000000-0005-0000-0000-00007F070000}"/>
    <cellStyle name="Comma 2 2 2 2 12 6 2" xfId="1923" xr:uid="{00000000-0005-0000-0000-000080070000}"/>
    <cellStyle name="Comma 2 2 2 2 12 6 3" xfId="1924" xr:uid="{00000000-0005-0000-0000-000081070000}"/>
    <cellStyle name="Comma 2 2 2 2 12 7" xfId="1925" xr:uid="{00000000-0005-0000-0000-000082070000}"/>
    <cellStyle name="Comma 2 2 2 2 12 8" xfId="1926" xr:uid="{00000000-0005-0000-0000-000083070000}"/>
    <cellStyle name="Comma 2 2 2 2 12 9" xfId="1927" xr:uid="{00000000-0005-0000-0000-000084070000}"/>
    <cellStyle name="Comma 2 2 2 2 13" xfId="1928" xr:uid="{00000000-0005-0000-0000-000085070000}"/>
    <cellStyle name="Comma 2 2 2 2 13 10" xfId="1929" xr:uid="{00000000-0005-0000-0000-000086070000}"/>
    <cellStyle name="Comma 2 2 2 2 13 11" xfId="1930" xr:uid="{00000000-0005-0000-0000-000087070000}"/>
    <cellStyle name="Comma 2 2 2 2 13 12" xfId="1931" xr:uid="{00000000-0005-0000-0000-000088070000}"/>
    <cellStyle name="Comma 2 2 2 2 13 12 2" xfId="1932" xr:uid="{00000000-0005-0000-0000-000089070000}"/>
    <cellStyle name="Comma 2 2 2 2 13 13" xfId="1933" xr:uid="{00000000-0005-0000-0000-00008A070000}"/>
    <cellStyle name="Comma 2 2 2 2 13 14" xfId="1934" xr:uid="{00000000-0005-0000-0000-00008B070000}"/>
    <cellStyle name="Comma 2 2 2 2 13 15" xfId="1935" xr:uid="{00000000-0005-0000-0000-00008C070000}"/>
    <cellStyle name="Comma 2 2 2 2 13 16" xfId="1936" xr:uid="{00000000-0005-0000-0000-00008D070000}"/>
    <cellStyle name="Comma 2 2 2 2 13 17" xfId="1937" xr:uid="{00000000-0005-0000-0000-00008E070000}"/>
    <cellStyle name="Comma 2 2 2 2 13 18" xfId="1938" xr:uid="{00000000-0005-0000-0000-00008F070000}"/>
    <cellStyle name="Comma 2 2 2 2 13 2" xfId="1939" xr:uid="{00000000-0005-0000-0000-000090070000}"/>
    <cellStyle name="Comma 2 2 2 2 13 2 2" xfId="1940" xr:uid="{00000000-0005-0000-0000-000091070000}"/>
    <cellStyle name="Comma 2 2 2 2 13 2 2 2" xfId="1941" xr:uid="{00000000-0005-0000-0000-000092070000}"/>
    <cellStyle name="Comma 2 2 2 2 13 2 2 3" xfId="1942" xr:uid="{00000000-0005-0000-0000-000093070000}"/>
    <cellStyle name="Comma 2 2 2 2 13 2 3" xfId="1943" xr:uid="{00000000-0005-0000-0000-000094070000}"/>
    <cellStyle name="Comma 2 2 2 2 13 2 3 2" xfId="1944" xr:uid="{00000000-0005-0000-0000-000095070000}"/>
    <cellStyle name="Comma 2 2 2 2 13 3" xfId="1945" xr:uid="{00000000-0005-0000-0000-000096070000}"/>
    <cellStyle name="Comma 2 2 2 2 13 4" xfId="1946" xr:uid="{00000000-0005-0000-0000-000097070000}"/>
    <cellStyle name="Comma 2 2 2 2 13 5" xfId="1947" xr:uid="{00000000-0005-0000-0000-000098070000}"/>
    <cellStyle name="Comma 2 2 2 2 13 5 2" xfId="1948" xr:uid="{00000000-0005-0000-0000-000099070000}"/>
    <cellStyle name="Comma 2 2 2 2 13 5 3" xfId="1949" xr:uid="{00000000-0005-0000-0000-00009A070000}"/>
    <cellStyle name="Comma 2 2 2 2 13 6" xfId="1950" xr:uid="{00000000-0005-0000-0000-00009B070000}"/>
    <cellStyle name="Comma 2 2 2 2 13 7" xfId="1951" xr:uid="{00000000-0005-0000-0000-00009C070000}"/>
    <cellStyle name="Comma 2 2 2 2 13 8" xfId="1952" xr:uid="{00000000-0005-0000-0000-00009D070000}"/>
    <cellStyle name="Comma 2 2 2 2 13 9" xfId="1953" xr:uid="{00000000-0005-0000-0000-00009E070000}"/>
    <cellStyle name="Comma 2 2 2 2 14" xfId="1954" xr:uid="{00000000-0005-0000-0000-00009F070000}"/>
    <cellStyle name="Comma 2 2 2 2 14 10" xfId="1955" xr:uid="{00000000-0005-0000-0000-0000A0070000}"/>
    <cellStyle name="Comma 2 2 2 2 14 10 2" xfId="1956" xr:uid="{00000000-0005-0000-0000-0000A1070000}"/>
    <cellStyle name="Comma 2 2 2 2 14 11" xfId="1957" xr:uid="{00000000-0005-0000-0000-0000A2070000}"/>
    <cellStyle name="Comma 2 2 2 2 14 12" xfId="1958" xr:uid="{00000000-0005-0000-0000-0000A3070000}"/>
    <cellStyle name="Comma 2 2 2 2 14 13" xfId="1959" xr:uid="{00000000-0005-0000-0000-0000A4070000}"/>
    <cellStyle name="Comma 2 2 2 2 14 14" xfId="1960" xr:uid="{00000000-0005-0000-0000-0000A5070000}"/>
    <cellStyle name="Comma 2 2 2 2 14 15" xfId="1961" xr:uid="{00000000-0005-0000-0000-0000A6070000}"/>
    <cellStyle name="Comma 2 2 2 2 14 16" xfId="1962" xr:uid="{00000000-0005-0000-0000-0000A7070000}"/>
    <cellStyle name="Comma 2 2 2 2 14 2" xfId="1963" xr:uid="{00000000-0005-0000-0000-0000A8070000}"/>
    <cellStyle name="Comma 2 2 2 2 14 2 2" xfId="1964" xr:uid="{00000000-0005-0000-0000-0000A9070000}"/>
    <cellStyle name="Comma 2 2 2 2 14 2 2 2" xfId="1965" xr:uid="{00000000-0005-0000-0000-0000AA070000}"/>
    <cellStyle name="Comma 2 2 2 2 14 2 2 3" xfId="1966" xr:uid="{00000000-0005-0000-0000-0000AB070000}"/>
    <cellStyle name="Comma 2 2 2 2 14 2 3" xfId="1967" xr:uid="{00000000-0005-0000-0000-0000AC070000}"/>
    <cellStyle name="Comma 2 2 2 2 14 2 3 2" xfId="1968" xr:uid="{00000000-0005-0000-0000-0000AD070000}"/>
    <cellStyle name="Comma 2 2 2 2 14 3" xfId="1969" xr:uid="{00000000-0005-0000-0000-0000AE070000}"/>
    <cellStyle name="Comma 2 2 2 2 14 4" xfId="1970" xr:uid="{00000000-0005-0000-0000-0000AF070000}"/>
    <cellStyle name="Comma 2 2 2 2 14 4 2" xfId="1971" xr:uid="{00000000-0005-0000-0000-0000B0070000}"/>
    <cellStyle name="Comma 2 2 2 2 14 4 3" xfId="1972" xr:uid="{00000000-0005-0000-0000-0000B1070000}"/>
    <cellStyle name="Comma 2 2 2 2 14 5" xfId="1973" xr:uid="{00000000-0005-0000-0000-0000B2070000}"/>
    <cellStyle name="Comma 2 2 2 2 14 6" xfId="1974" xr:uid="{00000000-0005-0000-0000-0000B3070000}"/>
    <cellStyle name="Comma 2 2 2 2 14 7" xfId="1975" xr:uid="{00000000-0005-0000-0000-0000B4070000}"/>
    <cellStyle name="Comma 2 2 2 2 14 8" xfId="1976" xr:uid="{00000000-0005-0000-0000-0000B5070000}"/>
    <cellStyle name="Comma 2 2 2 2 14 9" xfId="1977" xr:uid="{00000000-0005-0000-0000-0000B6070000}"/>
    <cellStyle name="Comma 2 2 2 2 15" xfId="1978" xr:uid="{00000000-0005-0000-0000-0000B7070000}"/>
    <cellStyle name="Comma 2 2 2 2 15 10" xfId="1979" xr:uid="{00000000-0005-0000-0000-0000B8070000}"/>
    <cellStyle name="Comma 2 2 2 2 15 11" xfId="1980" xr:uid="{00000000-0005-0000-0000-0000B9070000}"/>
    <cellStyle name="Comma 2 2 2 2 15 12" xfId="1981" xr:uid="{00000000-0005-0000-0000-0000BA070000}"/>
    <cellStyle name="Comma 2 2 2 2 15 13" xfId="1982" xr:uid="{00000000-0005-0000-0000-0000BB070000}"/>
    <cellStyle name="Comma 2 2 2 2 15 14" xfId="1983" xr:uid="{00000000-0005-0000-0000-0000BC070000}"/>
    <cellStyle name="Comma 2 2 2 2 15 2" xfId="1984" xr:uid="{00000000-0005-0000-0000-0000BD070000}"/>
    <cellStyle name="Comma 2 2 2 2 15 2 2" xfId="1985" xr:uid="{00000000-0005-0000-0000-0000BE070000}"/>
    <cellStyle name="Comma 2 2 2 2 15 2 2 2" xfId="1986" xr:uid="{00000000-0005-0000-0000-0000BF070000}"/>
    <cellStyle name="Comma 2 2 2 2 15 2 2 3" xfId="1987" xr:uid="{00000000-0005-0000-0000-0000C0070000}"/>
    <cellStyle name="Comma 2 2 2 2 15 2 3" xfId="1988" xr:uid="{00000000-0005-0000-0000-0000C1070000}"/>
    <cellStyle name="Comma 2 2 2 2 15 2 3 2" xfId="1989" xr:uid="{00000000-0005-0000-0000-0000C2070000}"/>
    <cellStyle name="Comma 2 2 2 2 15 3" xfId="1990" xr:uid="{00000000-0005-0000-0000-0000C3070000}"/>
    <cellStyle name="Comma 2 2 2 2 15 3 2" xfId="1991" xr:uid="{00000000-0005-0000-0000-0000C4070000}"/>
    <cellStyle name="Comma 2 2 2 2 15 3 3" xfId="1992" xr:uid="{00000000-0005-0000-0000-0000C5070000}"/>
    <cellStyle name="Comma 2 2 2 2 15 4" xfId="1993" xr:uid="{00000000-0005-0000-0000-0000C6070000}"/>
    <cellStyle name="Comma 2 2 2 2 15 5" xfId="1994" xr:uid="{00000000-0005-0000-0000-0000C7070000}"/>
    <cellStyle name="Comma 2 2 2 2 15 6" xfId="1995" xr:uid="{00000000-0005-0000-0000-0000C8070000}"/>
    <cellStyle name="Comma 2 2 2 2 15 7" xfId="1996" xr:uid="{00000000-0005-0000-0000-0000C9070000}"/>
    <cellStyle name="Comma 2 2 2 2 15 8" xfId="1997" xr:uid="{00000000-0005-0000-0000-0000CA070000}"/>
    <cellStyle name="Comma 2 2 2 2 15 8 2" xfId="1998" xr:uid="{00000000-0005-0000-0000-0000CB070000}"/>
    <cellStyle name="Comma 2 2 2 2 15 9" xfId="1999" xr:uid="{00000000-0005-0000-0000-0000CC070000}"/>
    <cellStyle name="Comma 2 2 2 2 16" xfId="2000" xr:uid="{00000000-0005-0000-0000-0000CD070000}"/>
    <cellStyle name="Comma 2 2 2 2 16 10" xfId="2001" xr:uid="{00000000-0005-0000-0000-0000CE070000}"/>
    <cellStyle name="Comma 2 2 2 2 16 11" xfId="2002" xr:uid="{00000000-0005-0000-0000-0000CF070000}"/>
    <cellStyle name="Comma 2 2 2 2 16 12" xfId="2003" xr:uid="{00000000-0005-0000-0000-0000D0070000}"/>
    <cellStyle name="Comma 2 2 2 2 16 13" xfId="2004" xr:uid="{00000000-0005-0000-0000-0000D1070000}"/>
    <cellStyle name="Comma 2 2 2 2 16 2" xfId="2005" xr:uid="{00000000-0005-0000-0000-0000D2070000}"/>
    <cellStyle name="Comma 2 2 2 2 16 3" xfId="2006" xr:uid="{00000000-0005-0000-0000-0000D3070000}"/>
    <cellStyle name="Comma 2 2 2 2 16 4" xfId="2007" xr:uid="{00000000-0005-0000-0000-0000D4070000}"/>
    <cellStyle name="Comma 2 2 2 2 16 5" xfId="2008" xr:uid="{00000000-0005-0000-0000-0000D5070000}"/>
    <cellStyle name="Comma 2 2 2 2 16 6" xfId="2009" xr:uid="{00000000-0005-0000-0000-0000D6070000}"/>
    <cellStyle name="Comma 2 2 2 2 16 7" xfId="2010" xr:uid="{00000000-0005-0000-0000-0000D7070000}"/>
    <cellStyle name="Comma 2 2 2 2 16 7 2" xfId="2011" xr:uid="{00000000-0005-0000-0000-0000D8070000}"/>
    <cellStyle name="Comma 2 2 2 2 16 8" xfId="2012" xr:uid="{00000000-0005-0000-0000-0000D9070000}"/>
    <cellStyle name="Comma 2 2 2 2 16 9" xfId="2013" xr:uid="{00000000-0005-0000-0000-0000DA070000}"/>
    <cellStyle name="Comma 2 2 2 2 17" xfId="2014" xr:uid="{00000000-0005-0000-0000-0000DB070000}"/>
    <cellStyle name="Comma 2 2 2 2 17 2" xfId="2015" xr:uid="{00000000-0005-0000-0000-0000DC070000}"/>
    <cellStyle name="Comma 2 2 2 2 17 3" xfId="2016" xr:uid="{00000000-0005-0000-0000-0000DD070000}"/>
    <cellStyle name="Comma 2 2 2 2 17 4" xfId="2017" xr:uid="{00000000-0005-0000-0000-0000DE070000}"/>
    <cellStyle name="Comma 2 2 2 2 17 5" xfId="2018" xr:uid="{00000000-0005-0000-0000-0000DF070000}"/>
    <cellStyle name="Comma 2 2 2 2 17 6" xfId="2019" xr:uid="{00000000-0005-0000-0000-0000E0070000}"/>
    <cellStyle name="Comma 2 2 2 2 17 7" xfId="2020" xr:uid="{00000000-0005-0000-0000-0000E1070000}"/>
    <cellStyle name="Comma 2 2 2 2 17 8" xfId="2021" xr:uid="{00000000-0005-0000-0000-0000E2070000}"/>
    <cellStyle name="Comma 2 2 2 2 18" xfId="2022" xr:uid="{00000000-0005-0000-0000-0000E3070000}"/>
    <cellStyle name="Comma 2 2 2 2 18 2" xfId="2023" xr:uid="{00000000-0005-0000-0000-0000E4070000}"/>
    <cellStyle name="Comma 2 2 2 2 18 3" xfId="2024" xr:uid="{00000000-0005-0000-0000-0000E5070000}"/>
    <cellStyle name="Comma 2 2 2 2 18 4" xfId="2025" xr:uid="{00000000-0005-0000-0000-0000E6070000}"/>
    <cellStyle name="Comma 2 2 2 2 18 5" xfId="2026" xr:uid="{00000000-0005-0000-0000-0000E7070000}"/>
    <cellStyle name="Comma 2 2 2 2 18 6" xfId="2027" xr:uid="{00000000-0005-0000-0000-0000E8070000}"/>
    <cellStyle name="Comma 2 2 2 2 18 7" xfId="2028" xr:uid="{00000000-0005-0000-0000-0000E9070000}"/>
    <cellStyle name="Comma 2 2 2 2 18 8" xfId="2029" xr:uid="{00000000-0005-0000-0000-0000EA070000}"/>
    <cellStyle name="Comma 2 2 2 2 19" xfId="2030" xr:uid="{00000000-0005-0000-0000-0000EB070000}"/>
    <cellStyle name="Comma 2 2 2 2 19 2" xfId="2031" xr:uid="{00000000-0005-0000-0000-0000EC070000}"/>
    <cellStyle name="Comma 2 2 2 2 19 3" xfId="2032" xr:uid="{00000000-0005-0000-0000-0000ED070000}"/>
    <cellStyle name="Comma 2 2 2 2 19 4" xfId="2033" xr:uid="{00000000-0005-0000-0000-0000EE070000}"/>
    <cellStyle name="Comma 2 2 2 2 19 5" xfId="2034" xr:uid="{00000000-0005-0000-0000-0000EF070000}"/>
    <cellStyle name="Comma 2 2 2 2 19 6" xfId="2035" xr:uid="{00000000-0005-0000-0000-0000F0070000}"/>
    <cellStyle name="Comma 2 2 2 2 19 7" xfId="2036" xr:uid="{00000000-0005-0000-0000-0000F1070000}"/>
    <cellStyle name="Comma 2 2 2 2 19 8" xfId="2037" xr:uid="{00000000-0005-0000-0000-0000F2070000}"/>
    <cellStyle name="Comma 2 2 2 2 2" xfId="2038" xr:uid="{00000000-0005-0000-0000-0000F3070000}"/>
    <cellStyle name="Comma 2 2 2 2 2 10" xfId="2039" xr:uid="{00000000-0005-0000-0000-0000F4070000}"/>
    <cellStyle name="Comma 2 2 2 2 2 11" xfId="2040" xr:uid="{00000000-0005-0000-0000-0000F5070000}"/>
    <cellStyle name="Comma 2 2 2 2 2 11 10" xfId="2041" xr:uid="{00000000-0005-0000-0000-0000F6070000}"/>
    <cellStyle name="Comma 2 2 2 2 2 11 10 2" xfId="2042" xr:uid="{00000000-0005-0000-0000-0000F7070000}"/>
    <cellStyle name="Comma 2 2 2 2 2 11 10 3" xfId="2043" xr:uid="{00000000-0005-0000-0000-0000F8070000}"/>
    <cellStyle name="Comma 2 2 2 2 2 11 10 4" xfId="2044" xr:uid="{00000000-0005-0000-0000-0000F9070000}"/>
    <cellStyle name="Comma 2 2 2 2 2 11 10 5" xfId="2045" xr:uid="{00000000-0005-0000-0000-0000FA070000}"/>
    <cellStyle name="Comma 2 2 2 2 2 11 10 6" xfId="2046" xr:uid="{00000000-0005-0000-0000-0000FB070000}"/>
    <cellStyle name="Comma 2 2 2 2 2 11 10 7" xfId="2047" xr:uid="{00000000-0005-0000-0000-0000FC070000}"/>
    <cellStyle name="Comma 2 2 2 2 2 11 10 8" xfId="2048" xr:uid="{00000000-0005-0000-0000-0000FD070000}"/>
    <cellStyle name="Comma 2 2 2 2 2 11 11" xfId="2049" xr:uid="{00000000-0005-0000-0000-0000FE070000}"/>
    <cellStyle name="Comma 2 2 2 2 2 11 11 2" xfId="2050" xr:uid="{00000000-0005-0000-0000-0000FF070000}"/>
    <cellStyle name="Comma 2 2 2 2 2 11 11 3" xfId="2051" xr:uid="{00000000-0005-0000-0000-000000080000}"/>
    <cellStyle name="Comma 2 2 2 2 2 11 11 4" xfId="2052" xr:uid="{00000000-0005-0000-0000-000001080000}"/>
    <cellStyle name="Comma 2 2 2 2 2 11 11 5" xfId="2053" xr:uid="{00000000-0005-0000-0000-000002080000}"/>
    <cellStyle name="Comma 2 2 2 2 2 11 11 6" xfId="2054" xr:uid="{00000000-0005-0000-0000-000003080000}"/>
    <cellStyle name="Comma 2 2 2 2 2 11 11 7" xfId="2055" xr:uid="{00000000-0005-0000-0000-000004080000}"/>
    <cellStyle name="Comma 2 2 2 2 2 11 11 8" xfId="2056" xr:uid="{00000000-0005-0000-0000-000005080000}"/>
    <cellStyle name="Comma 2 2 2 2 2 11 12" xfId="2057" xr:uid="{00000000-0005-0000-0000-000006080000}"/>
    <cellStyle name="Comma 2 2 2 2 2 11 12 2" xfId="2058" xr:uid="{00000000-0005-0000-0000-000007080000}"/>
    <cellStyle name="Comma 2 2 2 2 2 11 12 3" xfId="2059" xr:uid="{00000000-0005-0000-0000-000008080000}"/>
    <cellStyle name="Comma 2 2 2 2 2 11 12 4" xfId="2060" xr:uid="{00000000-0005-0000-0000-000009080000}"/>
    <cellStyle name="Comma 2 2 2 2 2 11 12 5" xfId="2061" xr:uid="{00000000-0005-0000-0000-00000A080000}"/>
    <cellStyle name="Comma 2 2 2 2 2 11 12 6" xfId="2062" xr:uid="{00000000-0005-0000-0000-00000B080000}"/>
    <cellStyle name="Comma 2 2 2 2 2 11 12 7" xfId="2063" xr:uid="{00000000-0005-0000-0000-00000C080000}"/>
    <cellStyle name="Comma 2 2 2 2 2 11 12 8" xfId="2064" xr:uid="{00000000-0005-0000-0000-00000D080000}"/>
    <cellStyle name="Comma 2 2 2 2 2 11 13" xfId="2065" xr:uid="{00000000-0005-0000-0000-00000E080000}"/>
    <cellStyle name="Comma 2 2 2 2 2 11 13 2" xfId="2066" xr:uid="{00000000-0005-0000-0000-00000F080000}"/>
    <cellStyle name="Comma 2 2 2 2 2 11 13 3" xfId="2067" xr:uid="{00000000-0005-0000-0000-000010080000}"/>
    <cellStyle name="Comma 2 2 2 2 2 11 13 4" xfId="2068" xr:uid="{00000000-0005-0000-0000-000011080000}"/>
    <cellStyle name="Comma 2 2 2 2 2 11 13 5" xfId="2069" xr:uid="{00000000-0005-0000-0000-000012080000}"/>
    <cellStyle name="Comma 2 2 2 2 2 11 13 6" xfId="2070" xr:uid="{00000000-0005-0000-0000-000013080000}"/>
    <cellStyle name="Comma 2 2 2 2 2 11 13 7" xfId="2071" xr:uid="{00000000-0005-0000-0000-000014080000}"/>
    <cellStyle name="Comma 2 2 2 2 2 11 13 8" xfId="2072" xr:uid="{00000000-0005-0000-0000-000015080000}"/>
    <cellStyle name="Comma 2 2 2 2 2 11 14" xfId="2073" xr:uid="{00000000-0005-0000-0000-000016080000}"/>
    <cellStyle name="Comma 2 2 2 2 2 11 14 2" xfId="2074" xr:uid="{00000000-0005-0000-0000-000017080000}"/>
    <cellStyle name="Comma 2 2 2 2 2 11 2" xfId="2075" xr:uid="{00000000-0005-0000-0000-000018080000}"/>
    <cellStyle name="Comma 2 2 2 2 2 11 2 10" xfId="2076" xr:uid="{00000000-0005-0000-0000-000019080000}"/>
    <cellStyle name="Comma 2 2 2 2 2 11 2 11" xfId="2077" xr:uid="{00000000-0005-0000-0000-00001A080000}"/>
    <cellStyle name="Comma 2 2 2 2 2 11 2 12" xfId="2078" xr:uid="{00000000-0005-0000-0000-00001B080000}"/>
    <cellStyle name="Comma 2 2 2 2 2 11 2 12 2" xfId="2079" xr:uid="{00000000-0005-0000-0000-00001C080000}"/>
    <cellStyle name="Comma 2 2 2 2 2 11 2 13" xfId="2080" xr:uid="{00000000-0005-0000-0000-00001D080000}"/>
    <cellStyle name="Comma 2 2 2 2 2 11 2 14" xfId="2081" xr:uid="{00000000-0005-0000-0000-00001E080000}"/>
    <cellStyle name="Comma 2 2 2 2 2 11 2 15" xfId="2082" xr:uid="{00000000-0005-0000-0000-00001F080000}"/>
    <cellStyle name="Comma 2 2 2 2 2 11 2 16" xfId="2083" xr:uid="{00000000-0005-0000-0000-000020080000}"/>
    <cellStyle name="Comma 2 2 2 2 2 11 2 17" xfId="2084" xr:uid="{00000000-0005-0000-0000-000021080000}"/>
    <cellStyle name="Comma 2 2 2 2 2 11 2 18" xfId="2085" xr:uid="{00000000-0005-0000-0000-000022080000}"/>
    <cellStyle name="Comma 2 2 2 2 2 11 2 2" xfId="2086" xr:uid="{00000000-0005-0000-0000-000023080000}"/>
    <cellStyle name="Comma 2 2 2 2 2 11 2 2 2" xfId="2087" xr:uid="{00000000-0005-0000-0000-000024080000}"/>
    <cellStyle name="Comma 2 2 2 2 2 11 2 2 3" xfId="2088" xr:uid="{00000000-0005-0000-0000-000025080000}"/>
    <cellStyle name="Comma 2 2 2 2 2 11 2 2 4" xfId="2089" xr:uid="{00000000-0005-0000-0000-000026080000}"/>
    <cellStyle name="Comma 2 2 2 2 2 11 2 3" xfId="2090" xr:uid="{00000000-0005-0000-0000-000027080000}"/>
    <cellStyle name="Comma 2 2 2 2 2 11 2 4" xfId="2091" xr:uid="{00000000-0005-0000-0000-000028080000}"/>
    <cellStyle name="Comma 2 2 2 2 2 11 2 5" xfId="2092" xr:uid="{00000000-0005-0000-0000-000029080000}"/>
    <cellStyle name="Comma 2 2 2 2 2 11 2 6" xfId="2093" xr:uid="{00000000-0005-0000-0000-00002A080000}"/>
    <cellStyle name="Comma 2 2 2 2 2 11 2 7" xfId="2094" xr:uid="{00000000-0005-0000-0000-00002B080000}"/>
    <cellStyle name="Comma 2 2 2 2 2 11 2 8" xfId="2095" xr:uid="{00000000-0005-0000-0000-00002C080000}"/>
    <cellStyle name="Comma 2 2 2 2 2 11 2 9" xfId="2096" xr:uid="{00000000-0005-0000-0000-00002D080000}"/>
    <cellStyle name="Comma 2 2 2 2 2 11 3" xfId="2097" xr:uid="{00000000-0005-0000-0000-00002E080000}"/>
    <cellStyle name="Comma 2 2 2 2 2 11 3 10" xfId="2098" xr:uid="{00000000-0005-0000-0000-00002F080000}"/>
    <cellStyle name="Comma 2 2 2 2 2 11 3 10 2" xfId="2099" xr:uid="{00000000-0005-0000-0000-000030080000}"/>
    <cellStyle name="Comma 2 2 2 2 2 11 3 11" xfId="2100" xr:uid="{00000000-0005-0000-0000-000031080000}"/>
    <cellStyle name="Comma 2 2 2 2 2 11 3 12" xfId="2101" xr:uid="{00000000-0005-0000-0000-000032080000}"/>
    <cellStyle name="Comma 2 2 2 2 2 11 3 13" xfId="2102" xr:uid="{00000000-0005-0000-0000-000033080000}"/>
    <cellStyle name="Comma 2 2 2 2 2 11 3 14" xfId="2103" xr:uid="{00000000-0005-0000-0000-000034080000}"/>
    <cellStyle name="Comma 2 2 2 2 2 11 3 15" xfId="2104" xr:uid="{00000000-0005-0000-0000-000035080000}"/>
    <cellStyle name="Comma 2 2 2 2 2 11 3 16" xfId="2105" xr:uid="{00000000-0005-0000-0000-000036080000}"/>
    <cellStyle name="Comma 2 2 2 2 2 11 3 2" xfId="2106" xr:uid="{00000000-0005-0000-0000-000037080000}"/>
    <cellStyle name="Comma 2 2 2 2 2 11 3 2 2" xfId="2107" xr:uid="{00000000-0005-0000-0000-000038080000}"/>
    <cellStyle name="Comma 2 2 2 2 2 11 3 2 2 2" xfId="2108" xr:uid="{00000000-0005-0000-0000-000039080000}"/>
    <cellStyle name="Comma 2 2 2 2 2 11 3 2 2 3" xfId="2109" xr:uid="{00000000-0005-0000-0000-00003A080000}"/>
    <cellStyle name="Comma 2 2 2 2 2 11 3 3" xfId="2110" xr:uid="{00000000-0005-0000-0000-00003B080000}"/>
    <cellStyle name="Comma 2 2 2 2 2 11 3 4" xfId="2111" xr:uid="{00000000-0005-0000-0000-00003C080000}"/>
    <cellStyle name="Comma 2 2 2 2 2 11 3 5" xfId="2112" xr:uid="{00000000-0005-0000-0000-00003D080000}"/>
    <cellStyle name="Comma 2 2 2 2 2 11 3 6" xfId="2113" xr:uid="{00000000-0005-0000-0000-00003E080000}"/>
    <cellStyle name="Comma 2 2 2 2 2 11 3 7" xfId="2114" xr:uid="{00000000-0005-0000-0000-00003F080000}"/>
    <cellStyle name="Comma 2 2 2 2 2 11 3 8" xfId="2115" xr:uid="{00000000-0005-0000-0000-000040080000}"/>
    <cellStyle name="Comma 2 2 2 2 2 11 3 9" xfId="2116" xr:uid="{00000000-0005-0000-0000-000041080000}"/>
    <cellStyle name="Comma 2 2 2 2 2 11 4" xfId="2117" xr:uid="{00000000-0005-0000-0000-000042080000}"/>
    <cellStyle name="Comma 2 2 2 2 2 11 4 10" xfId="2118" xr:uid="{00000000-0005-0000-0000-000043080000}"/>
    <cellStyle name="Comma 2 2 2 2 2 11 4 11" xfId="2119" xr:uid="{00000000-0005-0000-0000-000044080000}"/>
    <cellStyle name="Comma 2 2 2 2 2 11 4 12" xfId="2120" xr:uid="{00000000-0005-0000-0000-000045080000}"/>
    <cellStyle name="Comma 2 2 2 2 2 11 4 13" xfId="2121" xr:uid="{00000000-0005-0000-0000-000046080000}"/>
    <cellStyle name="Comma 2 2 2 2 2 11 4 14" xfId="2122" xr:uid="{00000000-0005-0000-0000-000047080000}"/>
    <cellStyle name="Comma 2 2 2 2 2 11 4 15" xfId="2123" xr:uid="{00000000-0005-0000-0000-000048080000}"/>
    <cellStyle name="Comma 2 2 2 2 2 11 4 2" xfId="2124" xr:uid="{00000000-0005-0000-0000-000049080000}"/>
    <cellStyle name="Comma 2 2 2 2 2 11 4 3" xfId="2125" xr:uid="{00000000-0005-0000-0000-00004A080000}"/>
    <cellStyle name="Comma 2 2 2 2 2 11 4 4" xfId="2126" xr:uid="{00000000-0005-0000-0000-00004B080000}"/>
    <cellStyle name="Comma 2 2 2 2 2 11 4 5" xfId="2127" xr:uid="{00000000-0005-0000-0000-00004C080000}"/>
    <cellStyle name="Comma 2 2 2 2 2 11 4 6" xfId="2128" xr:uid="{00000000-0005-0000-0000-00004D080000}"/>
    <cellStyle name="Comma 2 2 2 2 2 11 4 7" xfId="2129" xr:uid="{00000000-0005-0000-0000-00004E080000}"/>
    <cellStyle name="Comma 2 2 2 2 2 11 4 8" xfId="2130" xr:uid="{00000000-0005-0000-0000-00004F080000}"/>
    <cellStyle name="Comma 2 2 2 2 2 11 4 9" xfId="2131" xr:uid="{00000000-0005-0000-0000-000050080000}"/>
    <cellStyle name="Comma 2 2 2 2 2 11 4 9 2" xfId="2132" xr:uid="{00000000-0005-0000-0000-000051080000}"/>
    <cellStyle name="Comma 2 2 2 2 2 11 5" xfId="2133" xr:uid="{00000000-0005-0000-0000-000052080000}"/>
    <cellStyle name="Comma 2 2 2 2 2 11 5 10" xfId="2134" xr:uid="{00000000-0005-0000-0000-000053080000}"/>
    <cellStyle name="Comma 2 2 2 2 2 11 5 11" xfId="2135" xr:uid="{00000000-0005-0000-0000-000054080000}"/>
    <cellStyle name="Comma 2 2 2 2 2 11 5 12" xfId="2136" xr:uid="{00000000-0005-0000-0000-000055080000}"/>
    <cellStyle name="Comma 2 2 2 2 2 11 5 13" xfId="2137" xr:uid="{00000000-0005-0000-0000-000056080000}"/>
    <cellStyle name="Comma 2 2 2 2 2 11 5 14" xfId="2138" xr:uid="{00000000-0005-0000-0000-000057080000}"/>
    <cellStyle name="Comma 2 2 2 2 2 11 5 2" xfId="2139" xr:uid="{00000000-0005-0000-0000-000058080000}"/>
    <cellStyle name="Comma 2 2 2 2 2 11 5 3" xfId="2140" xr:uid="{00000000-0005-0000-0000-000059080000}"/>
    <cellStyle name="Comma 2 2 2 2 2 11 5 4" xfId="2141" xr:uid="{00000000-0005-0000-0000-00005A080000}"/>
    <cellStyle name="Comma 2 2 2 2 2 11 5 5" xfId="2142" xr:uid="{00000000-0005-0000-0000-00005B080000}"/>
    <cellStyle name="Comma 2 2 2 2 2 11 5 6" xfId="2143" xr:uid="{00000000-0005-0000-0000-00005C080000}"/>
    <cellStyle name="Comma 2 2 2 2 2 11 5 7" xfId="2144" xr:uid="{00000000-0005-0000-0000-00005D080000}"/>
    <cellStyle name="Comma 2 2 2 2 2 11 5 8" xfId="2145" xr:uid="{00000000-0005-0000-0000-00005E080000}"/>
    <cellStyle name="Comma 2 2 2 2 2 11 5 8 2" xfId="2146" xr:uid="{00000000-0005-0000-0000-00005F080000}"/>
    <cellStyle name="Comma 2 2 2 2 2 11 5 9" xfId="2147" xr:uid="{00000000-0005-0000-0000-000060080000}"/>
    <cellStyle name="Comma 2 2 2 2 2 11 6" xfId="2148" xr:uid="{00000000-0005-0000-0000-000061080000}"/>
    <cellStyle name="Comma 2 2 2 2 2 11 6 10" xfId="2149" xr:uid="{00000000-0005-0000-0000-000062080000}"/>
    <cellStyle name="Comma 2 2 2 2 2 11 6 11" xfId="2150" xr:uid="{00000000-0005-0000-0000-000063080000}"/>
    <cellStyle name="Comma 2 2 2 2 2 11 6 12" xfId="2151" xr:uid="{00000000-0005-0000-0000-000064080000}"/>
    <cellStyle name="Comma 2 2 2 2 2 11 6 13" xfId="2152" xr:uid="{00000000-0005-0000-0000-000065080000}"/>
    <cellStyle name="Comma 2 2 2 2 2 11 6 2" xfId="2153" xr:uid="{00000000-0005-0000-0000-000066080000}"/>
    <cellStyle name="Comma 2 2 2 2 2 11 6 3" xfId="2154" xr:uid="{00000000-0005-0000-0000-000067080000}"/>
    <cellStyle name="Comma 2 2 2 2 2 11 6 4" xfId="2155" xr:uid="{00000000-0005-0000-0000-000068080000}"/>
    <cellStyle name="Comma 2 2 2 2 2 11 6 5" xfId="2156" xr:uid="{00000000-0005-0000-0000-000069080000}"/>
    <cellStyle name="Comma 2 2 2 2 2 11 6 6" xfId="2157" xr:uid="{00000000-0005-0000-0000-00006A080000}"/>
    <cellStyle name="Comma 2 2 2 2 2 11 6 7" xfId="2158" xr:uid="{00000000-0005-0000-0000-00006B080000}"/>
    <cellStyle name="Comma 2 2 2 2 2 11 6 7 2" xfId="2159" xr:uid="{00000000-0005-0000-0000-00006C080000}"/>
    <cellStyle name="Comma 2 2 2 2 2 11 6 8" xfId="2160" xr:uid="{00000000-0005-0000-0000-00006D080000}"/>
    <cellStyle name="Comma 2 2 2 2 2 11 6 9" xfId="2161" xr:uid="{00000000-0005-0000-0000-00006E080000}"/>
    <cellStyle name="Comma 2 2 2 2 2 11 7" xfId="2162" xr:uid="{00000000-0005-0000-0000-00006F080000}"/>
    <cellStyle name="Comma 2 2 2 2 2 11 8" xfId="2163" xr:uid="{00000000-0005-0000-0000-000070080000}"/>
    <cellStyle name="Comma 2 2 2 2 2 11 9" xfId="2164" xr:uid="{00000000-0005-0000-0000-000071080000}"/>
    <cellStyle name="Comma 2 2 2 2 2 11 9 2" xfId="2165" xr:uid="{00000000-0005-0000-0000-000072080000}"/>
    <cellStyle name="Comma 2 2 2 2 2 11 9 3" xfId="2166" xr:uid="{00000000-0005-0000-0000-000073080000}"/>
    <cellStyle name="Comma 2 2 2 2 2 11 9 4" xfId="2167" xr:uid="{00000000-0005-0000-0000-000074080000}"/>
    <cellStyle name="Comma 2 2 2 2 2 11 9 5" xfId="2168" xr:uid="{00000000-0005-0000-0000-000075080000}"/>
    <cellStyle name="Comma 2 2 2 2 2 11 9 6" xfId="2169" xr:uid="{00000000-0005-0000-0000-000076080000}"/>
    <cellStyle name="Comma 2 2 2 2 2 11 9 7" xfId="2170" xr:uid="{00000000-0005-0000-0000-000077080000}"/>
    <cellStyle name="Comma 2 2 2 2 2 11 9 8" xfId="2171" xr:uid="{00000000-0005-0000-0000-000078080000}"/>
    <cellStyle name="Comma 2 2 2 2 2 12" xfId="2172" xr:uid="{00000000-0005-0000-0000-000079080000}"/>
    <cellStyle name="Comma 2 2 2 2 2 12 2" xfId="2173" xr:uid="{00000000-0005-0000-0000-00007A080000}"/>
    <cellStyle name="Comma 2 2 2 2 2 12 2 10" xfId="2174" xr:uid="{00000000-0005-0000-0000-00007B080000}"/>
    <cellStyle name="Comma 2 2 2 2 2 12 2 11" xfId="2175" xr:uid="{00000000-0005-0000-0000-00007C080000}"/>
    <cellStyle name="Comma 2 2 2 2 2 12 2 12" xfId="2176" xr:uid="{00000000-0005-0000-0000-00007D080000}"/>
    <cellStyle name="Comma 2 2 2 2 2 12 2 2" xfId="2177" xr:uid="{00000000-0005-0000-0000-00007E080000}"/>
    <cellStyle name="Comma 2 2 2 2 2 12 2 2 2" xfId="2178" xr:uid="{00000000-0005-0000-0000-00007F080000}"/>
    <cellStyle name="Comma 2 2 2 2 2 12 2 2 2 2" xfId="2179" xr:uid="{00000000-0005-0000-0000-000080080000}"/>
    <cellStyle name="Comma 2 2 2 2 2 12 2 2 3" xfId="2180" xr:uid="{00000000-0005-0000-0000-000081080000}"/>
    <cellStyle name="Comma 2 2 2 2 2 12 2 2 3 2" xfId="2181" xr:uid="{00000000-0005-0000-0000-000082080000}"/>
    <cellStyle name="Comma 2 2 2 2 2 12 2 2 4" xfId="2182" xr:uid="{00000000-0005-0000-0000-000083080000}"/>
    <cellStyle name="Comma 2 2 2 2 2 12 2 2 4 2" xfId="2183" xr:uid="{00000000-0005-0000-0000-000084080000}"/>
    <cellStyle name="Comma 2 2 2 2 2 12 2 2 5" xfId="2184" xr:uid="{00000000-0005-0000-0000-000085080000}"/>
    <cellStyle name="Comma 2 2 2 2 2 12 2 3" xfId="2185" xr:uid="{00000000-0005-0000-0000-000086080000}"/>
    <cellStyle name="Comma 2 2 2 2 2 12 2 3 2" xfId="2186" xr:uid="{00000000-0005-0000-0000-000087080000}"/>
    <cellStyle name="Comma 2 2 2 2 2 12 2 3 3" xfId="2187" xr:uid="{00000000-0005-0000-0000-000088080000}"/>
    <cellStyle name="Comma 2 2 2 2 2 12 2 4" xfId="2188" xr:uid="{00000000-0005-0000-0000-000089080000}"/>
    <cellStyle name="Comma 2 2 2 2 2 12 2 4 2" xfId="2189" xr:uid="{00000000-0005-0000-0000-00008A080000}"/>
    <cellStyle name="Comma 2 2 2 2 2 12 2 5" xfId="2190" xr:uid="{00000000-0005-0000-0000-00008B080000}"/>
    <cellStyle name="Comma 2 2 2 2 2 12 2 6" xfId="2191" xr:uid="{00000000-0005-0000-0000-00008C080000}"/>
    <cellStyle name="Comma 2 2 2 2 2 12 2 6 2" xfId="2192" xr:uid="{00000000-0005-0000-0000-00008D080000}"/>
    <cellStyle name="Comma 2 2 2 2 2 12 2 7" xfId="2193" xr:uid="{00000000-0005-0000-0000-00008E080000}"/>
    <cellStyle name="Comma 2 2 2 2 2 12 2 8" xfId="2194" xr:uid="{00000000-0005-0000-0000-00008F080000}"/>
    <cellStyle name="Comma 2 2 2 2 2 12 2 9" xfId="2195" xr:uid="{00000000-0005-0000-0000-000090080000}"/>
    <cellStyle name="Comma 2 2 2 2 2 12 3" xfId="2196" xr:uid="{00000000-0005-0000-0000-000091080000}"/>
    <cellStyle name="Comma 2 2 2 2 2 12 3 10" xfId="2197" xr:uid="{00000000-0005-0000-0000-000092080000}"/>
    <cellStyle name="Comma 2 2 2 2 2 12 3 11" xfId="2198" xr:uid="{00000000-0005-0000-0000-000093080000}"/>
    <cellStyle name="Comma 2 2 2 2 2 12 3 12" xfId="2199" xr:uid="{00000000-0005-0000-0000-000094080000}"/>
    <cellStyle name="Comma 2 2 2 2 2 12 3 2" xfId="2200" xr:uid="{00000000-0005-0000-0000-000095080000}"/>
    <cellStyle name="Comma 2 2 2 2 2 12 3 2 2" xfId="2201" xr:uid="{00000000-0005-0000-0000-000096080000}"/>
    <cellStyle name="Comma 2 2 2 2 2 12 3 2 3" xfId="2202" xr:uid="{00000000-0005-0000-0000-000097080000}"/>
    <cellStyle name="Comma 2 2 2 2 2 12 3 2 4" xfId="2203" xr:uid="{00000000-0005-0000-0000-000098080000}"/>
    <cellStyle name="Comma 2 2 2 2 2 12 3 3" xfId="2204" xr:uid="{00000000-0005-0000-0000-000099080000}"/>
    <cellStyle name="Comma 2 2 2 2 2 12 3 3 2" xfId="2205" xr:uid="{00000000-0005-0000-0000-00009A080000}"/>
    <cellStyle name="Comma 2 2 2 2 2 12 3 4" xfId="2206" xr:uid="{00000000-0005-0000-0000-00009B080000}"/>
    <cellStyle name="Comma 2 2 2 2 2 12 3 5" xfId="2207" xr:uid="{00000000-0005-0000-0000-00009C080000}"/>
    <cellStyle name="Comma 2 2 2 2 2 12 3 6" xfId="2208" xr:uid="{00000000-0005-0000-0000-00009D080000}"/>
    <cellStyle name="Comma 2 2 2 2 2 12 3 6 2" xfId="2209" xr:uid="{00000000-0005-0000-0000-00009E080000}"/>
    <cellStyle name="Comma 2 2 2 2 2 12 3 7" xfId="2210" xr:uid="{00000000-0005-0000-0000-00009F080000}"/>
    <cellStyle name="Comma 2 2 2 2 2 12 3 8" xfId="2211" xr:uid="{00000000-0005-0000-0000-0000A0080000}"/>
    <cellStyle name="Comma 2 2 2 2 2 12 3 9" xfId="2212" xr:uid="{00000000-0005-0000-0000-0000A1080000}"/>
    <cellStyle name="Comma 2 2 2 2 2 12 4" xfId="2213" xr:uid="{00000000-0005-0000-0000-0000A2080000}"/>
    <cellStyle name="Comma 2 2 2 2 2 12 4 10" xfId="2214" xr:uid="{00000000-0005-0000-0000-0000A3080000}"/>
    <cellStyle name="Comma 2 2 2 2 2 12 4 11" xfId="2215" xr:uid="{00000000-0005-0000-0000-0000A4080000}"/>
    <cellStyle name="Comma 2 2 2 2 2 12 4 12" xfId="2216" xr:uid="{00000000-0005-0000-0000-0000A5080000}"/>
    <cellStyle name="Comma 2 2 2 2 2 12 4 2" xfId="2217" xr:uid="{00000000-0005-0000-0000-0000A6080000}"/>
    <cellStyle name="Comma 2 2 2 2 2 12 4 3" xfId="2218" xr:uid="{00000000-0005-0000-0000-0000A7080000}"/>
    <cellStyle name="Comma 2 2 2 2 2 12 4 4" xfId="2219" xr:uid="{00000000-0005-0000-0000-0000A8080000}"/>
    <cellStyle name="Comma 2 2 2 2 2 12 4 5" xfId="2220" xr:uid="{00000000-0005-0000-0000-0000A9080000}"/>
    <cellStyle name="Comma 2 2 2 2 2 12 4 6" xfId="2221" xr:uid="{00000000-0005-0000-0000-0000AA080000}"/>
    <cellStyle name="Comma 2 2 2 2 2 12 4 6 2" xfId="2222" xr:uid="{00000000-0005-0000-0000-0000AB080000}"/>
    <cellStyle name="Comma 2 2 2 2 2 12 4 7" xfId="2223" xr:uid="{00000000-0005-0000-0000-0000AC080000}"/>
    <cellStyle name="Comma 2 2 2 2 2 12 4 8" xfId="2224" xr:uid="{00000000-0005-0000-0000-0000AD080000}"/>
    <cellStyle name="Comma 2 2 2 2 2 12 4 9" xfId="2225" xr:uid="{00000000-0005-0000-0000-0000AE080000}"/>
    <cellStyle name="Comma 2 2 2 2 2 12 5" xfId="2226" xr:uid="{00000000-0005-0000-0000-0000AF080000}"/>
    <cellStyle name="Comma 2 2 2 2 2 12 5 10" xfId="2227" xr:uid="{00000000-0005-0000-0000-0000B0080000}"/>
    <cellStyle name="Comma 2 2 2 2 2 12 5 11" xfId="2228" xr:uid="{00000000-0005-0000-0000-0000B1080000}"/>
    <cellStyle name="Comma 2 2 2 2 2 12 5 12" xfId="2229" xr:uid="{00000000-0005-0000-0000-0000B2080000}"/>
    <cellStyle name="Comma 2 2 2 2 2 12 5 2" xfId="2230" xr:uid="{00000000-0005-0000-0000-0000B3080000}"/>
    <cellStyle name="Comma 2 2 2 2 2 12 5 3" xfId="2231" xr:uid="{00000000-0005-0000-0000-0000B4080000}"/>
    <cellStyle name="Comma 2 2 2 2 2 12 5 4" xfId="2232" xr:uid="{00000000-0005-0000-0000-0000B5080000}"/>
    <cellStyle name="Comma 2 2 2 2 2 12 5 5" xfId="2233" xr:uid="{00000000-0005-0000-0000-0000B6080000}"/>
    <cellStyle name="Comma 2 2 2 2 2 12 5 6" xfId="2234" xr:uid="{00000000-0005-0000-0000-0000B7080000}"/>
    <cellStyle name="Comma 2 2 2 2 2 12 5 6 2" xfId="2235" xr:uid="{00000000-0005-0000-0000-0000B8080000}"/>
    <cellStyle name="Comma 2 2 2 2 2 12 5 7" xfId="2236" xr:uid="{00000000-0005-0000-0000-0000B9080000}"/>
    <cellStyle name="Comma 2 2 2 2 2 12 5 8" xfId="2237" xr:uid="{00000000-0005-0000-0000-0000BA080000}"/>
    <cellStyle name="Comma 2 2 2 2 2 12 5 9" xfId="2238" xr:uid="{00000000-0005-0000-0000-0000BB080000}"/>
    <cellStyle name="Comma 2 2 2 2 2 12 6" xfId="2239" xr:uid="{00000000-0005-0000-0000-0000BC080000}"/>
    <cellStyle name="Comma 2 2 2 2 2 12 6 2" xfId="2240" xr:uid="{00000000-0005-0000-0000-0000BD080000}"/>
    <cellStyle name="Comma 2 2 2 2 2 12 6 3" xfId="2241" xr:uid="{00000000-0005-0000-0000-0000BE080000}"/>
    <cellStyle name="Comma 2 2 2 2 2 12 6 4" xfId="2242" xr:uid="{00000000-0005-0000-0000-0000BF080000}"/>
    <cellStyle name="Comma 2 2 2 2 2 12 6 5" xfId="2243" xr:uid="{00000000-0005-0000-0000-0000C0080000}"/>
    <cellStyle name="Comma 2 2 2 2 2 12 6 6" xfId="2244" xr:uid="{00000000-0005-0000-0000-0000C1080000}"/>
    <cellStyle name="Comma 2 2 2 2 2 12 6 7" xfId="2245" xr:uid="{00000000-0005-0000-0000-0000C2080000}"/>
    <cellStyle name="Comma 2 2 2 2 2 12 6 8" xfId="2246" xr:uid="{00000000-0005-0000-0000-0000C3080000}"/>
    <cellStyle name="Comma 2 2 2 2 2 12 7" xfId="2247" xr:uid="{00000000-0005-0000-0000-0000C4080000}"/>
    <cellStyle name="Comma 2 2 2 2 2 12 7 2" xfId="2248" xr:uid="{00000000-0005-0000-0000-0000C5080000}"/>
    <cellStyle name="Comma 2 2 2 2 2 12 7 3" xfId="2249" xr:uid="{00000000-0005-0000-0000-0000C6080000}"/>
    <cellStyle name="Comma 2 2 2 2 2 12 7 4" xfId="2250" xr:uid="{00000000-0005-0000-0000-0000C7080000}"/>
    <cellStyle name="Comma 2 2 2 2 2 12 7 5" xfId="2251" xr:uid="{00000000-0005-0000-0000-0000C8080000}"/>
    <cellStyle name="Comma 2 2 2 2 2 12 7 6" xfId="2252" xr:uid="{00000000-0005-0000-0000-0000C9080000}"/>
    <cellStyle name="Comma 2 2 2 2 2 12 7 7" xfId="2253" xr:uid="{00000000-0005-0000-0000-0000CA080000}"/>
    <cellStyle name="Comma 2 2 2 2 2 12 7 8" xfId="2254" xr:uid="{00000000-0005-0000-0000-0000CB080000}"/>
    <cellStyle name="Comma 2 2 2 2 2 12 8" xfId="2255" xr:uid="{00000000-0005-0000-0000-0000CC080000}"/>
    <cellStyle name="Comma 2 2 2 2 2 12 8 2" xfId="2256" xr:uid="{00000000-0005-0000-0000-0000CD080000}"/>
    <cellStyle name="Comma 2 2 2 2 2 12 8 3" xfId="2257" xr:uid="{00000000-0005-0000-0000-0000CE080000}"/>
    <cellStyle name="Comma 2 2 2 2 2 12 8 4" xfId="2258" xr:uid="{00000000-0005-0000-0000-0000CF080000}"/>
    <cellStyle name="Comma 2 2 2 2 2 12 8 5" xfId="2259" xr:uid="{00000000-0005-0000-0000-0000D0080000}"/>
    <cellStyle name="Comma 2 2 2 2 2 12 8 6" xfId="2260" xr:uid="{00000000-0005-0000-0000-0000D1080000}"/>
    <cellStyle name="Comma 2 2 2 2 2 12 8 7" xfId="2261" xr:uid="{00000000-0005-0000-0000-0000D2080000}"/>
    <cellStyle name="Comma 2 2 2 2 2 12 8 8" xfId="2262" xr:uid="{00000000-0005-0000-0000-0000D3080000}"/>
    <cellStyle name="Comma 2 2 2 2 2 12 9" xfId="2263" xr:uid="{00000000-0005-0000-0000-0000D4080000}"/>
    <cellStyle name="Comma 2 2 2 2 2 12 9 2" xfId="2264" xr:uid="{00000000-0005-0000-0000-0000D5080000}"/>
    <cellStyle name="Comma 2 2 2 2 2 12 9 3" xfId="2265" xr:uid="{00000000-0005-0000-0000-0000D6080000}"/>
    <cellStyle name="Comma 2 2 2 2 2 12 9 4" xfId="2266" xr:uid="{00000000-0005-0000-0000-0000D7080000}"/>
    <cellStyle name="Comma 2 2 2 2 2 12 9 5" xfId="2267" xr:uid="{00000000-0005-0000-0000-0000D8080000}"/>
    <cellStyle name="Comma 2 2 2 2 2 12 9 6" xfId="2268" xr:uid="{00000000-0005-0000-0000-0000D9080000}"/>
    <cellStyle name="Comma 2 2 2 2 2 12 9 7" xfId="2269" xr:uid="{00000000-0005-0000-0000-0000DA080000}"/>
    <cellStyle name="Comma 2 2 2 2 2 12 9 8" xfId="2270" xr:uid="{00000000-0005-0000-0000-0000DB080000}"/>
    <cellStyle name="Comma 2 2 2 2 2 13" xfId="2271" xr:uid="{00000000-0005-0000-0000-0000DC080000}"/>
    <cellStyle name="Comma 2 2 2 2 2 13 2" xfId="2272" xr:uid="{00000000-0005-0000-0000-0000DD080000}"/>
    <cellStyle name="Comma 2 2 2 2 2 13 2 10" xfId="2273" xr:uid="{00000000-0005-0000-0000-0000DE080000}"/>
    <cellStyle name="Comma 2 2 2 2 2 13 2 11" xfId="2274" xr:uid="{00000000-0005-0000-0000-0000DF080000}"/>
    <cellStyle name="Comma 2 2 2 2 2 13 2 12" xfId="2275" xr:uid="{00000000-0005-0000-0000-0000E0080000}"/>
    <cellStyle name="Comma 2 2 2 2 2 13 2 2" xfId="2276" xr:uid="{00000000-0005-0000-0000-0000E1080000}"/>
    <cellStyle name="Comma 2 2 2 2 2 13 2 2 2" xfId="2277" xr:uid="{00000000-0005-0000-0000-0000E2080000}"/>
    <cellStyle name="Comma 2 2 2 2 2 13 2 2 3" xfId="2278" xr:uid="{00000000-0005-0000-0000-0000E3080000}"/>
    <cellStyle name="Comma 2 2 2 2 2 13 2 2 4" xfId="2279" xr:uid="{00000000-0005-0000-0000-0000E4080000}"/>
    <cellStyle name="Comma 2 2 2 2 2 13 2 3" xfId="2280" xr:uid="{00000000-0005-0000-0000-0000E5080000}"/>
    <cellStyle name="Comma 2 2 2 2 2 13 2 3 2" xfId="2281" xr:uid="{00000000-0005-0000-0000-0000E6080000}"/>
    <cellStyle name="Comma 2 2 2 2 2 13 2 4" xfId="2282" xr:uid="{00000000-0005-0000-0000-0000E7080000}"/>
    <cellStyle name="Comma 2 2 2 2 2 13 2 5" xfId="2283" xr:uid="{00000000-0005-0000-0000-0000E8080000}"/>
    <cellStyle name="Comma 2 2 2 2 2 13 2 6" xfId="2284" xr:uid="{00000000-0005-0000-0000-0000E9080000}"/>
    <cellStyle name="Comma 2 2 2 2 2 13 2 6 2" xfId="2285" xr:uid="{00000000-0005-0000-0000-0000EA080000}"/>
    <cellStyle name="Comma 2 2 2 2 2 13 2 7" xfId="2286" xr:uid="{00000000-0005-0000-0000-0000EB080000}"/>
    <cellStyle name="Comma 2 2 2 2 2 13 2 8" xfId="2287" xr:uid="{00000000-0005-0000-0000-0000EC080000}"/>
    <cellStyle name="Comma 2 2 2 2 2 13 2 9" xfId="2288" xr:uid="{00000000-0005-0000-0000-0000ED080000}"/>
    <cellStyle name="Comma 2 2 2 2 2 13 3" xfId="2289" xr:uid="{00000000-0005-0000-0000-0000EE080000}"/>
    <cellStyle name="Comma 2 2 2 2 2 13 3 10" xfId="2290" xr:uid="{00000000-0005-0000-0000-0000EF080000}"/>
    <cellStyle name="Comma 2 2 2 2 2 13 3 11" xfId="2291" xr:uid="{00000000-0005-0000-0000-0000F0080000}"/>
    <cellStyle name="Comma 2 2 2 2 2 13 3 12" xfId="2292" xr:uid="{00000000-0005-0000-0000-0000F1080000}"/>
    <cellStyle name="Comma 2 2 2 2 2 13 3 2" xfId="2293" xr:uid="{00000000-0005-0000-0000-0000F2080000}"/>
    <cellStyle name="Comma 2 2 2 2 2 13 3 3" xfId="2294" xr:uid="{00000000-0005-0000-0000-0000F3080000}"/>
    <cellStyle name="Comma 2 2 2 2 2 13 3 4" xfId="2295" xr:uid="{00000000-0005-0000-0000-0000F4080000}"/>
    <cellStyle name="Comma 2 2 2 2 2 13 3 5" xfId="2296" xr:uid="{00000000-0005-0000-0000-0000F5080000}"/>
    <cellStyle name="Comma 2 2 2 2 2 13 3 6" xfId="2297" xr:uid="{00000000-0005-0000-0000-0000F6080000}"/>
    <cellStyle name="Comma 2 2 2 2 2 13 3 6 2" xfId="2298" xr:uid="{00000000-0005-0000-0000-0000F7080000}"/>
    <cellStyle name="Comma 2 2 2 2 2 13 3 7" xfId="2299" xr:uid="{00000000-0005-0000-0000-0000F8080000}"/>
    <cellStyle name="Comma 2 2 2 2 2 13 3 8" xfId="2300" xr:uid="{00000000-0005-0000-0000-0000F9080000}"/>
    <cellStyle name="Comma 2 2 2 2 2 13 3 9" xfId="2301" xr:uid="{00000000-0005-0000-0000-0000FA080000}"/>
    <cellStyle name="Comma 2 2 2 2 2 13 4" xfId="2302" xr:uid="{00000000-0005-0000-0000-0000FB080000}"/>
    <cellStyle name="Comma 2 2 2 2 2 13 4 10" xfId="2303" xr:uid="{00000000-0005-0000-0000-0000FC080000}"/>
    <cellStyle name="Comma 2 2 2 2 2 13 4 11" xfId="2304" xr:uid="{00000000-0005-0000-0000-0000FD080000}"/>
    <cellStyle name="Comma 2 2 2 2 2 13 4 12" xfId="2305" xr:uid="{00000000-0005-0000-0000-0000FE080000}"/>
    <cellStyle name="Comma 2 2 2 2 2 13 4 2" xfId="2306" xr:uid="{00000000-0005-0000-0000-0000FF080000}"/>
    <cellStyle name="Comma 2 2 2 2 2 13 4 3" xfId="2307" xr:uid="{00000000-0005-0000-0000-000000090000}"/>
    <cellStyle name="Comma 2 2 2 2 2 13 4 4" xfId="2308" xr:uid="{00000000-0005-0000-0000-000001090000}"/>
    <cellStyle name="Comma 2 2 2 2 2 13 4 5" xfId="2309" xr:uid="{00000000-0005-0000-0000-000002090000}"/>
    <cellStyle name="Comma 2 2 2 2 2 13 4 6" xfId="2310" xr:uid="{00000000-0005-0000-0000-000003090000}"/>
    <cellStyle name="Comma 2 2 2 2 2 13 4 6 2" xfId="2311" xr:uid="{00000000-0005-0000-0000-000004090000}"/>
    <cellStyle name="Comma 2 2 2 2 2 13 4 7" xfId="2312" xr:uid="{00000000-0005-0000-0000-000005090000}"/>
    <cellStyle name="Comma 2 2 2 2 2 13 4 8" xfId="2313" xr:uid="{00000000-0005-0000-0000-000006090000}"/>
    <cellStyle name="Comma 2 2 2 2 2 13 4 9" xfId="2314" xr:uid="{00000000-0005-0000-0000-000007090000}"/>
    <cellStyle name="Comma 2 2 2 2 2 13 5" xfId="2315" xr:uid="{00000000-0005-0000-0000-000008090000}"/>
    <cellStyle name="Comma 2 2 2 2 2 13 5 2" xfId="2316" xr:uid="{00000000-0005-0000-0000-000009090000}"/>
    <cellStyle name="Comma 2 2 2 2 2 13 5 3" xfId="2317" xr:uid="{00000000-0005-0000-0000-00000A090000}"/>
    <cellStyle name="Comma 2 2 2 2 2 13 5 4" xfId="2318" xr:uid="{00000000-0005-0000-0000-00000B090000}"/>
    <cellStyle name="Comma 2 2 2 2 2 13 5 5" xfId="2319" xr:uid="{00000000-0005-0000-0000-00000C090000}"/>
    <cellStyle name="Comma 2 2 2 2 2 13 5 6" xfId="2320" xr:uid="{00000000-0005-0000-0000-00000D090000}"/>
    <cellStyle name="Comma 2 2 2 2 2 13 5 7" xfId="2321" xr:uid="{00000000-0005-0000-0000-00000E090000}"/>
    <cellStyle name="Comma 2 2 2 2 2 13 5 8" xfId="2322" xr:uid="{00000000-0005-0000-0000-00000F090000}"/>
    <cellStyle name="Comma 2 2 2 2 2 13 6" xfId="2323" xr:uid="{00000000-0005-0000-0000-000010090000}"/>
    <cellStyle name="Comma 2 2 2 2 2 13 6 2" xfId="2324" xr:uid="{00000000-0005-0000-0000-000011090000}"/>
    <cellStyle name="Comma 2 2 2 2 2 13 6 3" xfId="2325" xr:uid="{00000000-0005-0000-0000-000012090000}"/>
    <cellStyle name="Comma 2 2 2 2 2 13 6 4" xfId="2326" xr:uid="{00000000-0005-0000-0000-000013090000}"/>
    <cellStyle name="Comma 2 2 2 2 2 13 6 5" xfId="2327" xr:uid="{00000000-0005-0000-0000-000014090000}"/>
    <cellStyle name="Comma 2 2 2 2 2 13 6 6" xfId="2328" xr:uid="{00000000-0005-0000-0000-000015090000}"/>
    <cellStyle name="Comma 2 2 2 2 2 13 6 7" xfId="2329" xr:uid="{00000000-0005-0000-0000-000016090000}"/>
    <cellStyle name="Comma 2 2 2 2 2 13 6 8" xfId="2330" xr:uid="{00000000-0005-0000-0000-000017090000}"/>
    <cellStyle name="Comma 2 2 2 2 2 13 7" xfId="2331" xr:uid="{00000000-0005-0000-0000-000018090000}"/>
    <cellStyle name="Comma 2 2 2 2 2 13 7 2" xfId="2332" xr:uid="{00000000-0005-0000-0000-000019090000}"/>
    <cellStyle name="Comma 2 2 2 2 2 13 7 3" xfId="2333" xr:uid="{00000000-0005-0000-0000-00001A090000}"/>
    <cellStyle name="Comma 2 2 2 2 2 13 7 4" xfId="2334" xr:uid="{00000000-0005-0000-0000-00001B090000}"/>
    <cellStyle name="Comma 2 2 2 2 2 13 7 5" xfId="2335" xr:uid="{00000000-0005-0000-0000-00001C090000}"/>
    <cellStyle name="Comma 2 2 2 2 2 13 7 6" xfId="2336" xr:uid="{00000000-0005-0000-0000-00001D090000}"/>
    <cellStyle name="Comma 2 2 2 2 2 13 7 7" xfId="2337" xr:uid="{00000000-0005-0000-0000-00001E090000}"/>
    <cellStyle name="Comma 2 2 2 2 2 13 7 8" xfId="2338" xr:uid="{00000000-0005-0000-0000-00001F090000}"/>
    <cellStyle name="Comma 2 2 2 2 2 13 8" xfId="2339" xr:uid="{00000000-0005-0000-0000-000020090000}"/>
    <cellStyle name="Comma 2 2 2 2 2 14" xfId="2340" xr:uid="{00000000-0005-0000-0000-000021090000}"/>
    <cellStyle name="Comma 2 2 2 2 2 14 2" xfId="2341" xr:uid="{00000000-0005-0000-0000-000022090000}"/>
    <cellStyle name="Comma 2 2 2 2 2 14 2 10" xfId="2342" xr:uid="{00000000-0005-0000-0000-000023090000}"/>
    <cellStyle name="Comma 2 2 2 2 2 14 2 11" xfId="2343" xr:uid="{00000000-0005-0000-0000-000024090000}"/>
    <cellStyle name="Comma 2 2 2 2 2 14 2 12" xfId="2344" xr:uid="{00000000-0005-0000-0000-000025090000}"/>
    <cellStyle name="Comma 2 2 2 2 2 14 2 13" xfId="2345" xr:uid="{00000000-0005-0000-0000-000026090000}"/>
    <cellStyle name="Comma 2 2 2 2 2 14 2 2" xfId="2346" xr:uid="{00000000-0005-0000-0000-000027090000}"/>
    <cellStyle name="Comma 2 2 2 2 2 14 2 2 2" xfId="2347" xr:uid="{00000000-0005-0000-0000-000028090000}"/>
    <cellStyle name="Comma 2 2 2 2 2 14 2 2 3" xfId="2348" xr:uid="{00000000-0005-0000-0000-000029090000}"/>
    <cellStyle name="Comma 2 2 2 2 2 14 2 2 4" xfId="2349" xr:uid="{00000000-0005-0000-0000-00002A090000}"/>
    <cellStyle name="Comma 2 2 2 2 2 14 2 3" xfId="2350" xr:uid="{00000000-0005-0000-0000-00002B090000}"/>
    <cellStyle name="Comma 2 2 2 2 2 14 2 3 2" xfId="2351" xr:uid="{00000000-0005-0000-0000-00002C090000}"/>
    <cellStyle name="Comma 2 2 2 2 2 14 2 4" xfId="2352" xr:uid="{00000000-0005-0000-0000-00002D090000}"/>
    <cellStyle name="Comma 2 2 2 2 2 14 2 5" xfId="2353" xr:uid="{00000000-0005-0000-0000-00002E090000}"/>
    <cellStyle name="Comma 2 2 2 2 2 14 2 6" xfId="2354" xr:uid="{00000000-0005-0000-0000-00002F090000}"/>
    <cellStyle name="Comma 2 2 2 2 2 14 2 6 2" xfId="2355" xr:uid="{00000000-0005-0000-0000-000030090000}"/>
    <cellStyle name="Comma 2 2 2 2 2 14 2 7" xfId="2356" xr:uid="{00000000-0005-0000-0000-000031090000}"/>
    <cellStyle name="Comma 2 2 2 2 2 14 2 8" xfId="2357" xr:uid="{00000000-0005-0000-0000-000032090000}"/>
    <cellStyle name="Comma 2 2 2 2 2 14 2 9" xfId="2358" xr:uid="{00000000-0005-0000-0000-000033090000}"/>
    <cellStyle name="Comma 2 2 2 2 2 14 3" xfId="2359" xr:uid="{00000000-0005-0000-0000-000034090000}"/>
    <cellStyle name="Comma 2 2 2 2 2 14 3 10" xfId="2360" xr:uid="{00000000-0005-0000-0000-000035090000}"/>
    <cellStyle name="Comma 2 2 2 2 2 14 3 11" xfId="2361" xr:uid="{00000000-0005-0000-0000-000036090000}"/>
    <cellStyle name="Comma 2 2 2 2 2 14 3 12" xfId="2362" xr:uid="{00000000-0005-0000-0000-000037090000}"/>
    <cellStyle name="Comma 2 2 2 2 2 14 3 2" xfId="2363" xr:uid="{00000000-0005-0000-0000-000038090000}"/>
    <cellStyle name="Comma 2 2 2 2 2 14 3 3" xfId="2364" xr:uid="{00000000-0005-0000-0000-000039090000}"/>
    <cellStyle name="Comma 2 2 2 2 2 14 3 4" xfId="2365" xr:uid="{00000000-0005-0000-0000-00003A090000}"/>
    <cellStyle name="Comma 2 2 2 2 2 14 3 5" xfId="2366" xr:uid="{00000000-0005-0000-0000-00003B090000}"/>
    <cellStyle name="Comma 2 2 2 2 2 14 3 6" xfId="2367" xr:uid="{00000000-0005-0000-0000-00003C090000}"/>
    <cellStyle name="Comma 2 2 2 2 2 14 3 6 2" xfId="2368" xr:uid="{00000000-0005-0000-0000-00003D090000}"/>
    <cellStyle name="Comma 2 2 2 2 2 14 3 7" xfId="2369" xr:uid="{00000000-0005-0000-0000-00003E090000}"/>
    <cellStyle name="Comma 2 2 2 2 2 14 3 8" xfId="2370" xr:uid="{00000000-0005-0000-0000-00003F090000}"/>
    <cellStyle name="Comma 2 2 2 2 2 14 3 9" xfId="2371" xr:uid="{00000000-0005-0000-0000-000040090000}"/>
    <cellStyle name="Comma 2 2 2 2 2 14 4" xfId="2372" xr:uid="{00000000-0005-0000-0000-000041090000}"/>
    <cellStyle name="Comma 2 2 2 2 2 14 4 2" xfId="2373" xr:uid="{00000000-0005-0000-0000-000042090000}"/>
    <cellStyle name="Comma 2 2 2 2 2 14 4 3" xfId="2374" xr:uid="{00000000-0005-0000-0000-000043090000}"/>
    <cellStyle name="Comma 2 2 2 2 2 14 4 4" xfId="2375" xr:uid="{00000000-0005-0000-0000-000044090000}"/>
    <cellStyle name="Comma 2 2 2 2 2 14 4 5" xfId="2376" xr:uid="{00000000-0005-0000-0000-000045090000}"/>
    <cellStyle name="Comma 2 2 2 2 2 14 4 6" xfId="2377" xr:uid="{00000000-0005-0000-0000-000046090000}"/>
    <cellStyle name="Comma 2 2 2 2 2 14 4 7" xfId="2378" xr:uid="{00000000-0005-0000-0000-000047090000}"/>
    <cellStyle name="Comma 2 2 2 2 2 14 4 8" xfId="2379" xr:uid="{00000000-0005-0000-0000-000048090000}"/>
    <cellStyle name="Comma 2 2 2 2 2 14 5" xfId="2380" xr:uid="{00000000-0005-0000-0000-000049090000}"/>
    <cellStyle name="Comma 2 2 2 2 2 14 5 2" xfId="2381" xr:uid="{00000000-0005-0000-0000-00004A090000}"/>
    <cellStyle name="Comma 2 2 2 2 2 14 5 3" xfId="2382" xr:uid="{00000000-0005-0000-0000-00004B090000}"/>
    <cellStyle name="Comma 2 2 2 2 2 14 5 4" xfId="2383" xr:uid="{00000000-0005-0000-0000-00004C090000}"/>
    <cellStyle name="Comma 2 2 2 2 2 14 5 5" xfId="2384" xr:uid="{00000000-0005-0000-0000-00004D090000}"/>
    <cellStyle name="Comma 2 2 2 2 2 14 5 6" xfId="2385" xr:uid="{00000000-0005-0000-0000-00004E090000}"/>
    <cellStyle name="Comma 2 2 2 2 2 14 5 7" xfId="2386" xr:uid="{00000000-0005-0000-0000-00004F090000}"/>
    <cellStyle name="Comma 2 2 2 2 2 14 5 8" xfId="2387" xr:uid="{00000000-0005-0000-0000-000050090000}"/>
    <cellStyle name="Comma 2 2 2 2 2 14 6" xfId="2388" xr:uid="{00000000-0005-0000-0000-000051090000}"/>
    <cellStyle name="Comma 2 2 2 2 2 14 7" xfId="2389" xr:uid="{00000000-0005-0000-0000-000052090000}"/>
    <cellStyle name="Comma 2 2 2 2 2 14 8" xfId="2390" xr:uid="{00000000-0005-0000-0000-000053090000}"/>
    <cellStyle name="Comma 2 2 2 2 2 15" xfId="2391" xr:uid="{00000000-0005-0000-0000-000054090000}"/>
    <cellStyle name="Comma 2 2 2 2 2 15 2" xfId="2392" xr:uid="{00000000-0005-0000-0000-000055090000}"/>
    <cellStyle name="Comma 2 2 2 2 2 15 2 10" xfId="2393" xr:uid="{00000000-0005-0000-0000-000056090000}"/>
    <cellStyle name="Comma 2 2 2 2 2 15 2 11" xfId="2394" xr:uid="{00000000-0005-0000-0000-000057090000}"/>
    <cellStyle name="Comma 2 2 2 2 2 15 2 12" xfId="2395" xr:uid="{00000000-0005-0000-0000-000058090000}"/>
    <cellStyle name="Comma 2 2 2 2 2 15 2 2" xfId="2396" xr:uid="{00000000-0005-0000-0000-000059090000}"/>
    <cellStyle name="Comma 2 2 2 2 2 15 2 2 2" xfId="2397" xr:uid="{00000000-0005-0000-0000-00005A090000}"/>
    <cellStyle name="Comma 2 2 2 2 2 15 2 2 3" xfId="2398" xr:uid="{00000000-0005-0000-0000-00005B090000}"/>
    <cellStyle name="Comma 2 2 2 2 2 15 2 2 4" xfId="2399" xr:uid="{00000000-0005-0000-0000-00005C090000}"/>
    <cellStyle name="Comma 2 2 2 2 2 15 2 3" xfId="2400" xr:uid="{00000000-0005-0000-0000-00005D090000}"/>
    <cellStyle name="Comma 2 2 2 2 2 15 2 3 2" xfId="2401" xr:uid="{00000000-0005-0000-0000-00005E090000}"/>
    <cellStyle name="Comma 2 2 2 2 2 15 2 4" xfId="2402" xr:uid="{00000000-0005-0000-0000-00005F090000}"/>
    <cellStyle name="Comma 2 2 2 2 2 15 2 5" xfId="2403" xr:uid="{00000000-0005-0000-0000-000060090000}"/>
    <cellStyle name="Comma 2 2 2 2 2 15 2 6" xfId="2404" xr:uid="{00000000-0005-0000-0000-000061090000}"/>
    <cellStyle name="Comma 2 2 2 2 2 15 2 6 2" xfId="2405" xr:uid="{00000000-0005-0000-0000-000062090000}"/>
    <cellStyle name="Comma 2 2 2 2 2 15 2 7" xfId="2406" xr:uid="{00000000-0005-0000-0000-000063090000}"/>
    <cellStyle name="Comma 2 2 2 2 2 15 2 8" xfId="2407" xr:uid="{00000000-0005-0000-0000-000064090000}"/>
    <cellStyle name="Comma 2 2 2 2 2 15 2 9" xfId="2408" xr:uid="{00000000-0005-0000-0000-000065090000}"/>
    <cellStyle name="Comma 2 2 2 2 2 15 3" xfId="2409" xr:uid="{00000000-0005-0000-0000-000066090000}"/>
    <cellStyle name="Comma 2 2 2 2 2 15 3 2" xfId="2410" xr:uid="{00000000-0005-0000-0000-000067090000}"/>
    <cellStyle name="Comma 2 2 2 2 2 15 3 3" xfId="2411" xr:uid="{00000000-0005-0000-0000-000068090000}"/>
    <cellStyle name="Comma 2 2 2 2 2 15 3 4" xfId="2412" xr:uid="{00000000-0005-0000-0000-000069090000}"/>
    <cellStyle name="Comma 2 2 2 2 2 15 3 5" xfId="2413" xr:uid="{00000000-0005-0000-0000-00006A090000}"/>
    <cellStyle name="Comma 2 2 2 2 2 15 3 6" xfId="2414" xr:uid="{00000000-0005-0000-0000-00006B090000}"/>
    <cellStyle name="Comma 2 2 2 2 2 15 3 7" xfId="2415" xr:uid="{00000000-0005-0000-0000-00006C090000}"/>
    <cellStyle name="Comma 2 2 2 2 2 15 3 8" xfId="2416" xr:uid="{00000000-0005-0000-0000-00006D090000}"/>
    <cellStyle name="Comma 2 2 2 2 2 16" xfId="2417" xr:uid="{00000000-0005-0000-0000-00006E090000}"/>
    <cellStyle name="Comma 2 2 2 2 2 16 2" xfId="2418" xr:uid="{00000000-0005-0000-0000-00006F090000}"/>
    <cellStyle name="Comma 2 2 2 2 2 16 2 10" xfId="2419" xr:uid="{00000000-0005-0000-0000-000070090000}"/>
    <cellStyle name="Comma 2 2 2 2 2 16 2 11" xfId="2420" xr:uid="{00000000-0005-0000-0000-000071090000}"/>
    <cellStyle name="Comma 2 2 2 2 2 16 2 12" xfId="2421" xr:uid="{00000000-0005-0000-0000-000072090000}"/>
    <cellStyle name="Comma 2 2 2 2 2 16 2 2" xfId="2422" xr:uid="{00000000-0005-0000-0000-000073090000}"/>
    <cellStyle name="Comma 2 2 2 2 2 16 2 3" xfId="2423" xr:uid="{00000000-0005-0000-0000-000074090000}"/>
    <cellStyle name="Comma 2 2 2 2 2 16 2 4" xfId="2424" xr:uid="{00000000-0005-0000-0000-000075090000}"/>
    <cellStyle name="Comma 2 2 2 2 2 16 2 5" xfId="2425" xr:uid="{00000000-0005-0000-0000-000076090000}"/>
    <cellStyle name="Comma 2 2 2 2 2 16 2 6" xfId="2426" xr:uid="{00000000-0005-0000-0000-000077090000}"/>
    <cellStyle name="Comma 2 2 2 2 2 16 2 6 2" xfId="2427" xr:uid="{00000000-0005-0000-0000-000078090000}"/>
    <cellStyle name="Comma 2 2 2 2 2 16 2 7" xfId="2428" xr:uid="{00000000-0005-0000-0000-000079090000}"/>
    <cellStyle name="Comma 2 2 2 2 2 16 2 8" xfId="2429" xr:uid="{00000000-0005-0000-0000-00007A090000}"/>
    <cellStyle name="Comma 2 2 2 2 2 16 2 9" xfId="2430" xr:uid="{00000000-0005-0000-0000-00007B090000}"/>
    <cellStyle name="Comma 2 2 2 2 2 17" xfId="2431" xr:uid="{00000000-0005-0000-0000-00007C090000}"/>
    <cellStyle name="Comma 2 2 2 2 2 17 2" xfId="2432" xr:uid="{00000000-0005-0000-0000-00007D090000}"/>
    <cellStyle name="Comma 2 2 2 2 2 17 2 2" xfId="2433" xr:uid="{00000000-0005-0000-0000-00007E090000}"/>
    <cellStyle name="Comma 2 2 2 2 2 17 3" xfId="2434" xr:uid="{00000000-0005-0000-0000-00007F090000}"/>
    <cellStyle name="Comma 2 2 2 2 2 18" xfId="2435" xr:uid="{00000000-0005-0000-0000-000080090000}"/>
    <cellStyle name="Comma 2 2 2 2 2 18 2" xfId="2436" xr:uid="{00000000-0005-0000-0000-000081090000}"/>
    <cellStyle name="Comma 2 2 2 2 2 18 2 2" xfId="2437" xr:uid="{00000000-0005-0000-0000-000082090000}"/>
    <cellStyle name="Comma 2 2 2 2 2 19" xfId="2438" xr:uid="{00000000-0005-0000-0000-000083090000}"/>
    <cellStyle name="Comma 2 2 2 2 2 19 2" xfId="2439" xr:uid="{00000000-0005-0000-0000-000084090000}"/>
    <cellStyle name="Comma 2 2 2 2 2 19 2 2" xfId="2440" xr:uid="{00000000-0005-0000-0000-000085090000}"/>
    <cellStyle name="Comma 2 2 2 2 2 2" xfId="2441" xr:uid="{00000000-0005-0000-0000-000086090000}"/>
    <cellStyle name="Comma 2 2 2 2 2 2 10" xfId="2442" xr:uid="{00000000-0005-0000-0000-000087090000}"/>
    <cellStyle name="Comma 2 2 2 2 2 2 10 10" xfId="2443" xr:uid="{00000000-0005-0000-0000-000088090000}"/>
    <cellStyle name="Comma 2 2 2 2 2 2 10 11" xfId="2444" xr:uid="{00000000-0005-0000-0000-000089090000}"/>
    <cellStyle name="Comma 2 2 2 2 2 2 10 12" xfId="2445" xr:uid="{00000000-0005-0000-0000-00008A090000}"/>
    <cellStyle name="Comma 2 2 2 2 2 2 10 13" xfId="2446" xr:uid="{00000000-0005-0000-0000-00008B090000}"/>
    <cellStyle name="Comma 2 2 2 2 2 2 10 14" xfId="2447" xr:uid="{00000000-0005-0000-0000-00008C090000}"/>
    <cellStyle name="Comma 2 2 2 2 2 2 10 15" xfId="2448" xr:uid="{00000000-0005-0000-0000-00008D090000}"/>
    <cellStyle name="Comma 2 2 2 2 2 2 10 16" xfId="2449" xr:uid="{00000000-0005-0000-0000-00008E090000}"/>
    <cellStyle name="Comma 2 2 2 2 2 2 10 17" xfId="2450" xr:uid="{00000000-0005-0000-0000-00008F090000}"/>
    <cellStyle name="Comma 2 2 2 2 2 2 10 17 2" xfId="2451" xr:uid="{00000000-0005-0000-0000-000090090000}"/>
    <cellStyle name="Comma 2 2 2 2 2 2 10 18" xfId="2452" xr:uid="{00000000-0005-0000-0000-000091090000}"/>
    <cellStyle name="Comma 2 2 2 2 2 2 10 19" xfId="2453" xr:uid="{00000000-0005-0000-0000-000092090000}"/>
    <cellStyle name="Comma 2 2 2 2 2 2 10 2" xfId="2454" xr:uid="{00000000-0005-0000-0000-000093090000}"/>
    <cellStyle name="Comma 2 2 2 2 2 2 10 2 2" xfId="2455" xr:uid="{00000000-0005-0000-0000-000094090000}"/>
    <cellStyle name="Comma 2 2 2 2 2 2 10 2 2 10" xfId="2456" xr:uid="{00000000-0005-0000-0000-000095090000}"/>
    <cellStyle name="Comma 2 2 2 2 2 2 10 2 2 11" xfId="2457" xr:uid="{00000000-0005-0000-0000-000096090000}"/>
    <cellStyle name="Comma 2 2 2 2 2 2 10 2 2 12" xfId="2458" xr:uid="{00000000-0005-0000-0000-000097090000}"/>
    <cellStyle name="Comma 2 2 2 2 2 2 10 2 2 2" xfId="2459" xr:uid="{00000000-0005-0000-0000-000098090000}"/>
    <cellStyle name="Comma 2 2 2 2 2 2 10 2 2 3" xfId="2460" xr:uid="{00000000-0005-0000-0000-000099090000}"/>
    <cellStyle name="Comma 2 2 2 2 2 2 10 2 2 4" xfId="2461" xr:uid="{00000000-0005-0000-0000-00009A090000}"/>
    <cellStyle name="Comma 2 2 2 2 2 2 10 2 2 5" xfId="2462" xr:uid="{00000000-0005-0000-0000-00009B090000}"/>
    <cellStyle name="Comma 2 2 2 2 2 2 10 2 2 6" xfId="2463" xr:uid="{00000000-0005-0000-0000-00009C090000}"/>
    <cellStyle name="Comma 2 2 2 2 2 2 10 2 2 6 2" xfId="2464" xr:uid="{00000000-0005-0000-0000-00009D090000}"/>
    <cellStyle name="Comma 2 2 2 2 2 2 10 2 2 7" xfId="2465" xr:uid="{00000000-0005-0000-0000-00009E090000}"/>
    <cellStyle name="Comma 2 2 2 2 2 2 10 2 2 8" xfId="2466" xr:uid="{00000000-0005-0000-0000-00009F090000}"/>
    <cellStyle name="Comma 2 2 2 2 2 2 10 2 2 9" xfId="2467" xr:uid="{00000000-0005-0000-0000-0000A0090000}"/>
    <cellStyle name="Comma 2 2 2 2 2 2 10 2 3" xfId="2468" xr:uid="{00000000-0005-0000-0000-0000A1090000}"/>
    <cellStyle name="Comma 2 2 2 2 2 2 10 2 3 10" xfId="2469" xr:uid="{00000000-0005-0000-0000-0000A2090000}"/>
    <cellStyle name="Comma 2 2 2 2 2 2 10 2 3 11" xfId="2470" xr:uid="{00000000-0005-0000-0000-0000A3090000}"/>
    <cellStyle name="Comma 2 2 2 2 2 2 10 2 3 12" xfId="2471" xr:uid="{00000000-0005-0000-0000-0000A4090000}"/>
    <cellStyle name="Comma 2 2 2 2 2 2 10 2 3 2" xfId="2472" xr:uid="{00000000-0005-0000-0000-0000A5090000}"/>
    <cellStyle name="Comma 2 2 2 2 2 2 10 2 3 3" xfId="2473" xr:uid="{00000000-0005-0000-0000-0000A6090000}"/>
    <cellStyle name="Comma 2 2 2 2 2 2 10 2 3 4" xfId="2474" xr:uid="{00000000-0005-0000-0000-0000A7090000}"/>
    <cellStyle name="Comma 2 2 2 2 2 2 10 2 3 5" xfId="2475" xr:uid="{00000000-0005-0000-0000-0000A8090000}"/>
    <cellStyle name="Comma 2 2 2 2 2 2 10 2 3 6" xfId="2476" xr:uid="{00000000-0005-0000-0000-0000A9090000}"/>
    <cellStyle name="Comma 2 2 2 2 2 2 10 2 3 6 2" xfId="2477" xr:uid="{00000000-0005-0000-0000-0000AA090000}"/>
    <cellStyle name="Comma 2 2 2 2 2 2 10 2 3 7" xfId="2478" xr:uid="{00000000-0005-0000-0000-0000AB090000}"/>
    <cellStyle name="Comma 2 2 2 2 2 2 10 2 3 8" xfId="2479" xr:uid="{00000000-0005-0000-0000-0000AC090000}"/>
    <cellStyle name="Comma 2 2 2 2 2 2 10 2 3 9" xfId="2480" xr:uid="{00000000-0005-0000-0000-0000AD090000}"/>
    <cellStyle name="Comma 2 2 2 2 2 2 10 2 4" xfId="2481" xr:uid="{00000000-0005-0000-0000-0000AE090000}"/>
    <cellStyle name="Comma 2 2 2 2 2 2 10 2 4 10" xfId="2482" xr:uid="{00000000-0005-0000-0000-0000AF090000}"/>
    <cellStyle name="Comma 2 2 2 2 2 2 10 2 4 11" xfId="2483" xr:uid="{00000000-0005-0000-0000-0000B0090000}"/>
    <cellStyle name="Comma 2 2 2 2 2 2 10 2 4 12" xfId="2484" xr:uid="{00000000-0005-0000-0000-0000B1090000}"/>
    <cellStyle name="Comma 2 2 2 2 2 2 10 2 4 2" xfId="2485" xr:uid="{00000000-0005-0000-0000-0000B2090000}"/>
    <cellStyle name="Comma 2 2 2 2 2 2 10 2 4 3" xfId="2486" xr:uid="{00000000-0005-0000-0000-0000B3090000}"/>
    <cellStyle name="Comma 2 2 2 2 2 2 10 2 4 4" xfId="2487" xr:uid="{00000000-0005-0000-0000-0000B4090000}"/>
    <cellStyle name="Comma 2 2 2 2 2 2 10 2 4 5" xfId="2488" xr:uid="{00000000-0005-0000-0000-0000B5090000}"/>
    <cellStyle name="Comma 2 2 2 2 2 2 10 2 4 6" xfId="2489" xr:uid="{00000000-0005-0000-0000-0000B6090000}"/>
    <cellStyle name="Comma 2 2 2 2 2 2 10 2 4 6 2" xfId="2490" xr:uid="{00000000-0005-0000-0000-0000B7090000}"/>
    <cellStyle name="Comma 2 2 2 2 2 2 10 2 4 7" xfId="2491" xr:uid="{00000000-0005-0000-0000-0000B8090000}"/>
    <cellStyle name="Comma 2 2 2 2 2 2 10 2 4 8" xfId="2492" xr:uid="{00000000-0005-0000-0000-0000B9090000}"/>
    <cellStyle name="Comma 2 2 2 2 2 2 10 2 4 9" xfId="2493" xr:uid="{00000000-0005-0000-0000-0000BA090000}"/>
    <cellStyle name="Comma 2 2 2 2 2 2 10 2 5" xfId="2494" xr:uid="{00000000-0005-0000-0000-0000BB090000}"/>
    <cellStyle name="Comma 2 2 2 2 2 2 10 2 5 10" xfId="2495" xr:uid="{00000000-0005-0000-0000-0000BC090000}"/>
    <cellStyle name="Comma 2 2 2 2 2 2 10 2 5 11" xfId="2496" xr:uid="{00000000-0005-0000-0000-0000BD090000}"/>
    <cellStyle name="Comma 2 2 2 2 2 2 10 2 5 12" xfId="2497" xr:uid="{00000000-0005-0000-0000-0000BE090000}"/>
    <cellStyle name="Comma 2 2 2 2 2 2 10 2 5 2" xfId="2498" xr:uid="{00000000-0005-0000-0000-0000BF090000}"/>
    <cellStyle name="Comma 2 2 2 2 2 2 10 2 5 3" xfId="2499" xr:uid="{00000000-0005-0000-0000-0000C0090000}"/>
    <cellStyle name="Comma 2 2 2 2 2 2 10 2 5 4" xfId="2500" xr:uid="{00000000-0005-0000-0000-0000C1090000}"/>
    <cellStyle name="Comma 2 2 2 2 2 2 10 2 5 5" xfId="2501" xr:uid="{00000000-0005-0000-0000-0000C2090000}"/>
    <cellStyle name="Comma 2 2 2 2 2 2 10 2 5 6" xfId="2502" xr:uid="{00000000-0005-0000-0000-0000C3090000}"/>
    <cellStyle name="Comma 2 2 2 2 2 2 10 2 5 6 2" xfId="2503" xr:uid="{00000000-0005-0000-0000-0000C4090000}"/>
    <cellStyle name="Comma 2 2 2 2 2 2 10 2 5 7" xfId="2504" xr:uid="{00000000-0005-0000-0000-0000C5090000}"/>
    <cellStyle name="Comma 2 2 2 2 2 2 10 2 5 8" xfId="2505" xr:uid="{00000000-0005-0000-0000-0000C6090000}"/>
    <cellStyle name="Comma 2 2 2 2 2 2 10 2 5 9" xfId="2506" xr:uid="{00000000-0005-0000-0000-0000C7090000}"/>
    <cellStyle name="Comma 2 2 2 2 2 2 10 2 6" xfId="2507" xr:uid="{00000000-0005-0000-0000-0000C8090000}"/>
    <cellStyle name="Comma 2 2 2 2 2 2 10 2 6 10" xfId="2508" xr:uid="{00000000-0005-0000-0000-0000C9090000}"/>
    <cellStyle name="Comma 2 2 2 2 2 2 10 2 6 11" xfId="2509" xr:uid="{00000000-0005-0000-0000-0000CA090000}"/>
    <cellStyle name="Comma 2 2 2 2 2 2 10 2 6 12" xfId="2510" xr:uid="{00000000-0005-0000-0000-0000CB090000}"/>
    <cellStyle name="Comma 2 2 2 2 2 2 10 2 6 2" xfId="2511" xr:uid="{00000000-0005-0000-0000-0000CC090000}"/>
    <cellStyle name="Comma 2 2 2 2 2 2 10 2 6 3" xfId="2512" xr:uid="{00000000-0005-0000-0000-0000CD090000}"/>
    <cellStyle name="Comma 2 2 2 2 2 2 10 2 6 4" xfId="2513" xr:uid="{00000000-0005-0000-0000-0000CE090000}"/>
    <cellStyle name="Comma 2 2 2 2 2 2 10 2 6 5" xfId="2514" xr:uid="{00000000-0005-0000-0000-0000CF090000}"/>
    <cellStyle name="Comma 2 2 2 2 2 2 10 2 6 6" xfId="2515" xr:uid="{00000000-0005-0000-0000-0000D0090000}"/>
    <cellStyle name="Comma 2 2 2 2 2 2 10 2 6 6 2" xfId="2516" xr:uid="{00000000-0005-0000-0000-0000D1090000}"/>
    <cellStyle name="Comma 2 2 2 2 2 2 10 2 6 7" xfId="2517" xr:uid="{00000000-0005-0000-0000-0000D2090000}"/>
    <cellStyle name="Comma 2 2 2 2 2 2 10 2 6 8" xfId="2518" xr:uid="{00000000-0005-0000-0000-0000D3090000}"/>
    <cellStyle name="Comma 2 2 2 2 2 2 10 2 6 9" xfId="2519" xr:uid="{00000000-0005-0000-0000-0000D4090000}"/>
    <cellStyle name="Comma 2 2 2 2 2 2 10 2 7" xfId="2520" xr:uid="{00000000-0005-0000-0000-0000D5090000}"/>
    <cellStyle name="Comma 2 2 2 2 2 2 10 2 7 2" xfId="2521" xr:uid="{00000000-0005-0000-0000-0000D6090000}"/>
    <cellStyle name="Comma 2 2 2 2 2 2 10 2 8" xfId="2522" xr:uid="{00000000-0005-0000-0000-0000D7090000}"/>
    <cellStyle name="Comma 2 2 2 2 2 2 10 20" xfId="2523" xr:uid="{00000000-0005-0000-0000-0000D8090000}"/>
    <cellStyle name="Comma 2 2 2 2 2 2 10 21" xfId="2524" xr:uid="{00000000-0005-0000-0000-0000D9090000}"/>
    <cellStyle name="Comma 2 2 2 2 2 2 10 22" xfId="2525" xr:uid="{00000000-0005-0000-0000-0000DA090000}"/>
    <cellStyle name="Comma 2 2 2 2 2 2 10 23" xfId="2526" xr:uid="{00000000-0005-0000-0000-0000DB090000}"/>
    <cellStyle name="Comma 2 2 2 2 2 2 10 3" xfId="2527" xr:uid="{00000000-0005-0000-0000-0000DC090000}"/>
    <cellStyle name="Comma 2 2 2 2 2 2 10 3 2" xfId="2528" xr:uid="{00000000-0005-0000-0000-0000DD090000}"/>
    <cellStyle name="Comma 2 2 2 2 2 2 10 3 2 10" xfId="2529" xr:uid="{00000000-0005-0000-0000-0000DE090000}"/>
    <cellStyle name="Comma 2 2 2 2 2 2 10 3 2 11" xfId="2530" xr:uid="{00000000-0005-0000-0000-0000DF090000}"/>
    <cellStyle name="Comma 2 2 2 2 2 2 10 3 2 12" xfId="2531" xr:uid="{00000000-0005-0000-0000-0000E0090000}"/>
    <cellStyle name="Comma 2 2 2 2 2 2 10 3 2 2" xfId="2532" xr:uid="{00000000-0005-0000-0000-0000E1090000}"/>
    <cellStyle name="Comma 2 2 2 2 2 2 10 3 2 3" xfId="2533" xr:uid="{00000000-0005-0000-0000-0000E2090000}"/>
    <cellStyle name="Comma 2 2 2 2 2 2 10 3 2 4" xfId="2534" xr:uid="{00000000-0005-0000-0000-0000E3090000}"/>
    <cellStyle name="Comma 2 2 2 2 2 2 10 3 2 5" xfId="2535" xr:uid="{00000000-0005-0000-0000-0000E4090000}"/>
    <cellStyle name="Comma 2 2 2 2 2 2 10 3 2 6" xfId="2536" xr:uid="{00000000-0005-0000-0000-0000E5090000}"/>
    <cellStyle name="Comma 2 2 2 2 2 2 10 3 2 6 2" xfId="2537" xr:uid="{00000000-0005-0000-0000-0000E6090000}"/>
    <cellStyle name="Comma 2 2 2 2 2 2 10 3 2 7" xfId="2538" xr:uid="{00000000-0005-0000-0000-0000E7090000}"/>
    <cellStyle name="Comma 2 2 2 2 2 2 10 3 2 8" xfId="2539" xr:uid="{00000000-0005-0000-0000-0000E8090000}"/>
    <cellStyle name="Comma 2 2 2 2 2 2 10 3 2 9" xfId="2540" xr:uid="{00000000-0005-0000-0000-0000E9090000}"/>
    <cellStyle name="Comma 2 2 2 2 2 2 10 3 3" xfId="2541" xr:uid="{00000000-0005-0000-0000-0000EA090000}"/>
    <cellStyle name="Comma 2 2 2 2 2 2 10 3 3 10" xfId="2542" xr:uid="{00000000-0005-0000-0000-0000EB090000}"/>
    <cellStyle name="Comma 2 2 2 2 2 2 10 3 3 11" xfId="2543" xr:uid="{00000000-0005-0000-0000-0000EC090000}"/>
    <cellStyle name="Comma 2 2 2 2 2 2 10 3 3 12" xfId="2544" xr:uid="{00000000-0005-0000-0000-0000ED090000}"/>
    <cellStyle name="Comma 2 2 2 2 2 2 10 3 3 2" xfId="2545" xr:uid="{00000000-0005-0000-0000-0000EE090000}"/>
    <cellStyle name="Comma 2 2 2 2 2 2 10 3 3 3" xfId="2546" xr:uid="{00000000-0005-0000-0000-0000EF090000}"/>
    <cellStyle name="Comma 2 2 2 2 2 2 10 3 3 4" xfId="2547" xr:uid="{00000000-0005-0000-0000-0000F0090000}"/>
    <cellStyle name="Comma 2 2 2 2 2 2 10 3 3 5" xfId="2548" xr:uid="{00000000-0005-0000-0000-0000F1090000}"/>
    <cellStyle name="Comma 2 2 2 2 2 2 10 3 3 6" xfId="2549" xr:uid="{00000000-0005-0000-0000-0000F2090000}"/>
    <cellStyle name="Comma 2 2 2 2 2 2 10 3 3 6 2" xfId="2550" xr:uid="{00000000-0005-0000-0000-0000F3090000}"/>
    <cellStyle name="Comma 2 2 2 2 2 2 10 3 3 7" xfId="2551" xr:uid="{00000000-0005-0000-0000-0000F4090000}"/>
    <cellStyle name="Comma 2 2 2 2 2 2 10 3 3 8" xfId="2552" xr:uid="{00000000-0005-0000-0000-0000F5090000}"/>
    <cellStyle name="Comma 2 2 2 2 2 2 10 3 3 9" xfId="2553" xr:uid="{00000000-0005-0000-0000-0000F6090000}"/>
    <cellStyle name="Comma 2 2 2 2 2 2 10 3 4" xfId="2554" xr:uid="{00000000-0005-0000-0000-0000F7090000}"/>
    <cellStyle name="Comma 2 2 2 2 2 2 10 3 4 10" xfId="2555" xr:uid="{00000000-0005-0000-0000-0000F8090000}"/>
    <cellStyle name="Comma 2 2 2 2 2 2 10 3 4 11" xfId="2556" xr:uid="{00000000-0005-0000-0000-0000F9090000}"/>
    <cellStyle name="Comma 2 2 2 2 2 2 10 3 4 12" xfId="2557" xr:uid="{00000000-0005-0000-0000-0000FA090000}"/>
    <cellStyle name="Comma 2 2 2 2 2 2 10 3 4 2" xfId="2558" xr:uid="{00000000-0005-0000-0000-0000FB090000}"/>
    <cellStyle name="Comma 2 2 2 2 2 2 10 3 4 3" xfId="2559" xr:uid="{00000000-0005-0000-0000-0000FC090000}"/>
    <cellStyle name="Comma 2 2 2 2 2 2 10 3 4 4" xfId="2560" xr:uid="{00000000-0005-0000-0000-0000FD090000}"/>
    <cellStyle name="Comma 2 2 2 2 2 2 10 3 4 5" xfId="2561" xr:uid="{00000000-0005-0000-0000-0000FE090000}"/>
    <cellStyle name="Comma 2 2 2 2 2 2 10 3 4 6" xfId="2562" xr:uid="{00000000-0005-0000-0000-0000FF090000}"/>
    <cellStyle name="Comma 2 2 2 2 2 2 10 3 4 6 2" xfId="2563" xr:uid="{00000000-0005-0000-0000-0000000A0000}"/>
    <cellStyle name="Comma 2 2 2 2 2 2 10 3 4 7" xfId="2564" xr:uid="{00000000-0005-0000-0000-0000010A0000}"/>
    <cellStyle name="Comma 2 2 2 2 2 2 10 3 4 8" xfId="2565" xr:uid="{00000000-0005-0000-0000-0000020A0000}"/>
    <cellStyle name="Comma 2 2 2 2 2 2 10 3 4 9" xfId="2566" xr:uid="{00000000-0005-0000-0000-0000030A0000}"/>
    <cellStyle name="Comma 2 2 2 2 2 2 10 3 5" xfId="2567" xr:uid="{00000000-0005-0000-0000-0000040A0000}"/>
    <cellStyle name="Comma 2 2 2 2 2 2 10 3 5 10" xfId="2568" xr:uid="{00000000-0005-0000-0000-0000050A0000}"/>
    <cellStyle name="Comma 2 2 2 2 2 2 10 3 5 11" xfId="2569" xr:uid="{00000000-0005-0000-0000-0000060A0000}"/>
    <cellStyle name="Comma 2 2 2 2 2 2 10 3 5 12" xfId="2570" xr:uid="{00000000-0005-0000-0000-0000070A0000}"/>
    <cellStyle name="Comma 2 2 2 2 2 2 10 3 5 2" xfId="2571" xr:uid="{00000000-0005-0000-0000-0000080A0000}"/>
    <cellStyle name="Comma 2 2 2 2 2 2 10 3 5 3" xfId="2572" xr:uid="{00000000-0005-0000-0000-0000090A0000}"/>
    <cellStyle name="Comma 2 2 2 2 2 2 10 3 5 4" xfId="2573" xr:uid="{00000000-0005-0000-0000-00000A0A0000}"/>
    <cellStyle name="Comma 2 2 2 2 2 2 10 3 5 5" xfId="2574" xr:uid="{00000000-0005-0000-0000-00000B0A0000}"/>
    <cellStyle name="Comma 2 2 2 2 2 2 10 3 5 6" xfId="2575" xr:uid="{00000000-0005-0000-0000-00000C0A0000}"/>
    <cellStyle name="Comma 2 2 2 2 2 2 10 3 5 6 2" xfId="2576" xr:uid="{00000000-0005-0000-0000-00000D0A0000}"/>
    <cellStyle name="Comma 2 2 2 2 2 2 10 3 5 7" xfId="2577" xr:uid="{00000000-0005-0000-0000-00000E0A0000}"/>
    <cellStyle name="Comma 2 2 2 2 2 2 10 3 5 8" xfId="2578" xr:uid="{00000000-0005-0000-0000-00000F0A0000}"/>
    <cellStyle name="Comma 2 2 2 2 2 2 10 3 5 9" xfId="2579" xr:uid="{00000000-0005-0000-0000-0000100A0000}"/>
    <cellStyle name="Comma 2 2 2 2 2 2 10 3 6" xfId="2580" xr:uid="{00000000-0005-0000-0000-0000110A0000}"/>
    <cellStyle name="Comma 2 2 2 2 2 2 10 4" xfId="2581" xr:uid="{00000000-0005-0000-0000-0000120A0000}"/>
    <cellStyle name="Comma 2 2 2 2 2 2 10 4 2" xfId="2582" xr:uid="{00000000-0005-0000-0000-0000130A0000}"/>
    <cellStyle name="Comma 2 2 2 2 2 2 10 4 2 10" xfId="2583" xr:uid="{00000000-0005-0000-0000-0000140A0000}"/>
    <cellStyle name="Comma 2 2 2 2 2 2 10 4 2 11" xfId="2584" xr:uid="{00000000-0005-0000-0000-0000150A0000}"/>
    <cellStyle name="Comma 2 2 2 2 2 2 10 4 2 12" xfId="2585" xr:uid="{00000000-0005-0000-0000-0000160A0000}"/>
    <cellStyle name="Comma 2 2 2 2 2 2 10 4 2 2" xfId="2586" xr:uid="{00000000-0005-0000-0000-0000170A0000}"/>
    <cellStyle name="Comma 2 2 2 2 2 2 10 4 2 3" xfId="2587" xr:uid="{00000000-0005-0000-0000-0000180A0000}"/>
    <cellStyle name="Comma 2 2 2 2 2 2 10 4 2 4" xfId="2588" xr:uid="{00000000-0005-0000-0000-0000190A0000}"/>
    <cellStyle name="Comma 2 2 2 2 2 2 10 4 2 5" xfId="2589" xr:uid="{00000000-0005-0000-0000-00001A0A0000}"/>
    <cellStyle name="Comma 2 2 2 2 2 2 10 4 2 6" xfId="2590" xr:uid="{00000000-0005-0000-0000-00001B0A0000}"/>
    <cellStyle name="Comma 2 2 2 2 2 2 10 4 2 6 2" xfId="2591" xr:uid="{00000000-0005-0000-0000-00001C0A0000}"/>
    <cellStyle name="Comma 2 2 2 2 2 2 10 4 2 7" xfId="2592" xr:uid="{00000000-0005-0000-0000-00001D0A0000}"/>
    <cellStyle name="Comma 2 2 2 2 2 2 10 4 2 8" xfId="2593" xr:uid="{00000000-0005-0000-0000-00001E0A0000}"/>
    <cellStyle name="Comma 2 2 2 2 2 2 10 4 2 9" xfId="2594" xr:uid="{00000000-0005-0000-0000-00001F0A0000}"/>
    <cellStyle name="Comma 2 2 2 2 2 2 10 4 3" xfId="2595" xr:uid="{00000000-0005-0000-0000-0000200A0000}"/>
    <cellStyle name="Comma 2 2 2 2 2 2 10 4 3 10" xfId="2596" xr:uid="{00000000-0005-0000-0000-0000210A0000}"/>
    <cellStyle name="Comma 2 2 2 2 2 2 10 4 3 11" xfId="2597" xr:uid="{00000000-0005-0000-0000-0000220A0000}"/>
    <cellStyle name="Comma 2 2 2 2 2 2 10 4 3 12" xfId="2598" xr:uid="{00000000-0005-0000-0000-0000230A0000}"/>
    <cellStyle name="Comma 2 2 2 2 2 2 10 4 3 2" xfId="2599" xr:uid="{00000000-0005-0000-0000-0000240A0000}"/>
    <cellStyle name="Comma 2 2 2 2 2 2 10 4 3 3" xfId="2600" xr:uid="{00000000-0005-0000-0000-0000250A0000}"/>
    <cellStyle name="Comma 2 2 2 2 2 2 10 4 3 4" xfId="2601" xr:uid="{00000000-0005-0000-0000-0000260A0000}"/>
    <cellStyle name="Comma 2 2 2 2 2 2 10 4 3 5" xfId="2602" xr:uid="{00000000-0005-0000-0000-0000270A0000}"/>
    <cellStyle name="Comma 2 2 2 2 2 2 10 4 3 6" xfId="2603" xr:uid="{00000000-0005-0000-0000-0000280A0000}"/>
    <cellStyle name="Comma 2 2 2 2 2 2 10 4 3 6 2" xfId="2604" xr:uid="{00000000-0005-0000-0000-0000290A0000}"/>
    <cellStyle name="Comma 2 2 2 2 2 2 10 4 3 7" xfId="2605" xr:uid="{00000000-0005-0000-0000-00002A0A0000}"/>
    <cellStyle name="Comma 2 2 2 2 2 2 10 4 3 8" xfId="2606" xr:uid="{00000000-0005-0000-0000-00002B0A0000}"/>
    <cellStyle name="Comma 2 2 2 2 2 2 10 4 3 9" xfId="2607" xr:uid="{00000000-0005-0000-0000-00002C0A0000}"/>
    <cellStyle name="Comma 2 2 2 2 2 2 10 4 4" xfId="2608" xr:uid="{00000000-0005-0000-0000-00002D0A0000}"/>
    <cellStyle name="Comma 2 2 2 2 2 2 10 4 4 10" xfId="2609" xr:uid="{00000000-0005-0000-0000-00002E0A0000}"/>
    <cellStyle name="Comma 2 2 2 2 2 2 10 4 4 11" xfId="2610" xr:uid="{00000000-0005-0000-0000-00002F0A0000}"/>
    <cellStyle name="Comma 2 2 2 2 2 2 10 4 4 12" xfId="2611" xr:uid="{00000000-0005-0000-0000-0000300A0000}"/>
    <cellStyle name="Comma 2 2 2 2 2 2 10 4 4 2" xfId="2612" xr:uid="{00000000-0005-0000-0000-0000310A0000}"/>
    <cellStyle name="Comma 2 2 2 2 2 2 10 4 4 3" xfId="2613" xr:uid="{00000000-0005-0000-0000-0000320A0000}"/>
    <cellStyle name="Comma 2 2 2 2 2 2 10 4 4 4" xfId="2614" xr:uid="{00000000-0005-0000-0000-0000330A0000}"/>
    <cellStyle name="Comma 2 2 2 2 2 2 10 4 4 5" xfId="2615" xr:uid="{00000000-0005-0000-0000-0000340A0000}"/>
    <cellStyle name="Comma 2 2 2 2 2 2 10 4 4 6" xfId="2616" xr:uid="{00000000-0005-0000-0000-0000350A0000}"/>
    <cellStyle name="Comma 2 2 2 2 2 2 10 4 4 6 2" xfId="2617" xr:uid="{00000000-0005-0000-0000-0000360A0000}"/>
    <cellStyle name="Comma 2 2 2 2 2 2 10 4 4 7" xfId="2618" xr:uid="{00000000-0005-0000-0000-0000370A0000}"/>
    <cellStyle name="Comma 2 2 2 2 2 2 10 4 4 8" xfId="2619" xr:uid="{00000000-0005-0000-0000-0000380A0000}"/>
    <cellStyle name="Comma 2 2 2 2 2 2 10 4 4 9" xfId="2620" xr:uid="{00000000-0005-0000-0000-0000390A0000}"/>
    <cellStyle name="Comma 2 2 2 2 2 2 10 5" xfId="2621" xr:uid="{00000000-0005-0000-0000-00003A0A0000}"/>
    <cellStyle name="Comma 2 2 2 2 2 2 10 5 2" xfId="2622" xr:uid="{00000000-0005-0000-0000-00003B0A0000}"/>
    <cellStyle name="Comma 2 2 2 2 2 2 10 5 2 10" xfId="2623" xr:uid="{00000000-0005-0000-0000-00003C0A0000}"/>
    <cellStyle name="Comma 2 2 2 2 2 2 10 5 2 11" xfId="2624" xr:uid="{00000000-0005-0000-0000-00003D0A0000}"/>
    <cellStyle name="Comma 2 2 2 2 2 2 10 5 2 12" xfId="2625" xr:uid="{00000000-0005-0000-0000-00003E0A0000}"/>
    <cellStyle name="Comma 2 2 2 2 2 2 10 5 2 2" xfId="2626" xr:uid="{00000000-0005-0000-0000-00003F0A0000}"/>
    <cellStyle name="Comma 2 2 2 2 2 2 10 5 2 3" xfId="2627" xr:uid="{00000000-0005-0000-0000-0000400A0000}"/>
    <cellStyle name="Comma 2 2 2 2 2 2 10 5 2 4" xfId="2628" xr:uid="{00000000-0005-0000-0000-0000410A0000}"/>
    <cellStyle name="Comma 2 2 2 2 2 2 10 5 2 5" xfId="2629" xr:uid="{00000000-0005-0000-0000-0000420A0000}"/>
    <cellStyle name="Comma 2 2 2 2 2 2 10 5 2 6" xfId="2630" xr:uid="{00000000-0005-0000-0000-0000430A0000}"/>
    <cellStyle name="Comma 2 2 2 2 2 2 10 5 2 6 2" xfId="2631" xr:uid="{00000000-0005-0000-0000-0000440A0000}"/>
    <cellStyle name="Comma 2 2 2 2 2 2 10 5 2 7" xfId="2632" xr:uid="{00000000-0005-0000-0000-0000450A0000}"/>
    <cellStyle name="Comma 2 2 2 2 2 2 10 5 2 8" xfId="2633" xr:uid="{00000000-0005-0000-0000-0000460A0000}"/>
    <cellStyle name="Comma 2 2 2 2 2 2 10 5 2 9" xfId="2634" xr:uid="{00000000-0005-0000-0000-0000470A0000}"/>
    <cellStyle name="Comma 2 2 2 2 2 2 10 5 3" xfId="2635" xr:uid="{00000000-0005-0000-0000-0000480A0000}"/>
    <cellStyle name="Comma 2 2 2 2 2 2 10 5 3 10" xfId="2636" xr:uid="{00000000-0005-0000-0000-0000490A0000}"/>
    <cellStyle name="Comma 2 2 2 2 2 2 10 5 3 11" xfId="2637" xr:uid="{00000000-0005-0000-0000-00004A0A0000}"/>
    <cellStyle name="Comma 2 2 2 2 2 2 10 5 3 12" xfId="2638" xr:uid="{00000000-0005-0000-0000-00004B0A0000}"/>
    <cellStyle name="Comma 2 2 2 2 2 2 10 5 3 2" xfId="2639" xr:uid="{00000000-0005-0000-0000-00004C0A0000}"/>
    <cellStyle name="Comma 2 2 2 2 2 2 10 5 3 3" xfId="2640" xr:uid="{00000000-0005-0000-0000-00004D0A0000}"/>
    <cellStyle name="Comma 2 2 2 2 2 2 10 5 3 4" xfId="2641" xr:uid="{00000000-0005-0000-0000-00004E0A0000}"/>
    <cellStyle name="Comma 2 2 2 2 2 2 10 5 3 5" xfId="2642" xr:uid="{00000000-0005-0000-0000-00004F0A0000}"/>
    <cellStyle name="Comma 2 2 2 2 2 2 10 5 3 6" xfId="2643" xr:uid="{00000000-0005-0000-0000-0000500A0000}"/>
    <cellStyle name="Comma 2 2 2 2 2 2 10 5 3 6 2" xfId="2644" xr:uid="{00000000-0005-0000-0000-0000510A0000}"/>
    <cellStyle name="Comma 2 2 2 2 2 2 10 5 3 7" xfId="2645" xr:uid="{00000000-0005-0000-0000-0000520A0000}"/>
    <cellStyle name="Comma 2 2 2 2 2 2 10 5 3 8" xfId="2646" xr:uid="{00000000-0005-0000-0000-0000530A0000}"/>
    <cellStyle name="Comma 2 2 2 2 2 2 10 5 3 9" xfId="2647" xr:uid="{00000000-0005-0000-0000-0000540A0000}"/>
    <cellStyle name="Comma 2 2 2 2 2 2 10 6" xfId="2648" xr:uid="{00000000-0005-0000-0000-0000550A0000}"/>
    <cellStyle name="Comma 2 2 2 2 2 2 10 6 2" xfId="2649" xr:uid="{00000000-0005-0000-0000-0000560A0000}"/>
    <cellStyle name="Comma 2 2 2 2 2 2 10 6 2 10" xfId="2650" xr:uid="{00000000-0005-0000-0000-0000570A0000}"/>
    <cellStyle name="Comma 2 2 2 2 2 2 10 6 2 11" xfId="2651" xr:uid="{00000000-0005-0000-0000-0000580A0000}"/>
    <cellStyle name="Comma 2 2 2 2 2 2 10 6 2 12" xfId="2652" xr:uid="{00000000-0005-0000-0000-0000590A0000}"/>
    <cellStyle name="Comma 2 2 2 2 2 2 10 6 2 2" xfId="2653" xr:uid="{00000000-0005-0000-0000-00005A0A0000}"/>
    <cellStyle name="Comma 2 2 2 2 2 2 10 6 2 3" xfId="2654" xr:uid="{00000000-0005-0000-0000-00005B0A0000}"/>
    <cellStyle name="Comma 2 2 2 2 2 2 10 6 2 4" xfId="2655" xr:uid="{00000000-0005-0000-0000-00005C0A0000}"/>
    <cellStyle name="Comma 2 2 2 2 2 2 10 6 2 5" xfId="2656" xr:uid="{00000000-0005-0000-0000-00005D0A0000}"/>
    <cellStyle name="Comma 2 2 2 2 2 2 10 6 2 6" xfId="2657" xr:uid="{00000000-0005-0000-0000-00005E0A0000}"/>
    <cellStyle name="Comma 2 2 2 2 2 2 10 6 2 6 2" xfId="2658" xr:uid="{00000000-0005-0000-0000-00005F0A0000}"/>
    <cellStyle name="Comma 2 2 2 2 2 2 10 6 2 7" xfId="2659" xr:uid="{00000000-0005-0000-0000-0000600A0000}"/>
    <cellStyle name="Comma 2 2 2 2 2 2 10 6 2 8" xfId="2660" xr:uid="{00000000-0005-0000-0000-0000610A0000}"/>
    <cellStyle name="Comma 2 2 2 2 2 2 10 6 2 9" xfId="2661" xr:uid="{00000000-0005-0000-0000-0000620A0000}"/>
    <cellStyle name="Comma 2 2 2 2 2 2 10 7" xfId="2662" xr:uid="{00000000-0005-0000-0000-0000630A0000}"/>
    <cellStyle name="Comma 2 2 2 2 2 2 10 7 10" xfId="2663" xr:uid="{00000000-0005-0000-0000-0000640A0000}"/>
    <cellStyle name="Comma 2 2 2 2 2 2 10 7 11" xfId="2664" xr:uid="{00000000-0005-0000-0000-0000650A0000}"/>
    <cellStyle name="Comma 2 2 2 2 2 2 10 7 12" xfId="2665" xr:uid="{00000000-0005-0000-0000-0000660A0000}"/>
    <cellStyle name="Comma 2 2 2 2 2 2 10 7 2" xfId="2666" xr:uid="{00000000-0005-0000-0000-0000670A0000}"/>
    <cellStyle name="Comma 2 2 2 2 2 2 10 7 3" xfId="2667" xr:uid="{00000000-0005-0000-0000-0000680A0000}"/>
    <cellStyle name="Comma 2 2 2 2 2 2 10 7 4" xfId="2668" xr:uid="{00000000-0005-0000-0000-0000690A0000}"/>
    <cellStyle name="Comma 2 2 2 2 2 2 10 7 5" xfId="2669" xr:uid="{00000000-0005-0000-0000-00006A0A0000}"/>
    <cellStyle name="Comma 2 2 2 2 2 2 10 7 6" xfId="2670" xr:uid="{00000000-0005-0000-0000-00006B0A0000}"/>
    <cellStyle name="Comma 2 2 2 2 2 2 10 7 6 2" xfId="2671" xr:uid="{00000000-0005-0000-0000-00006C0A0000}"/>
    <cellStyle name="Comma 2 2 2 2 2 2 10 7 7" xfId="2672" xr:uid="{00000000-0005-0000-0000-00006D0A0000}"/>
    <cellStyle name="Comma 2 2 2 2 2 2 10 7 8" xfId="2673" xr:uid="{00000000-0005-0000-0000-00006E0A0000}"/>
    <cellStyle name="Comma 2 2 2 2 2 2 10 7 9" xfId="2674" xr:uid="{00000000-0005-0000-0000-00006F0A0000}"/>
    <cellStyle name="Comma 2 2 2 2 2 2 10 8" xfId="2675" xr:uid="{00000000-0005-0000-0000-0000700A0000}"/>
    <cellStyle name="Comma 2 2 2 2 2 2 10 9" xfId="2676" xr:uid="{00000000-0005-0000-0000-0000710A0000}"/>
    <cellStyle name="Comma 2 2 2 2 2 2 11" xfId="2677" xr:uid="{00000000-0005-0000-0000-0000720A0000}"/>
    <cellStyle name="Comma 2 2 2 2 2 2 11 10" xfId="2678" xr:uid="{00000000-0005-0000-0000-0000730A0000}"/>
    <cellStyle name="Comma 2 2 2 2 2 2 11 11" xfId="2679" xr:uid="{00000000-0005-0000-0000-0000740A0000}"/>
    <cellStyle name="Comma 2 2 2 2 2 2 11 12" xfId="2680" xr:uid="{00000000-0005-0000-0000-0000750A0000}"/>
    <cellStyle name="Comma 2 2 2 2 2 2 11 13" xfId="2681" xr:uid="{00000000-0005-0000-0000-0000760A0000}"/>
    <cellStyle name="Comma 2 2 2 2 2 2 11 14" xfId="2682" xr:uid="{00000000-0005-0000-0000-0000770A0000}"/>
    <cellStyle name="Comma 2 2 2 2 2 2 11 14 2" xfId="2683" xr:uid="{00000000-0005-0000-0000-0000780A0000}"/>
    <cellStyle name="Comma 2 2 2 2 2 2 11 15" xfId="2684" xr:uid="{00000000-0005-0000-0000-0000790A0000}"/>
    <cellStyle name="Comma 2 2 2 2 2 2 11 15 2" xfId="2685" xr:uid="{00000000-0005-0000-0000-00007A0A0000}"/>
    <cellStyle name="Comma 2 2 2 2 2 2 11 16" xfId="2686" xr:uid="{00000000-0005-0000-0000-00007B0A0000}"/>
    <cellStyle name="Comma 2 2 2 2 2 2 11 17" xfId="2687" xr:uid="{00000000-0005-0000-0000-00007C0A0000}"/>
    <cellStyle name="Comma 2 2 2 2 2 2 11 18" xfId="2688" xr:uid="{00000000-0005-0000-0000-00007D0A0000}"/>
    <cellStyle name="Comma 2 2 2 2 2 2 11 19" xfId="2689" xr:uid="{00000000-0005-0000-0000-00007E0A0000}"/>
    <cellStyle name="Comma 2 2 2 2 2 2 11 2" xfId="2690" xr:uid="{00000000-0005-0000-0000-00007F0A0000}"/>
    <cellStyle name="Comma 2 2 2 2 2 2 11 2 2" xfId="2691" xr:uid="{00000000-0005-0000-0000-0000800A0000}"/>
    <cellStyle name="Comma 2 2 2 2 2 2 11 2 2 2" xfId="2692" xr:uid="{00000000-0005-0000-0000-0000810A0000}"/>
    <cellStyle name="Comma 2 2 2 2 2 2 11 2 2 3" xfId="2693" xr:uid="{00000000-0005-0000-0000-0000820A0000}"/>
    <cellStyle name="Comma 2 2 2 2 2 2 11 2 2 4" xfId="2694" xr:uid="{00000000-0005-0000-0000-0000830A0000}"/>
    <cellStyle name="Comma 2 2 2 2 2 2 11 2 2 5" xfId="2695" xr:uid="{00000000-0005-0000-0000-0000840A0000}"/>
    <cellStyle name="Comma 2 2 2 2 2 2 11 2 3" xfId="2696" xr:uid="{00000000-0005-0000-0000-0000850A0000}"/>
    <cellStyle name="Comma 2 2 2 2 2 2 11 2 3 2" xfId="2697" xr:uid="{00000000-0005-0000-0000-0000860A0000}"/>
    <cellStyle name="Comma 2 2 2 2 2 2 11 2 3 3" xfId="2698" xr:uid="{00000000-0005-0000-0000-0000870A0000}"/>
    <cellStyle name="Comma 2 2 2 2 2 2 11 2 3 4" xfId="2699" xr:uid="{00000000-0005-0000-0000-0000880A0000}"/>
    <cellStyle name="Comma 2 2 2 2 2 2 11 2 4" xfId="2700" xr:uid="{00000000-0005-0000-0000-0000890A0000}"/>
    <cellStyle name="Comma 2 2 2 2 2 2 11 2 4 2" xfId="2701" xr:uid="{00000000-0005-0000-0000-00008A0A0000}"/>
    <cellStyle name="Comma 2 2 2 2 2 2 11 2 4 3" xfId="2702" xr:uid="{00000000-0005-0000-0000-00008B0A0000}"/>
    <cellStyle name="Comma 2 2 2 2 2 2 11 20" xfId="2703" xr:uid="{00000000-0005-0000-0000-00008C0A0000}"/>
    <cellStyle name="Comma 2 2 2 2 2 2 11 3" xfId="2704" xr:uid="{00000000-0005-0000-0000-00008D0A0000}"/>
    <cellStyle name="Comma 2 2 2 2 2 2 11 3 2" xfId="2705" xr:uid="{00000000-0005-0000-0000-00008E0A0000}"/>
    <cellStyle name="Comma 2 2 2 2 2 2 11 3 2 2" xfId="2706" xr:uid="{00000000-0005-0000-0000-00008F0A0000}"/>
    <cellStyle name="Comma 2 2 2 2 2 2 11 3 2 3" xfId="2707" xr:uid="{00000000-0005-0000-0000-0000900A0000}"/>
    <cellStyle name="Comma 2 2 2 2 2 2 11 3 3" xfId="2708" xr:uid="{00000000-0005-0000-0000-0000910A0000}"/>
    <cellStyle name="Comma 2 2 2 2 2 2 11 3 3 2" xfId="2709" xr:uid="{00000000-0005-0000-0000-0000920A0000}"/>
    <cellStyle name="Comma 2 2 2 2 2 2 11 4" xfId="2710" xr:uid="{00000000-0005-0000-0000-0000930A0000}"/>
    <cellStyle name="Comma 2 2 2 2 2 2 11 5" xfId="2711" xr:uid="{00000000-0005-0000-0000-0000940A0000}"/>
    <cellStyle name="Comma 2 2 2 2 2 2 11 6" xfId="2712" xr:uid="{00000000-0005-0000-0000-0000950A0000}"/>
    <cellStyle name="Comma 2 2 2 2 2 2 11 6 2" xfId="2713" xr:uid="{00000000-0005-0000-0000-0000960A0000}"/>
    <cellStyle name="Comma 2 2 2 2 2 2 11 6 3" xfId="2714" xr:uid="{00000000-0005-0000-0000-0000970A0000}"/>
    <cellStyle name="Comma 2 2 2 2 2 2 11 7" xfId="2715" xr:uid="{00000000-0005-0000-0000-0000980A0000}"/>
    <cellStyle name="Comma 2 2 2 2 2 2 11 8" xfId="2716" xr:uid="{00000000-0005-0000-0000-0000990A0000}"/>
    <cellStyle name="Comma 2 2 2 2 2 2 11 9" xfId="2717" xr:uid="{00000000-0005-0000-0000-00009A0A0000}"/>
    <cellStyle name="Comma 2 2 2 2 2 2 12" xfId="2718" xr:uid="{00000000-0005-0000-0000-00009B0A0000}"/>
    <cellStyle name="Comma 2 2 2 2 2 2 12 10" xfId="2719" xr:uid="{00000000-0005-0000-0000-00009C0A0000}"/>
    <cellStyle name="Comma 2 2 2 2 2 2 12 11" xfId="2720" xr:uid="{00000000-0005-0000-0000-00009D0A0000}"/>
    <cellStyle name="Comma 2 2 2 2 2 2 12 12" xfId="2721" xr:uid="{00000000-0005-0000-0000-00009E0A0000}"/>
    <cellStyle name="Comma 2 2 2 2 2 2 12 12 2" xfId="2722" xr:uid="{00000000-0005-0000-0000-00009F0A0000}"/>
    <cellStyle name="Comma 2 2 2 2 2 2 12 13" xfId="2723" xr:uid="{00000000-0005-0000-0000-0000A00A0000}"/>
    <cellStyle name="Comma 2 2 2 2 2 2 12 14" xfId="2724" xr:uid="{00000000-0005-0000-0000-0000A10A0000}"/>
    <cellStyle name="Comma 2 2 2 2 2 2 12 15" xfId="2725" xr:uid="{00000000-0005-0000-0000-0000A20A0000}"/>
    <cellStyle name="Comma 2 2 2 2 2 2 12 16" xfId="2726" xr:uid="{00000000-0005-0000-0000-0000A30A0000}"/>
    <cellStyle name="Comma 2 2 2 2 2 2 12 17" xfId="2727" xr:uid="{00000000-0005-0000-0000-0000A40A0000}"/>
    <cellStyle name="Comma 2 2 2 2 2 2 12 18" xfId="2728" xr:uid="{00000000-0005-0000-0000-0000A50A0000}"/>
    <cellStyle name="Comma 2 2 2 2 2 2 12 2" xfId="2729" xr:uid="{00000000-0005-0000-0000-0000A60A0000}"/>
    <cellStyle name="Comma 2 2 2 2 2 2 12 2 2" xfId="2730" xr:uid="{00000000-0005-0000-0000-0000A70A0000}"/>
    <cellStyle name="Comma 2 2 2 2 2 2 12 2 2 2" xfId="2731" xr:uid="{00000000-0005-0000-0000-0000A80A0000}"/>
    <cellStyle name="Comma 2 2 2 2 2 2 12 2 2 3" xfId="2732" xr:uid="{00000000-0005-0000-0000-0000A90A0000}"/>
    <cellStyle name="Comma 2 2 2 2 2 2 12 2 3" xfId="2733" xr:uid="{00000000-0005-0000-0000-0000AA0A0000}"/>
    <cellStyle name="Comma 2 2 2 2 2 2 12 2 3 2" xfId="2734" xr:uid="{00000000-0005-0000-0000-0000AB0A0000}"/>
    <cellStyle name="Comma 2 2 2 2 2 2 12 3" xfId="2735" xr:uid="{00000000-0005-0000-0000-0000AC0A0000}"/>
    <cellStyle name="Comma 2 2 2 2 2 2 12 4" xfId="2736" xr:uid="{00000000-0005-0000-0000-0000AD0A0000}"/>
    <cellStyle name="Comma 2 2 2 2 2 2 12 5" xfId="2737" xr:uid="{00000000-0005-0000-0000-0000AE0A0000}"/>
    <cellStyle name="Comma 2 2 2 2 2 2 12 5 2" xfId="2738" xr:uid="{00000000-0005-0000-0000-0000AF0A0000}"/>
    <cellStyle name="Comma 2 2 2 2 2 2 12 5 3" xfId="2739" xr:uid="{00000000-0005-0000-0000-0000B00A0000}"/>
    <cellStyle name="Comma 2 2 2 2 2 2 12 6" xfId="2740" xr:uid="{00000000-0005-0000-0000-0000B10A0000}"/>
    <cellStyle name="Comma 2 2 2 2 2 2 12 7" xfId="2741" xr:uid="{00000000-0005-0000-0000-0000B20A0000}"/>
    <cellStyle name="Comma 2 2 2 2 2 2 12 8" xfId="2742" xr:uid="{00000000-0005-0000-0000-0000B30A0000}"/>
    <cellStyle name="Comma 2 2 2 2 2 2 12 9" xfId="2743" xr:uid="{00000000-0005-0000-0000-0000B40A0000}"/>
    <cellStyle name="Comma 2 2 2 2 2 2 13" xfId="2744" xr:uid="{00000000-0005-0000-0000-0000B50A0000}"/>
    <cellStyle name="Comma 2 2 2 2 2 2 13 10" xfId="2745" xr:uid="{00000000-0005-0000-0000-0000B60A0000}"/>
    <cellStyle name="Comma 2 2 2 2 2 2 13 10 2" xfId="2746" xr:uid="{00000000-0005-0000-0000-0000B70A0000}"/>
    <cellStyle name="Comma 2 2 2 2 2 2 13 11" xfId="2747" xr:uid="{00000000-0005-0000-0000-0000B80A0000}"/>
    <cellStyle name="Comma 2 2 2 2 2 2 13 12" xfId="2748" xr:uid="{00000000-0005-0000-0000-0000B90A0000}"/>
    <cellStyle name="Comma 2 2 2 2 2 2 13 13" xfId="2749" xr:uid="{00000000-0005-0000-0000-0000BA0A0000}"/>
    <cellStyle name="Comma 2 2 2 2 2 2 13 14" xfId="2750" xr:uid="{00000000-0005-0000-0000-0000BB0A0000}"/>
    <cellStyle name="Comma 2 2 2 2 2 2 13 15" xfId="2751" xr:uid="{00000000-0005-0000-0000-0000BC0A0000}"/>
    <cellStyle name="Comma 2 2 2 2 2 2 13 16" xfId="2752" xr:uid="{00000000-0005-0000-0000-0000BD0A0000}"/>
    <cellStyle name="Comma 2 2 2 2 2 2 13 2" xfId="2753" xr:uid="{00000000-0005-0000-0000-0000BE0A0000}"/>
    <cellStyle name="Comma 2 2 2 2 2 2 13 2 2" xfId="2754" xr:uid="{00000000-0005-0000-0000-0000BF0A0000}"/>
    <cellStyle name="Comma 2 2 2 2 2 2 13 2 2 2" xfId="2755" xr:uid="{00000000-0005-0000-0000-0000C00A0000}"/>
    <cellStyle name="Comma 2 2 2 2 2 2 13 2 2 3" xfId="2756" xr:uid="{00000000-0005-0000-0000-0000C10A0000}"/>
    <cellStyle name="Comma 2 2 2 2 2 2 13 2 3" xfId="2757" xr:uid="{00000000-0005-0000-0000-0000C20A0000}"/>
    <cellStyle name="Comma 2 2 2 2 2 2 13 2 3 2" xfId="2758" xr:uid="{00000000-0005-0000-0000-0000C30A0000}"/>
    <cellStyle name="Comma 2 2 2 2 2 2 13 3" xfId="2759" xr:uid="{00000000-0005-0000-0000-0000C40A0000}"/>
    <cellStyle name="Comma 2 2 2 2 2 2 13 4" xfId="2760" xr:uid="{00000000-0005-0000-0000-0000C50A0000}"/>
    <cellStyle name="Comma 2 2 2 2 2 2 13 4 2" xfId="2761" xr:uid="{00000000-0005-0000-0000-0000C60A0000}"/>
    <cellStyle name="Comma 2 2 2 2 2 2 13 4 3" xfId="2762" xr:uid="{00000000-0005-0000-0000-0000C70A0000}"/>
    <cellStyle name="Comma 2 2 2 2 2 2 13 5" xfId="2763" xr:uid="{00000000-0005-0000-0000-0000C80A0000}"/>
    <cellStyle name="Comma 2 2 2 2 2 2 13 6" xfId="2764" xr:uid="{00000000-0005-0000-0000-0000C90A0000}"/>
    <cellStyle name="Comma 2 2 2 2 2 2 13 7" xfId="2765" xr:uid="{00000000-0005-0000-0000-0000CA0A0000}"/>
    <cellStyle name="Comma 2 2 2 2 2 2 13 8" xfId="2766" xr:uid="{00000000-0005-0000-0000-0000CB0A0000}"/>
    <cellStyle name="Comma 2 2 2 2 2 2 13 9" xfId="2767" xr:uid="{00000000-0005-0000-0000-0000CC0A0000}"/>
    <cellStyle name="Comma 2 2 2 2 2 2 14" xfId="2768" xr:uid="{00000000-0005-0000-0000-0000CD0A0000}"/>
    <cellStyle name="Comma 2 2 2 2 2 2 14 10" xfId="2769" xr:uid="{00000000-0005-0000-0000-0000CE0A0000}"/>
    <cellStyle name="Comma 2 2 2 2 2 2 14 11" xfId="2770" xr:uid="{00000000-0005-0000-0000-0000CF0A0000}"/>
    <cellStyle name="Comma 2 2 2 2 2 2 14 12" xfId="2771" xr:uid="{00000000-0005-0000-0000-0000D00A0000}"/>
    <cellStyle name="Comma 2 2 2 2 2 2 14 13" xfId="2772" xr:uid="{00000000-0005-0000-0000-0000D10A0000}"/>
    <cellStyle name="Comma 2 2 2 2 2 2 14 14" xfId="2773" xr:uid="{00000000-0005-0000-0000-0000D20A0000}"/>
    <cellStyle name="Comma 2 2 2 2 2 2 14 2" xfId="2774" xr:uid="{00000000-0005-0000-0000-0000D30A0000}"/>
    <cellStyle name="Comma 2 2 2 2 2 2 14 2 2" xfId="2775" xr:uid="{00000000-0005-0000-0000-0000D40A0000}"/>
    <cellStyle name="Comma 2 2 2 2 2 2 14 2 2 2" xfId="2776" xr:uid="{00000000-0005-0000-0000-0000D50A0000}"/>
    <cellStyle name="Comma 2 2 2 2 2 2 14 2 2 3" xfId="2777" xr:uid="{00000000-0005-0000-0000-0000D60A0000}"/>
    <cellStyle name="Comma 2 2 2 2 2 2 14 2 3" xfId="2778" xr:uid="{00000000-0005-0000-0000-0000D70A0000}"/>
    <cellStyle name="Comma 2 2 2 2 2 2 14 2 3 2" xfId="2779" xr:uid="{00000000-0005-0000-0000-0000D80A0000}"/>
    <cellStyle name="Comma 2 2 2 2 2 2 14 3" xfId="2780" xr:uid="{00000000-0005-0000-0000-0000D90A0000}"/>
    <cellStyle name="Comma 2 2 2 2 2 2 14 3 2" xfId="2781" xr:uid="{00000000-0005-0000-0000-0000DA0A0000}"/>
    <cellStyle name="Comma 2 2 2 2 2 2 14 3 3" xfId="2782" xr:uid="{00000000-0005-0000-0000-0000DB0A0000}"/>
    <cellStyle name="Comma 2 2 2 2 2 2 14 4" xfId="2783" xr:uid="{00000000-0005-0000-0000-0000DC0A0000}"/>
    <cellStyle name="Comma 2 2 2 2 2 2 14 5" xfId="2784" xr:uid="{00000000-0005-0000-0000-0000DD0A0000}"/>
    <cellStyle name="Comma 2 2 2 2 2 2 14 6" xfId="2785" xr:uid="{00000000-0005-0000-0000-0000DE0A0000}"/>
    <cellStyle name="Comma 2 2 2 2 2 2 14 7" xfId="2786" xr:uid="{00000000-0005-0000-0000-0000DF0A0000}"/>
    <cellStyle name="Comma 2 2 2 2 2 2 14 8" xfId="2787" xr:uid="{00000000-0005-0000-0000-0000E00A0000}"/>
    <cellStyle name="Comma 2 2 2 2 2 2 14 8 2" xfId="2788" xr:uid="{00000000-0005-0000-0000-0000E10A0000}"/>
    <cellStyle name="Comma 2 2 2 2 2 2 14 9" xfId="2789" xr:uid="{00000000-0005-0000-0000-0000E20A0000}"/>
    <cellStyle name="Comma 2 2 2 2 2 2 15" xfId="2790" xr:uid="{00000000-0005-0000-0000-0000E30A0000}"/>
    <cellStyle name="Comma 2 2 2 2 2 2 15 10" xfId="2791" xr:uid="{00000000-0005-0000-0000-0000E40A0000}"/>
    <cellStyle name="Comma 2 2 2 2 2 2 15 11" xfId="2792" xr:uid="{00000000-0005-0000-0000-0000E50A0000}"/>
    <cellStyle name="Comma 2 2 2 2 2 2 15 12" xfId="2793" xr:uid="{00000000-0005-0000-0000-0000E60A0000}"/>
    <cellStyle name="Comma 2 2 2 2 2 2 15 13" xfId="2794" xr:uid="{00000000-0005-0000-0000-0000E70A0000}"/>
    <cellStyle name="Comma 2 2 2 2 2 2 15 2" xfId="2795" xr:uid="{00000000-0005-0000-0000-0000E80A0000}"/>
    <cellStyle name="Comma 2 2 2 2 2 2 15 3" xfId="2796" xr:uid="{00000000-0005-0000-0000-0000E90A0000}"/>
    <cellStyle name="Comma 2 2 2 2 2 2 15 4" xfId="2797" xr:uid="{00000000-0005-0000-0000-0000EA0A0000}"/>
    <cellStyle name="Comma 2 2 2 2 2 2 15 5" xfId="2798" xr:uid="{00000000-0005-0000-0000-0000EB0A0000}"/>
    <cellStyle name="Comma 2 2 2 2 2 2 15 6" xfId="2799" xr:uid="{00000000-0005-0000-0000-0000EC0A0000}"/>
    <cellStyle name="Comma 2 2 2 2 2 2 15 7" xfId="2800" xr:uid="{00000000-0005-0000-0000-0000ED0A0000}"/>
    <cellStyle name="Comma 2 2 2 2 2 2 15 7 2" xfId="2801" xr:uid="{00000000-0005-0000-0000-0000EE0A0000}"/>
    <cellStyle name="Comma 2 2 2 2 2 2 15 8" xfId="2802" xr:uid="{00000000-0005-0000-0000-0000EF0A0000}"/>
    <cellStyle name="Comma 2 2 2 2 2 2 15 9" xfId="2803" xr:uid="{00000000-0005-0000-0000-0000F00A0000}"/>
    <cellStyle name="Comma 2 2 2 2 2 2 16" xfId="2804" xr:uid="{00000000-0005-0000-0000-0000F10A0000}"/>
    <cellStyle name="Comma 2 2 2 2 2 2 16 2" xfId="2805" xr:uid="{00000000-0005-0000-0000-0000F20A0000}"/>
    <cellStyle name="Comma 2 2 2 2 2 2 16 3" xfId="2806" xr:uid="{00000000-0005-0000-0000-0000F30A0000}"/>
    <cellStyle name="Comma 2 2 2 2 2 2 16 4" xfId="2807" xr:uid="{00000000-0005-0000-0000-0000F40A0000}"/>
    <cellStyle name="Comma 2 2 2 2 2 2 16 5" xfId="2808" xr:uid="{00000000-0005-0000-0000-0000F50A0000}"/>
    <cellStyle name="Comma 2 2 2 2 2 2 16 6" xfId="2809" xr:uid="{00000000-0005-0000-0000-0000F60A0000}"/>
    <cellStyle name="Comma 2 2 2 2 2 2 16 7" xfId="2810" xr:uid="{00000000-0005-0000-0000-0000F70A0000}"/>
    <cellStyle name="Comma 2 2 2 2 2 2 16 8" xfId="2811" xr:uid="{00000000-0005-0000-0000-0000F80A0000}"/>
    <cellStyle name="Comma 2 2 2 2 2 2 16 9" xfId="2812" xr:uid="{00000000-0005-0000-0000-0000F90A0000}"/>
    <cellStyle name="Comma 2 2 2 2 2 2 17" xfId="2813" xr:uid="{00000000-0005-0000-0000-0000FA0A0000}"/>
    <cellStyle name="Comma 2 2 2 2 2 2 17 2" xfId="2814" xr:uid="{00000000-0005-0000-0000-0000FB0A0000}"/>
    <cellStyle name="Comma 2 2 2 2 2 2 17 3" xfId="2815" xr:uid="{00000000-0005-0000-0000-0000FC0A0000}"/>
    <cellStyle name="Comma 2 2 2 2 2 2 17 4" xfId="2816" xr:uid="{00000000-0005-0000-0000-0000FD0A0000}"/>
    <cellStyle name="Comma 2 2 2 2 2 2 17 5" xfId="2817" xr:uid="{00000000-0005-0000-0000-0000FE0A0000}"/>
    <cellStyle name="Comma 2 2 2 2 2 2 17 6" xfId="2818" xr:uid="{00000000-0005-0000-0000-0000FF0A0000}"/>
    <cellStyle name="Comma 2 2 2 2 2 2 17 7" xfId="2819" xr:uid="{00000000-0005-0000-0000-0000000B0000}"/>
    <cellStyle name="Comma 2 2 2 2 2 2 17 8" xfId="2820" xr:uid="{00000000-0005-0000-0000-0000010B0000}"/>
    <cellStyle name="Comma 2 2 2 2 2 2 17 9" xfId="2821" xr:uid="{00000000-0005-0000-0000-0000020B0000}"/>
    <cellStyle name="Comma 2 2 2 2 2 2 18" xfId="2822" xr:uid="{00000000-0005-0000-0000-0000030B0000}"/>
    <cellStyle name="Comma 2 2 2 2 2 2 18 2" xfId="2823" xr:uid="{00000000-0005-0000-0000-0000040B0000}"/>
    <cellStyle name="Comma 2 2 2 2 2 2 18 3" xfId="2824" xr:uid="{00000000-0005-0000-0000-0000050B0000}"/>
    <cellStyle name="Comma 2 2 2 2 2 2 18 4" xfId="2825" xr:uid="{00000000-0005-0000-0000-0000060B0000}"/>
    <cellStyle name="Comma 2 2 2 2 2 2 18 5" xfId="2826" xr:uid="{00000000-0005-0000-0000-0000070B0000}"/>
    <cellStyle name="Comma 2 2 2 2 2 2 18 6" xfId="2827" xr:uid="{00000000-0005-0000-0000-0000080B0000}"/>
    <cellStyle name="Comma 2 2 2 2 2 2 18 7" xfId="2828" xr:uid="{00000000-0005-0000-0000-0000090B0000}"/>
    <cellStyle name="Comma 2 2 2 2 2 2 18 8" xfId="2829" xr:uid="{00000000-0005-0000-0000-00000A0B0000}"/>
    <cellStyle name="Comma 2 2 2 2 2 2 18 9" xfId="2830" xr:uid="{00000000-0005-0000-0000-00000B0B0000}"/>
    <cellStyle name="Comma 2 2 2 2 2 2 19" xfId="2831" xr:uid="{00000000-0005-0000-0000-00000C0B0000}"/>
    <cellStyle name="Comma 2 2 2 2 2 2 19 2" xfId="2832" xr:uid="{00000000-0005-0000-0000-00000D0B0000}"/>
    <cellStyle name="Comma 2 2 2 2 2 2 19 3" xfId="2833" xr:uid="{00000000-0005-0000-0000-00000E0B0000}"/>
    <cellStyle name="Comma 2 2 2 2 2 2 19 4" xfId="2834" xr:uid="{00000000-0005-0000-0000-00000F0B0000}"/>
    <cellStyle name="Comma 2 2 2 2 2 2 19 5" xfId="2835" xr:uid="{00000000-0005-0000-0000-0000100B0000}"/>
    <cellStyle name="Comma 2 2 2 2 2 2 19 6" xfId="2836" xr:uid="{00000000-0005-0000-0000-0000110B0000}"/>
    <cellStyle name="Comma 2 2 2 2 2 2 19 7" xfId="2837" xr:uid="{00000000-0005-0000-0000-0000120B0000}"/>
    <cellStyle name="Comma 2 2 2 2 2 2 19 8" xfId="2838" xr:uid="{00000000-0005-0000-0000-0000130B0000}"/>
    <cellStyle name="Comma 2 2 2 2 2 2 2" xfId="2839" xr:uid="{00000000-0005-0000-0000-0000140B0000}"/>
    <cellStyle name="Comma 2 2 2 2 2 2 2 10" xfId="2840" xr:uid="{00000000-0005-0000-0000-0000150B0000}"/>
    <cellStyle name="Comma 2 2 2 2 2 2 2 10 10" xfId="2841" xr:uid="{00000000-0005-0000-0000-0000160B0000}"/>
    <cellStyle name="Comma 2 2 2 2 2 2 2 10 10 2" xfId="2842" xr:uid="{00000000-0005-0000-0000-0000170B0000}"/>
    <cellStyle name="Comma 2 2 2 2 2 2 2 10 10 3" xfId="2843" xr:uid="{00000000-0005-0000-0000-0000180B0000}"/>
    <cellStyle name="Comma 2 2 2 2 2 2 2 10 10 4" xfId="2844" xr:uid="{00000000-0005-0000-0000-0000190B0000}"/>
    <cellStyle name="Comma 2 2 2 2 2 2 2 10 10 5" xfId="2845" xr:uid="{00000000-0005-0000-0000-00001A0B0000}"/>
    <cellStyle name="Comma 2 2 2 2 2 2 2 10 10 6" xfId="2846" xr:uid="{00000000-0005-0000-0000-00001B0B0000}"/>
    <cellStyle name="Comma 2 2 2 2 2 2 2 10 10 7" xfId="2847" xr:uid="{00000000-0005-0000-0000-00001C0B0000}"/>
    <cellStyle name="Comma 2 2 2 2 2 2 2 10 10 8" xfId="2848" xr:uid="{00000000-0005-0000-0000-00001D0B0000}"/>
    <cellStyle name="Comma 2 2 2 2 2 2 2 10 11" xfId="2849" xr:uid="{00000000-0005-0000-0000-00001E0B0000}"/>
    <cellStyle name="Comma 2 2 2 2 2 2 2 10 11 2" xfId="2850" xr:uid="{00000000-0005-0000-0000-00001F0B0000}"/>
    <cellStyle name="Comma 2 2 2 2 2 2 2 10 11 3" xfId="2851" xr:uid="{00000000-0005-0000-0000-0000200B0000}"/>
    <cellStyle name="Comma 2 2 2 2 2 2 2 10 11 4" xfId="2852" xr:uid="{00000000-0005-0000-0000-0000210B0000}"/>
    <cellStyle name="Comma 2 2 2 2 2 2 2 10 11 5" xfId="2853" xr:uid="{00000000-0005-0000-0000-0000220B0000}"/>
    <cellStyle name="Comma 2 2 2 2 2 2 2 10 11 6" xfId="2854" xr:uid="{00000000-0005-0000-0000-0000230B0000}"/>
    <cellStyle name="Comma 2 2 2 2 2 2 2 10 11 7" xfId="2855" xr:uid="{00000000-0005-0000-0000-0000240B0000}"/>
    <cellStyle name="Comma 2 2 2 2 2 2 2 10 11 8" xfId="2856" xr:uid="{00000000-0005-0000-0000-0000250B0000}"/>
    <cellStyle name="Comma 2 2 2 2 2 2 2 10 12" xfId="2857" xr:uid="{00000000-0005-0000-0000-0000260B0000}"/>
    <cellStyle name="Comma 2 2 2 2 2 2 2 10 12 2" xfId="2858" xr:uid="{00000000-0005-0000-0000-0000270B0000}"/>
    <cellStyle name="Comma 2 2 2 2 2 2 2 10 12 3" xfId="2859" xr:uid="{00000000-0005-0000-0000-0000280B0000}"/>
    <cellStyle name="Comma 2 2 2 2 2 2 2 10 12 4" xfId="2860" xr:uid="{00000000-0005-0000-0000-0000290B0000}"/>
    <cellStyle name="Comma 2 2 2 2 2 2 2 10 12 5" xfId="2861" xr:uid="{00000000-0005-0000-0000-00002A0B0000}"/>
    <cellStyle name="Comma 2 2 2 2 2 2 2 10 12 6" xfId="2862" xr:uid="{00000000-0005-0000-0000-00002B0B0000}"/>
    <cellStyle name="Comma 2 2 2 2 2 2 2 10 12 7" xfId="2863" xr:uid="{00000000-0005-0000-0000-00002C0B0000}"/>
    <cellStyle name="Comma 2 2 2 2 2 2 2 10 12 8" xfId="2864" xr:uid="{00000000-0005-0000-0000-00002D0B0000}"/>
    <cellStyle name="Comma 2 2 2 2 2 2 2 10 13" xfId="2865" xr:uid="{00000000-0005-0000-0000-00002E0B0000}"/>
    <cellStyle name="Comma 2 2 2 2 2 2 2 10 13 2" xfId="2866" xr:uid="{00000000-0005-0000-0000-00002F0B0000}"/>
    <cellStyle name="Comma 2 2 2 2 2 2 2 10 13 3" xfId="2867" xr:uid="{00000000-0005-0000-0000-0000300B0000}"/>
    <cellStyle name="Comma 2 2 2 2 2 2 2 10 13 4" xfId="2868" xr:uid="{00000000-0005-0000-0000-0000310B0000}"/>
    <cellStyle name="Comma 2 2 2 2 2 2 2 10 13 5" xfId="2869" xr:uid="{00000000-0005-0000-0000-0000320B0000}"/>
    <cellStyle name="Comma 2 2 2 2 2 2 2 10 13 6" xfId="2870" xr:uid="{00000000-0005-0000-0000-0000330B0000}"/>
    <cellStyle name="Comma 2 2 2 2 2 2 2 10 13 7" xfId="2871" xr:uid="{00000000-0005-0000-0000-0000340B0000}"/>
    <cellStyle name="Comma 2 2 2 2 2 2 2 10 13 8" xfId="2872" xr:uid="{00000000-0005-0000-0000-0000350B0000}"/>
    <cellStyle name="Comma 2 2 2 2 2 2 2 10 14" xfId="2873" xr:uid="{00000000-0005-0000-0000-0000360B0000}"/>
    <cellStyle name="Comma 2 2 2 2 2 2 2 10 14 2" xfId="2874" xr:uid="{00000000-0005-0000-0000-0000370B0000}"/>
    <cellStyle name="Comma 2 2 2 2 2 2 2 10 2" xfId="2875" xr:uid="{00000000-0005-0000-0000-0000380B0000}"/>
    <cellStyle name="Comma 2 2 2 2 2 2 2 10 2 10" xfId="2876" xr:uid="{00000000-0005-0000-0000-0000390B0000}"/>
    <cellStyle name="Comma 2 2 2 2 2 2 2 10 2 11" xfId="2877" xr:uid="{00000000-0005-0000-0000-00003A0B0000}"/>
    <cellStyle name="Comma 2 2 2 2 2 2 2 10 2 12" xfId="2878" xr:uid="{00000000-0005-0000-0000-00003B0B0000}"/>
    <cellStyle name="Comma 2 2 2 2 2 2 2 10 2 12 2" xfId="2879" xr:uid="{00000000-0005-0000-0000-00003C0B0000}"/>
    <cellStyle name="Comma 2 2 2 2 2 2 2 10 2 13" xfId="2880" xr:uid="{00000000-0005-0000-0000-00003D0B0000}"/>
    <cellStyle name="Comma 2 2 2 2 2 2 2 10 2 14" xfId="2881" xr:uid="{00000000-0005-0000-0000-00003E0B0000}"/>
    <cellStyle name="Comma 2 2 2 2 2 2 2 10 2 15" xfId="2882" xr:uid="{00000000-0005-0000-0000-00003F0B0000}"/>
    <cellStyle name="Comma 2 2 2 2 2 2 2 10 2 16" xfId="2883" xr:uid="{00000000-0005-0000-0000-0000400B0000}"/>
    <cellStyle name="Comma 2 2 2 2 2 2 2 10 2 17" xfId="2884" xr:uid="{00000000-0005-0000-0000-0000410B0000}"/>
    <cellStyle name="Comma 2 2 2 2 2 2 2 10 2 18" xfId="2885" xr:uid="{00000000-0005-0000-0000-0000420B0000}"/>
    <cellStyle name="Comma 2 2 2 2 2 2 2 10 2 2" xfId="2886" xr:uid="{00000000-0005-0000-0000-0000430B0000}"/>
    <cellStyle name="Comma 2 2 2 2 2 2 2 10 2 2 2" xfId="2887" xr:uid="{00000000-0005-0000-0000-0000440B0000}"/>
    <cellStyle name="Comma 2 2 2 2 2 2 2 10 2 2 3" xfId="2888" xr:uid="{00000000-0005-0000-0000-0000450B0000}"/>
    <cellStyle name="Comma 2 2 2 2 2 2 2 10 2 2 4" xfId="2889" xr:uid="{00000000-0005-0000-0000-0000460B0000}"/>
    <cellStyle name="Comma 2 2 2 2 2 2 2 10 2 3" xfId="2890" xr:uid="{00000000-0005-0000-0000-0000470B0000}"/>
    <cellStyle name="Comma 2 2 2 2 2 2 2 10 2 4" xfId="2891" xr:uid="{00000000-0005-0000-0000-0000480B0000}"/>
    <cellStyle name="Comma 2 2 2 2 2 2 2 10 2 5" xfId="2892" xr:uid="{00000000-0005-0000-0000-0000490B0000}"/>
    <cellStyle name="Comma 2 2 2 2 2 2 2 10 2 6" xfId="2893" xr:uid="{00000000-0005-0000-0000-00004A0B0000}"/>
    <cellStyle name="Comma 2 2 2 2 2 2 2 10 2 7" xfId="2894" xr:uid="{00000000-0005-0000-0000-00004B0B0000}"/>
    <cellStyle name="Comma 2 2 2 2 2 2 2 10 2 8" xfId="2895" xr:uid="{00000000-0005-0000-0000-00004C0B0000}"/>
    <cellStyle name="Comma 2 2 2 2 2 2 2 10 2 9" xfId="2896" xr:uid="{00000000-0005-0000-0000-00004D0B0000}"/>
    <cellStyle name="Comma 2 2 2 2 2 2 2 10 3" xfId="2897" xr:uid="{00000000-0005-0000-0000-00004E0B0000}"/>
    <cellStyle name="Comma 2 2 2 2 2 2 2 10 3 10" xfId="2898" xr:uid="{00000000-0005-0000-0000-00004F0B0000}"/>
    <cellStyle name="Comma 2 2 2 2 2 2 2 10 3 10 2" xfId="2899" xr:uid="{00000000-0005-0000-0000-0000500B0000}"/>
    <cellStyle name="Comma 2 2 2 2 2 2 2 10 3 11" xfId="2900" xr:uid="{00000000-0005-0000-0000-0000510B0000}"/>
    <cellStyle name="Comma 2 2 2 2 2 2 2 10 3 12" xfId="2901" xr:uid="{00000000-0005-0000-0000-0000520B0000}"/>
    <cellStyle name="Comma 2 2 2 2 2 2 2 10 3 13" xfId="2902" xr:uid="{00000000-0005-0000-0000-0000530B0000}"/>
    <cellStyle name="Comma 2 2 2 2 2 2 2 10 3 14" xfId="2903" xr:uid="{00000000-0005-0000-0000-0000540B0000}"/>
    <cellStyle name="Comma 2 2 2 2 2 2 2 10 3 15" xfId="2904" xr:uid="{00000000-0005-0000-0000-0000550B0000}"/>
    <cellStyle name="Comma 2 2 2 2 2 2 2 10 3 16" xfId="2905" xr:uid="{00000000-0005-0000-0000-0000560B0000}"/>
    <cellStyle name="Comma 2 2 2 2 2 2 2 10 3 2" xfId="2906" xr:uid="{00000000-0005-0000-0000-0000570B0000}"/>
    <cellStyle name="Comma 2 2 2 2 2 2 2 10 3 2 2" xfId="2907" xr:uid="{00000000-0005-0000-0000-0000580B0000}"/>
    <cellStyle name="Comma 2 2 2 2 2 2 2 10 3 2 2 2" xfId="2908" xr:uid="{00000000-0005-0000-0000-0000590B0000}"/>
    <cellStyle name="Comma 2 2 2 2 2 2 2 10 3 2 2 3" xfId="2909" xr:uid="{00000000-0005-0000-0000-00005A0B0000}"/>
    <cellStyle name="Comma 2 2 2 2 2 2 2 10 3 3" xfId="2910" xr:uid="{00000000-0005-0000-0000-00005B0B0000}"/>
    <cellStyle name="Comma 2 2 2 2 2 2 2 10 3 4" xfId="2911" xr:uid="{00000000-0005-0000-0000-00005C0B0000}"/>
    <cellStyle name="Comma 2 2 2 2 2 2 2 10 3 5" xfId="2912" xr:uid="{00000000-0005-0000-0000-00005D0B0000}"/>
    <cellStyle name="Comma 2 2 2 2 2 2 2 10 3 6" xfId="2913" xr:uid="{00000000-0005-0000-0000-00005E0B0000}"/>
    <cellStyle name="Comma 2 2 2 2 2 2 2 10 3 7" xfId="2914" xr:uid="{00000000-0005-0000-0000-00005F0B0000}"/>
    <cellStyle name="Comma 2 2 2 2 2 2 2 10 3 8" xfId="2915" xr:uid="{00000000-0005-0000-0000-0000600B0000}"/>
    <cellStyle name="Comma 2 2 2 2 2 2 2 10 3 9" xfId="2916" xr:uid="{00000000-0005-0000-0000-0000610B0000}"/>
    <cellStyle name="Comma 2 2 2 2 2 2 2 10 4" xfId="2917" xr:uid="{00000000-0005-0000-0000-0000620B0000}"/>
    <cellStyle name="Comma 2 2 2 2 2 2 2 10 4 10" xfId="2918" xr:uid="{00000000-0005-0000-0000-0000630B0000}"/>
    <cellStyle name="Comma 2 2 2 2 2 2 2 10 4 11" xfId="2919" xr:uid="{00000000-0005-0000-0000-0000640B0000}"/>
    <cellStyle name="Comma 2 2 2 2 2 2 2 10 4 12" xfId="2920" xr:uid="{00000000-0005-0000-0000-0000650B0000}"/>
    <cellStyle name="Comma 2 2 2 2 2 2 2 10 4 13" xfId="2921" xr:uid="{00000000-0005-0000-0000-0000660B0000}"/>
    <cellStyle name="Comma 2 2 2 2 2 2 2 10 4 14" xfId="2922" xr:uid="{00000000-0005-0000-0000-0000670B0000}"/>
    <cellStyle name="Comma 2 2 2 2 2 2 2 10 4 15" xfId="2923" xr:uid="{00000000-0005-0000-0000-0000680B0000}"/>
    <cellStyle name="Comma 2 2 2 2 2 2 2 10 4 2" xfId="2924" xr:uid="{00000000-0005-0000-0000-0000690B0000}"/>
    <cellStyle name="Comma 2 2 2 2 2 2 2 10 4 3" xfId="2925" xr:uid="{00000000-0005-0000-0000-00006A0B0000}"/>
    <cellStyle name="Comma 2 2 2 2 2 2 2 10 4 4" xfId="2926" xr:uid="{00000000-0005-0000-0000-00006B0B0000}"/>
    <cellStyle name="Comma 2 2 2 2 2 2 2 10 4 5" xfId="2927" xr:uid="{00000000-0005-0000-0000-00006C0B0000}"/>
    <cellStyle name="Comma 2 2 2 2 2 2 2 10 4 6" xfId="2928" xr:uid="{00000000-0005-0000-0000-00006D0B0000}"/>
    <cellStyle name="Comma 2 2 2 2 2 2 2 10 4 7" xfId="2929" xr:uid="{00000000-0005-0000-0000-00006E0B0000}"/>
    <cellStyle name="Comma 2 2 2 2 2 2 2 10 4 8" xfId="2930" xr:uid="{00000000-0005-0000-0000-00006F0B0000}"/>
    <cellStyle name="Comma 2 2 2 2 2 2 2 10 4 9" xfId="2931" xr:uid="{00000000-0005-0000-0000-0000700B0000}"/>
    <cellStyle name="Comma 2 2 2 2 2 2 2 10 4 9 2" xfId="2932" xr:uid="{00000000-0005-0000-0000-0000710B0000}"/>
    <cellStyle name="Comma 2 2 2 2 2 2 2 10 5" xfId="2933" xr:uid="{00000000-0005-0000-0000-0000720B0000}"/>
    <cellStyle name="Comma 2 2 2 2 2 2 2 10 5 10" xfId="2934" xr:uid="{00000000-0005-0000-0000-0000730B0000}"/>
    <cellStyle name="Comma 2 2 2 2 2 2 2 10 5 11" xfId="2935" xr:uid="{00000000-0005-0000-0000-0000740B0000}"/>
    <cellStyle name="Comma 2 2 2 2 2 2 2 10 5 12" xfId="2936" xr:uid="{00000000-0005-0000-0000-0000750B0000}"/>
    <cellStyle name="Comma 2 2 2 2 2 2 2 10 5 13" xfId="2937" xr:uid="{00000000-0005-0000-0000-0000760B0000}"/>
    <cellStyle name="Comma 2 2 2 2 2 2 2 10 5 14" xfId="2938" xr:uid="{00000000-0005-0000-0000-0000770B0000}"/>
    <cellStyle name="Comma 2 2 2 2 2 2 2 10 5 2" xfId="2939" xr:uid="{00000000-0005-0000-0000-0000780B0000}"/>
    <cellStyle name="Comma 2 2 2 2 2 2 2 10 5 3" xfId="2940" xr:uid="{00000000-0005-0000-0000-0000790B0000}"/>
    <cellStyle name="Comma 2 2 2 2 2 2 2 10 5 4" xfId="2941" xr:uid="{00000000-0005-0000-0000-00007A0B0000}"/>
    <cellStyle name="Comma 2 2 2 2 2 2 2 10 5 5" xfId="2942" xr:uid="{00000000-0005-0000-0000-00007B0B0000}"/>
    <cellStyle name="Comma 2 2 2 2 2 2 2 10 5 6" xfId="2943" xr:uid="{00000000-0005-0000-0000-00007C0B0000}"/>
    <cellStyle name="Comma 2 2 2 2 2 2 2 10 5 7" xfId="2944" xr:uid="{00000000-0005-0000-0000-00007D0B0000}"/>
    <cellStyle name="Comma 2 2 2 2 2 2 2 10 5 8" xfId="2945" xr:uid="{00000000-0005-0000-0000-00007E0B0000}"/>
    <cellStyle name="Comma 2 2 2 2 2 2 2 10 5 8 2" xfId="2946" xr:uid="{00000000-0005-0000-0000-00007F0B0000}"/>
    <cellStyle name="Comma 2 2 2 2 2 2 2 10 5 9" xfId="2947" xr:uid="{00000000-0005-0000-0000-0000800B0000}"/>
    <cellStyle name="Comma 2 2 2 2 2 2 2 10 6" xfId="2948" xr:uid="{00000000-0005-0000-0000-0000810B0000}"/>
    <cellStyle name="Comma 2 2 2 2 2 2 2 10 6 10" xfId="2949" xr:uid="{00000000-0005-0000-0000-0000820B0000}"/>
    <cellStyle name="Comma 2 2 2 2 2 2 2 10 6 11" xfId="2950" xr:uid="{00000000-0005-0000-0000-0000830B0000}"/>
    <cellStyle name="Comma 2 2 2 2 2 2 2 10 6 12" xfId="2951" xr:uid="{00000000-0005-0000-0000-0000840B0000}"/>
    <cellStyle name="Comma 2 2 2 2 2 2 2 10 6 13" xfId="2952" xr:uid="{00000000-0005-0000-0000-0000850B0000}"/>
    <cellStyle name="Comma 2 2 2 2 2 2 2 10 6 2" xfId="2953" xr:uid="{00000000-0005-0000-0000-0000860B0000}"/>
    <cellStyle name="Comma 2 2 2 2 2 2 2 10 6 3" xfId="2954" xr:uid="{00000000-0005-0000-0000-0000870B0000}"/>
    <cellStyle name="Comma 2 2 2 2 2 2 2 10 6 4" xfId="2955" xr:uid="{00000000-0005-0000-0000-0000880B0000}"/>
    <cellStyle name="Comma 2 2 2 2 2 2 2 10 6 5" xfId="2956" xr:uid="{00000000-0005-0000-0000-0000890B0000}"/>
    <cellStyle name="Comma 2 2 2 2 2 2 2 10 6 6" xfId="2957" xr:uid="{00000000-0005-0000-0000-00008A0B0000}"/>
    <cellStyle name="Comma 2 2 2 2 2 2 2 10 6 7" xfId="2958" xr:uid="{00000000-0005-0000-0000-00008B0B0000}"/>
    <cellStyle name="Comma 2 2 2 2 2 2 2 10 6 7 2" xfId="2959" xr:uid="{00000000-0005-0000-0000-00008C0B0000}"/>
    <cellStyle name="Comma 2 2 2 2 2 2 2 10 6 8" xfId="2960" xr:uid="{00000000-0005-0000-0000-00008D0B0000}"/>
    <cellStyle name="Comma 2 2 2 2 2 2 2 10 6 9" xfId="2961" xr:uid="{00000000-0005-0000-0000-00008E0B0000}"/>
    <cellStyle name="Comma 2 2 2 2 2 2 2 10 7" xfId="2962" xr:uid="{00000000-0005-0000-0000-00008F0B0000}"/>
    <cellStyle name="Comma 2 2 2 2 2 2 2 10 8" xfId="2963" xr:uid="{00000000-0005-0000-0000-0000900B0000}"/>
    <cellStyle name="Comma 2 2 2 2 2 2 2 10 9" xfId="2964" xr:uid="{00000000-0005-0000-0000-0000910B0000}"/>
    <cellStyle name="Comma 2 2 2 2 2 2 2 10 9 2" xfId="2965" xr:uid="{00000000-0005-0000-0000-0000920B0000}"/>
    <cellStyle name="Comma 2 2 2 2 2 2 2 10 9 3" xfId="2966" xr:uid="{00000000-0005-0000-0000-0000930B0000}"/>
    <cellStyle name="Comma 2 2 2 2 2 2 2 10 9 4" xfId="2967" xr:uid="{00000000-0005-0000-0000-0000940B0000}"/>
    <cellStyle name="Comma 2 2 2 2 2 2 2 10 9 5" xfId="2968" xr:uid="{00000000-0005-0000-0000-0000950B0000}"/>
    <cellStyle name="Comma 2 2 2 2 2 2 2 10 9 6" xfId="2969" xr:uid="{00000000-0005-0000-0000-0000960B0000}"/>
    <cellStyle name="Comma 2 2 2 2 2 2 2 10 9 7" xfId="2970" xr:uid="{00000000-0005-0000-0000-0000970B0000}"/>
    <cellStyle name="Comma 2 2 2 2 2 2 2 10 9 8" xfId="2971" xr:uid="{00000000-0005-0000-0000-0000980B0000}"/>
    <cellStyle name="Comma 2 2 2 2 2 2 2 11" xfId="2972" xr:uid="{00000000-0005-0000-0000-0000990B0000}"/>
    <cellStyle name="Comma 2 2 2 2 2 2 2 11 2" xfId="2973" xr:uid="{00000000-0005-0000-0000-00009A0B0000}"/>
    <cellStyle name="Comma 2 2 2 2 2 2 2 11 2 10" xfId="2974" xr:uid="{00000000-0005-0000-0000-00009B0B0000}"/>
    <cellStyle name="Comma 2 2 2 2 2 2 2 11 2 11" xfId="2975" xr:uid="{00000000-0005-0000-0000-00009C0B0000}"/>
    <cellStyle name="Comma 2 2 2 2 2 2 2 11 2 12" xfId="2976" xr:uid="{00000000-0005-0000-0000-00009D0B0000}"/>
    <cellStyle name="Comma 2 2 2 2 2 2 2 11 2 2" xfId="2977" xr:uid="{00000000-0005-0000-0000-00009E0B0000}"/>
    <cellStyle name="Comma 2 2 2 2 2 2 2 11 2 2 2" xfId="2978" xr:uid="{00000000-0005-0000-0000-00009F0B0000}"/>
    <cellStyle name="Comma 2 2 2 2 2 2 2 11 2 2 2 2" xfId="2979" xr:uid="{00000000-0005-0000-0000-0000A00B0000}"/>
    <cellStyle name="Comma 2 2 2 2 2 2 2 11 2 2 3" xfId="2980" xr:uid="{00000000-0005-0000-0000-0000A10B0000}"/>
    <cellStyle name="Comma 2 2 2 2 2 2 2 11 2 2 3 2" xfId="2981" xr:uid="{00000000-0005-0000-0000-0000A20B0000}"/>
    <cellStyle name="Comma 2 2 2 2 2 2 2 11 2 2 4" xfId="2982" xr:uid="{00000000-0005-0000-0000-0000A30B0000}"/>
    <cellStyle name="Comma 2 2 2 2 2 2 2 11 2 2 4 2" xfId="2983" xr:uid="{00000000-0005-0000-0000-0000A40B0000}"/>
    <cellStyle name="Comma 2 2 2 2 2 2 2 11 2 2 5" xfId="2984" xr:uid="{00000000-0005-0000-0000-0000A50B0000}"/>
    <cellStyle name="Comma 2 2 2 2 2 2 2 11 2 3" xfId="2985" xr:uid="{00000000-0005-0000-0000-0000A60B0000}"/>
    <cellStyle name="Comma 2 2 2 2 2 2 2 11 2 3 2" xfId="2986" xr:uid="{00000000-0005-0000-0000-0000A70B0000}"/>
    <cellStyle name="Comma 2 2 2 2 2 2 2 11 2 3 3" xfId="2987" xr:uid="{00000000-0005-0000-0000-0000A80B0000}"/>
    <cellStyle name="Comma 2 2 2 2 2 2 2 11 2 4" xfId="2988" xr:uid="{00000000-0005-0000-0000-0000A90B0000}"/>
    <cellStyle name="Comma 2 2 2 2 2 2 2 11 2 4 2" xfId="2989" xr:uid="{00000000-0005-0000-0000-0000AA0B0000}"/>
    <cellStyle name="Comma 2 2 2 2 2 2 2 11 2 5" xfId="2990" xr:uid="{00000000-0005-0000-0000-0000AB0B0000}"/>
    <cellStyle name="Comma 2 2 2 2 2 2 2 11 2 6" xfId="2991" xr:uid="{00000000-0005-0000-0000-0000AC0B0000}"/>
    <cellStyle name="Comma 2 2 2 2 2 2 2 11 2 6 2" xfId="2992" xr:uid="{00000000-0005-0000-0000-0000AD0B0000}"/>
    <cellStyle name="Comma 2 2 2 2 2 2 2 11 2 7" xfId="2993" xr:uid="{00000000-0005-0000-0000-0000AE0B0000}"/>
    <cellStyle name="Comma 2 2 2 2 2 2 2 11 2 8" xfId="2994" xr:uid="{00000000-0005-0000-0000-0000AF0B0000}"/>
    <cellStyle name="Comma 2 2 2 2 2 2 2 11 2 9" xfId="2995" xr:uid="{00000000-0005-0000-0000-0000B00B0000}"/>
    <cellStyle name="Comma 2 2 2 2 2 2 2 11 3" xfId="2996" xr:uid="{00000000-0005-0000-0000-0000B10B0000}"/>
    <cellStyle name="Comma 2 2 2 2 2 2 2 11 3 10" xfId="2997" xr:uid="{00000000-0005-0000-0000-0000B20B0000}"/>
    <cellStyle name="Comma 2 2 2 2 2 2 2 11 3 11" xfId="2998" xr:uid="{00000000-0005-0000-0000-0000B30B0000}"/>
    <cellStyle name="Comma 2 2 2 2 2 2 2 11 3 12" xfId="2999" xr:uid="{00000000-0005-0000-0000-0000B40B0000}"/>
    <cellStyle name="Comma 2 2 2 2 2 2 2 11 3 2" xfId="3000" xr:uid="{00000000-0005-0000-0000-0000B50B0000}"/>
    <cellStyle name="Comma 2 2 2 2 2 2 2 11 3 2 2" xfId="3001" xr:uid="{00000000-0005-0000-0000-0000B60B0000}"/>
    <cellStyle name="Comma 2 2 2 2 2 2 2 11 3 2 3" xfId="3002" xr:uid="{00000000-0005-0000-0000-0000B70B0000}"/>
    <cellStyle name="Comma 2 2 2 2 2 2 2 11 3 2 4" xfId="3003" xr:uid="{00000000-0005-0000-0000-0000B80B0000}"/>
    <cellStyle name="Comma 2 2 2 2 2 2 2 11 3 3" xfId="3004" xr:uid="{00000000-0005-0000-0000-0000B90B0000}"/>
    <cellStyle name="Comma 2 2 2 2 2 2 2 11 3 3 2" xfId="3005" xr:uid="{00000000-0005-0000-0000-0000BA0B0000}"/>
    <cellStyle name="Comma 2 2 2 2 2 2 2 11 3 4" xfId="3006" xr:uid="{00000000-0005-0000-0000-0000BB0B0000}"/>
    <cellStyle name="Comma 2 2 2 2 2 2 2 11 3 5" xfId="3007" xr:uid="{00000000-0005-0000-0000-0000BC0B0000}"/>
    <cellStyle name="Comma 2 2 2 2 2 2 2 11 3 6" xfId="3008" xr:uid="{00000000-0005-0000-0000-0000BD0B0000}"/>
    <cellStyle name="Comma 2 2 2 2 2 2 2 11 3 6 2" xfId="3009" xr:uid="{00000000-0005-0000-0000-0000BE0B0000}"/>
    <cellStyle name="Comma 2 2 2 2 2 2 2 11 3 7" xfId="3010" xr:uid="{00000000-0005-0000-0000-0000BF0B0000}"/>
    <cellStyle name="Comma 2 2 2 2 2 2 2 11 3 8" xfId="3011" xr:uid="{00000000-0005-0000-0000-0000C00B0000}"/>
    <cellStyle name="Comma 2 2 2 2 2 2 2 11 3 9" xfId="3012" xr:uid="{00000000-0005-0000-0000-0000C10B0000}"/>
    <cellStyle name="Comma 2 2 2 2 2 2 2 11 4" xfId="3013" xr:uid="{00000000-0005-0000-0000-0000C20B0000}"/>
    <cellStyle name="Comma 2 2 2 2 2 2 2 11 4 10" xfId="3014" xr:uid="{00000000-0005-0000-0000-0000C30B0000}"/>
    <cellStyle name="Comma 2 2 2 2 2 2 2 11 4 11" xfId="3015" xr:uid="{00000000-0005-0000-0000-0000C40B0000}"/>
    <cellStyle name="Comma 2 2 2 2 2 2 2 11 4 12" xfId="3016" xr:uid="{00000000-0005-0000-0000-0000C50B0000}"/>
    <cellStyle name="Comma 2 2 2 2 2 2 2 11 4 2" xfId="3017" xr:uid="{00000000-0005-0000-0000-0000C60B0000}"/>
    <cellStyle name="Comma 2 2 2 2 2 2 2 11 4 3" xfId="3018" xr:uid="{00000000-0005-0000-0000-0000C70B0000}"/>
    <cellStyle name="Comma 2 2 2 2 2 2 2 11 4 4" xfId="3019" xr:uid="{00000000-0005-0000-0000-0000C80B0000}"/>
    <cellStyle name="Comma 2 2 2 2 2 2 2 11 4 5" xfId="3020" xr:uid="{00000000-0005-0000-0000-0000C90B0000}"/>
    <cellStyle name="Comma 2 2 2 2 2 2 2 11 4 6" xfId="3021" xr:uid="{00000000-0005-0000-0000-0000CA0B0000}"/>
    <cellStyle name="Comma 2 2 2 2 2 2 2 11 4 6 2" xfId="3022" xr:uid="{00000000-0005-0000-0000-0000CB0B0000}"/>
    <cellStyle name="Comma 2 2 2 2 2 2 2 11 4 7" xfId="3023" xr:uid="{00000000-0005-0000-0000-0000CC0B0000}"/>
    <cellStyle name="Comma 2 2 2 2 2 2 2 11 4 8" xfId="3024" xr:uid="{00000000-0005-0000-0000-0000CD0B0000}"/>
    <cellStyle name="Comma 2 2 2 2 2 2 2 11 4 9" xfId="3025" xr:uid="{00000000-0005-0000-0000-0000CE0B0000}"/>
    <cellStyle name="Comma 2 2 2 2 2 2 2 11 5" xfId="3026" xr:uid="{00000000-0005-0000-0000-0000CF0B0000}"/>
    <cellStyle name="Comma 2 2 2 2 2 2 2 11 5 10" xfId="3027" xr:uid="{00000000-0005-0000-0000-0000D00B0000}"/>
    <cellStyle name="Comma 2 2 2 2 2 2 2 11 5 11" xfId="3028" xr:uid="{00000000-0005-0000-0000-0000D10B0000}"/>
    <cellStyle name="Comma 2 2 2 2 2 2 2 11 5 12" xfId="3029" xr:uid="{00000000-0005-0000-0000-0000D20B0000}"/>
    <cellStyle name="Comma 2 2 2 2 2 2 2 11 5 2" xfId="3030" xr:uid="{00000000-0005-0000-0000-0000D30B0000}"/>
    <cellStyle name="Comma 2 2 2 2 2 2 2 11 5 3" xfId="3031" xr:uid="{00000000-0005-0000-0000-0000D40B0000}"/>
    <cellStyle name="Comma 2 2 2 2 2 2 2 11 5 4" xfId="3032" xr:uid="{00000000-0005-0000-0000-0000D50B0000}"/>
    <cellStyle name="Comma 2 2 2 2 2 2 2 11 5 5" xfId="3033" xr:uid="{00000000-0005-0000-0000-0000D60B0000}"/>
    <cellStyle name="Comma 2 2 2 2 2 2 2 11 5 6" xfId="3034" xr:uid="{00000000-0005-0000-0000-0000D70B0000}"/>
    <cellStyle name="Comma 2 2 2 2 2 2 2 11 5 6 2" xfId="3035" xr:uid="{00000000-0005-0000-0000-0000D80B0000}"/>
    <cellStyle name="Comma 2 2 2 2 2 2 2 11 5 7" xfId="3036" xr:uid="{00000000-0005-0000-0000-0000D90B0000}"/>
    <cellStyle name="Comma 2 2 2 2 2 2 2 11 5 8" xfId="3037" xr:uid="{00000000-0005-0000-0000-0000DA0B0000}"/>
    <cellStyle name="Comma 2 2 2 2 2 2 2 11 5 9" xfId="3038" xr:uid="{00000000-0005-0000-0000-0000DB0B0000}"/>
    <cellStyle name="Comma 2 2 2 2 2 2 2 11 6" xfId="3039" xr:uid="{00000000-0005-0000-0000-0000DC0B0000}"/>
    <cellStyle name="Comma 2 2 2 2 2 2 2 11 6 2" xfId="3040" xr:uid="{00000000-0005-0000-0000-0000DD0B0000}"/>
    <cellStyle name="Comma 2 2 2 2 2 2 2 11 6 3" xfId="3041" xr:uid="{00000000-0005-0000-0000-0000DE0B0000}"/>
    <cellStyle name="Comma 2 2 2 2 2 2 2 11 6 4" xfId="3042" xr:uid="{00000000-0005-0000-0000-0000DF0B0000}"/>
    <cellStyle name="Comma 2 2 2 2 2 2 2 11 6 5" xfId="3043" xr:uid="{00000000-0005-0000-0000-0000E00B0000}"/>
    <cellStyle name="Comma 2 2 2 2 2 2 2 11 6 6" xfId="3044" xr:uid="{00000000-0005-0000-0000-0000E10B0000}"/>
    <cellStyle name="Comma 2 2 2 2 2 2 2 11 6 7" xfId="3045" xr:uid="{00000000-0005-0000-0000-0000E20B0000}"/>
    <cellStyle name="Comma 2 2 2 2 2 2 2 11 6 8" xfId="3046" xr:uid="{00000000-0005-0000-0000-0000E30B0000}"/>
    <cellStyle name="Comma 2 2 2 2 2 2 2 11 7" xfId="3047" xr:uid="{00000000-0005-0000-0000-0000E40B0000}"/>
    <cellStyle name="Comma 2 2 2 2 2 2 2 11 7 2" xfId="3048" xr:uid="{00000000-0005-0000-0000-0000E50B0000}"/>
    <cellStyle name="Comma 2 2 2 2 2 2 2 11 7 3" xfId="3049" xr:uid="{00000000-0005-0000-0000-0000E60B0000}"/>
    <cellStyle name="Comma 2 2 2 2 2 2 2 11 7 4" xfId="3050" xr:uid="{00000000-0005-0000-0000-0000E70B0000}"/>
    <cellStyle name="Comma 2 2 2 2 2 2 2 11 7 5" xfId="3051" xr:uid="{00000000-0005-0000-0000-0000E80B0000}"/>
    <cellStyle name="Comma 2 2 2 2 2 2 2 11 7 6" xfId="3052" xr:uid="{00000000-0005-0000-0000-0000E90B0000}"/>
    <cellStyle name="Comma 2 2 2 2 2 2 2 11 7 7" xfId="3053" xr:uid="{00000000-0005-0000-0000-0000EA0B0000}"/>
    <cellStyle name="Comma 2 2 2 2 2 2 2 11 7 8" xfId="3054" xr:uid="{00000000-0005-0000-0000-0000EB0B0000}"/>
    <cellStyle name="Comma 2 2 2 2 2 2 2 11 8" xfId="3055" xr:uid="{00000000-0005-0000-0000-0000EC0B0000}"/>
    <cellStyle name="Comma 2 2 2 2 2 2 2 11 8 2" xfId="3056" xr:uid="{00000000-0005-0000-0000-0000ED0B0000}"/>
    <cellStyle name="Comma 2 2 2 2 2 2 2 11 8 3" xfId="3057" xr:uid="{00000000-0005-0000-0000-0000EE0B0000}"/>
    <cellStyle name="Comma 2 2 2 2 2 2 2 11 8 4" xfId="3058" xr:uid="{00000000-0005-0000-0000-0000EF0B0000}"/>
    <cellStyle name="Comma 2 2 2 2 2 2 2 11 8 5" xfId="3059" xr:uid="{00000000-0005-0000-0000-0000F00B0000}"/>
    <cellStyle name="Comma 2 2 2 2 2 2 2 11 8 6" xfId="3060" xr:uid="{00000000-0005-0000-0000-0000F10B0000}"/>
    <cellStyle name="Comma 2 2 2 2 2 2 2 11 8 7" xfId="3061" xr:uid="{00000000-0005-0000-0000-0000F20B0000}"/>
    <cellStyle name="Comma 2 2 2 2 2 2 2 11 8 8" xfId="3062" xr:uid="{00000000-0005-0000-0000-0000F30B0000}"/>
    <cellStyle name="Comma 2 2 2 2 2 2 2 11 9" xfId="3063" xr:uid="{00000000-0005-0000-0000-0000F40B0000}"/>
    <cellStyle name="Comma 2 2 2 2 2 2 2 11 9 2" xfId="3064" xr:uid="{00000000-0005-0000-0000-0000F50B0000}"/>
    <cellStyle name="Comma 2 2 2 2 2 2 2 11 9 3" xfId="3065" xr:uid="{00000000-0005-0000-0000-0000F60B0000}"/>
    <cellStyle name="Comma 2 2 2 2 2 2 2 11 9 4" xfId="3066" xr:uid="{00000000-0005-0000-0000-0000F70B0000}"/>
    <cellStyle name="Comma 2 2 2 2 2 2 2 11 9 5" xfId="3067" xr:uid="{00000000-0005-0000-0000-0000F80B0000}"/>
    <cellStyle name="Comma 2 2 2 2 2 2 2 11 9 6" xfId="3068" xr:uid="{00000000-0005-0000-0000-0000F90B0000}"/>
    <cellStyle name="Comma 2 2 2 2 2 2 2 11 9 7" xfId="3069" xr:uid="{00000000-0005-0000-0000-0000FA0B0000}"/>
    <cellStyle name="Comma 2 2 2 2 2 2 2 11 9 8" xfId="3070" xr:uid="{00000000-0005-0000-0000-0000FB0B0000}"/>
    <cellStyle name="Comma 2 2 2 2 2 2 2 12" xfId="3071" xr:uid="{00000000-0005-0000-0000-0000FC0B0000}"/>
    <cellStyle name="Comma 2 2 2 2 2 2 2 12 2" xfId="3072" xr:uid="{00000000-0005-0000-0000-0000FD0B0000}"/>
    <cellStyle name="Comma 2 2 2 2 2 2 2 12 2 10" xfId="3073" xr:uid="{00000000-0005-0000-0000-0000FE0B0000}"/>
    <cellStyle name="Comma 2 2 2 2 2 2 2 12 2 11" xfId="3074" xr:uid="{00000000-0005-0000-0000-0000FF0B0000}"/>
    <cellStyle name="Comma 2 2 2 2 2 2 2 12 2 12" xfId="3075" xr:uid="{00000000-0005-0000-0000-0000000C0000}"/>
    <cellStyle name="Comma 2 2 2 2 2 2 2 12 2 2" xfId="3076" xr:uid="{00000000-0005-0000-0000-0000010C0000}"/>
    <cellStyle name="Comma 2 2 2 2 2 2 2 12 2 2 2" xfId="3077" xr:uid="{00000000-0005-0000-0000-0000020C0000}"/>
    <cellStyle name="Comma 2 2 2 2 2 2 2 12 2 2 3" xfId="3078" xr:uid="{00000000-0005-0000-0000-0000030C0000}"/>
    <cellStyle name="Comma 2 2 2 2 2 2 2 12 2 2 4" xfId="3079" xr:uid="{00000000-0005-0000-0000-0000040C0000}"/>
    <cellStyle name="Comma 2 2 2 2 2 2 2 12 2 3" xfId="3080" xr:uid="{00000000-0005-0000-0000-0000050C0000}"/>
    <cellStyle name="Comma 2 2 2 2 2 2 2 12 2 3 2" xfId="3081" xr:uid="{00000000-0005-0000-0000-0000060C0000}"/>
    <cellStyle name="Comma 2 2 2 2 2 2 2 12 2 4" xfId="3082" xr:uid="{00000000-0005-0000-0000-0000070C0000}"/>
    <cellStyle name="Comma 2 2 2 2 2 2 2 12 2 5" xfId="3083" xr:uid="{00000000-0005-0000-0000-0000080C0000}"/>
    <cellStyle name="Comma 2 2 2 2 2 2 2 12 2 6" xfId="3084" xr:uid="{00000000-0005-0000-0000-0000090C0000}"/>
    <cellStyle name="Comma 2 2 2 2 2 2 2 12 2 6 2" xfId="3085" xr:uid="{00000000-0005-0000-0000-00000A0C0000}"/>
    <cellStyle name="Comma 2 2 2 2 2 2 2 12 2 7" xfId="3086" xr:uid="{00000000-0005-0000-0000-00000B0C0000}"/>
    <cellStyle name="Comma 2 2 2 2 2 2 2 12 2 8" xfId="3087" xr:uid="{00000000-0005-0000-0000-00000C0C0000}"/>
    <cellStyle name="Comma 2 2 2 2 2 2 2 12 2 9" xfId="3088" xr:uid="{00000000-0005-0000-0000-00000D0C0000}"/>
    <cellStyle name="Comma 2 2 2 2 2 2 2 12 3" xfId="3089" xr:uid="{00000000-0005-0000-0000-00000E0C0000}"/>
    <cellStyle name="Comma 2 2 2 2 2 2 2 12 3 10" xfId="3090" xr:uid="{00000000-0005-0000-0000-00000F0C0000}"/>
    <cellStyle name="Comma 2 2 2 2 2 2 2 12 3 11" xfId="3091" xr:uid="{00000000-0005-0000-0000-0000100C0000}"/>
    <cellStyle name="Comma 2 2 2 2 2 2 2 12 3 12" xfId="3092" xr:uid="{00000000-0005-0000-0000-0000110C0000}"/>
    <cellStyle name="Comma 2 2 2 2 2 2 2 12 3 2" xfId="3093" xr:uid="{00000000-0005-0000-0000-0000120C0000}"/>
    <cellStyle name="Comma 2 2 2 2 2 2 2 12 3 3" xfId="3094" xr:uid="{00000000-0005-0000-0000-0000130C0000}"/>
    <cellStyle name="Comma 2 2 2 2 2 2 2 12 3 4" xfId="3095" xr:uid="{00000000-0005-0000-0000-0000140C0000}"/>
    <cellStyle name="Comma 2 2 2 2 2 2 2 12 3 5" xfId="3096" xr:uid="{00000000-0005-0000-0000-0000150C0000}"/>
    <cellStyle name="Comma 2 2 2 2 2 2 2 12 3 6" xfId="3097" xr:uid="{00000000-0005-0000-0000-0000160C0000}"/>
    <cellStyle name="Comma 2 2 2 2 2 2 2 12 3 6 2" xfId="3098" xr:uid="{00000000-0005-0000-0000-0000170C0000}"/>
    <cellStyle name="Comma 2 2 2 2 2 2 2 12 3 7" xfId="3099" xr:uid="{00000000-0005-0000-0000-0000180C0000}"/>
    <cellStyle name="Comma 2 2 2 2 2 2 2 12 3 8" xfId="3100" xr:uid="{00000000-0005-0000-0000-0000190C0000}"/>
    <cellStyle name="Comma 2 2 2 2 2 2 2 12 3 9" xfId="3101" xr:uid="{00000000-0005-0000-0000-00001A0C0000}"/>
    <cellStyle name="Comma 2 2 2 2 2 2 2 12 4" xfId="3102" xr:uid="{00000000-0005-0000-0000-00001B0C0000}"/>
    <cellStyle name="Comma 2 2 2 2 2 2 2 12 4 10" xfId="3103" xr:uid="{00000000-0005-0000-0000-00001C0C0000}"/>
    <cellStyle name="Comma 2 2 2 2 2 2 2 12 4 11" xfId="3104" xr:uid="{00000000-0005-0000-0000-00001D0C0000}"/>
    <cellStyle name="Comma 2 2 2 2 2 2 2 12 4 12" xfId="3105" xr:uid="{00000000-0005-0000-0000-00001E0C0000}"/>
    <cellStyle name="Comma 2 2 2 2 2 2 2 12 4 2" xfId="3106" xr:uid="{00000000-0005-0000-0000-00001F0C0000}"/>
    <cellStyle name="Comma 2 2 2 2 2 2 2 12 4 3" xfId="3107" xr:uid="{00000000-0005-0000-0000-0000200C0000}"/>
    <cellStyle name="Comma 2 2 2 2 2 2 2 12 4 4" xfId="3108" xr:uid="{00000000-0005-0000-0000-0000210C0000}"/>
    <cellStyle name="Comma 2 2 2 2 2 2 2 12 4 5" xfId="3109" xr:uid="{00000000-0005-0000-0000-0000220C0000}"/>
    <cellStyle name="Comma 2 2 2 2 2 2 2 12 4 6" xfId="3110" xr:uid="{00000000-0005-0000-0000-0000230C0000}"/>
    <cellStyle name="Comma 2 2 2 2 2 2 2 12 4 6 2" xfId="3111" xr:uid="{00000000-0005-0000-0000-0000240C0000}"/>
    <cellStyle name="Comma 2 2 2 2 2 2 2 12 4 7" xfId="3112" xr:uid="{00000000-0005-0000-0000-0000250C0000}"/>
    <cellStyle name="Comma 2 2 2 2 2 2 2 12 4 8" xfId="3113" xr:uid="{00000000-0005-0000-0000-0000260C0000}"/>
    <cellStyle name="Comma 2 2 2 2 2 2 2 12 4 9" xfId="3114" xr:uid="{00000000-0005-0000-0000-0000270C0000}"/>
    <cellStyle name="Comma 2 2 2 2 2 2 2 12 5" xfId="3115" xr:uid="{00000000-0005-0000-0000-0000280C0000}"/>
    <cellStyle name="Comma 2 2 2 2 2 2 2 12 5 2" xfId="3116" xr:uid="{00000000-0005-0000-0000-0000290C0000}"/>
    <cellStyle name="Comma 2 2 2 2 2 2 2 12 5 3" xfId="3117" xr:uid="{00000000-0005-0000-0000-00002A0C0000}"/>
    <cellStyle name="Comma 2 2 2 2 2 2 2 12 5 4" xfId="3118" xr:uid="{00000000-0005-0000-0000-00002B0C0000}"/>
    <cellStyle name="Comma 2 2 2 2 2 2 2 12 5 5" xfId="3119" xr:uid="{00000000-0005-0000-0000-00002C0C0000}"/>
    <cellStyle name="Comma 2 2 2 2 2 2 2 12 5 6" xfId="3120" xr:uid="{00000000-0005-0000-0000-00002D0C0000}"/>
    <cellStyle name="Comma 2 2 2 2 2 2 2 12 5 7" xfId="3121" xr:uid="{00000000-0005-0000-0000-00002E0C0000}"/>
    <cellStyle name="Comma 2 2 2 2 2 2 2 12 5 8" xfId="3122" xr:uid="{00000000-0005-0000-0000-00002F0C0000}"/>
    <cellStyle name="Comma 2 2 2 2 2 2 2 12 6" xfId="3123" xr:uid="{00000000-0005-0000-0000-0000300C0000}"/>
    <cellStyle name="Comma 2 2 2 2 2 2 2 12 6 2" xfId="3124" xr:uid="{00000000-0005-0000-0000-0000310C0000}"/>
    <cellStyle name="Comma 2 2 2 2 2 2 2 12 6 3" xfId="3125" xr:uid="{00000000-0005-0000-0000-0000320C0000}"/>
    <cellStyle name="Comma 2 2 2 2 2 2 2 12 6 4" xfId="3126" xr:uid="{00000000-0005-0000-0000-0000330C0000}"/>
    <cellStyle name="Comma 2 2 2 2 2 2 2 12 6 5" xfId="3127" xr:uid="{00000000-0005-0000-0000-0000340C0000}"/>
    <cellStyle name="Comma 2 2 2 2 2 2 2 12 6 6" xfId="3128" xr:uid="{00000000-0005-0000-0000-0000350C0000}"/>
    <cellStyle name="Comma 2 2 2 2 2 2 2 12 6 7" xfId="3129" xr:uid="{00000000-0005-0000-0000-0000360C0000}"/>
    <cellStyle name="Comma 2 2 2 2 2 2 2 12 6 8" xfId="3130" xr:uid="{00000000-0005-0000-0000-0000370C0000}"/>
    <cellStyle name="Comma 2 2 2 2 2 2 2 12 7" xfId="3131" xr:uid="{00000000-0005-0000-0000-0000380C0000}"/>
    <cellStyle name="Comma 2 2 2 2 2 2 2 12 7 2" xfId="3132" xr:uid="{00000000-0005-0000-0000-0000390C0000}"/>
    <cellStyle name="Comma 2 2 2 2 2 2 2 12 7 3" xfId="3133" xr:uid="{00000000-0005-0000-0000-00003A0C0000}"/>
    <cellStyle name="Comma 2 2 2 2 2 2 2 12 7 4" xfId="3134" xr:uid="{00000000-0005-0000-0000-00003B0C0000}"/>
    <cellStyle name="Comma 2 2 2 2 2 2 2 12 7 5" xfId="3135" xr:uid="{00000000-0005-0000-0000-00003C0C0000}"/>
    <cellStyle name="Comma 2 2 2 2 2 2 2 12 7 6" xfId="3136" xr:uid="{00000000-0005-0000-0000-00003D0C0000}"/>
    <cellStyle name="Comma 2 2 2 2 2 2 2 12 7 7" xfId="3137" xr:uid="{00000000-0005-0000-0000-00003E0C0000}"/>
    <cellStyle name="Comma 2 2 2 2 2 2 2 12 7 8" xfId="3138" xr:uid="{00000000-0005-0000-0000-00003F0C0000}"/>
    <cellStyle name="Comma 2 2 2 2 2 2 2 12 8" xfId="3139" xr:uid="{00000000-0005-0000-0000-0000400C0000}"/>
    <cellStyle name="Comma 2 2 2 2 2 2 2 13" xfId="3140" xr:uid="{00000000-0005-0000-0000-0000410C0000}"/>
    <cellStyle name="Comma 2 2 2 2 2 2 2 13 2" xfId="3141" xr:uid="{00000000-0005-0000-0000-0000420C0000}"/>
    <cellStyle name="Comma 2 2 2 2 2 2 2 13 2 10" xfId="3142" xr:uid="{00000000-0005-0000-0000-0000430C0000}"/>
    <cellStyle name="Comma 2 2 2 2 2 2 2 13 2 11" xfId="3143" xr:uid="{00000000-0005-0000-0000-0000440C0000}"/>
    <cellStyle name="Comma 2 2 2 2 2 2 2 13 2 12" xfId="3144" xr:uid="{00000000-0005-0000-0000-0000450C0000}"/>
    <cellStyle name="Comma 2 2 2 2 2 2 2 13 2 13" xfId="3145" xr:uid="{00000000-0005-0000-0000-0000460C0000}"/>
    <cellStyle name="Comma 2 2 2 2 2 2 2 13 2 2" xfId="3146" xr:uid="{00000000-0005-0000-0000-0000470C0000}"/>
    <cellStyle name="Comma 2 2 2 2 2 2 2 13 2 2 2" xfId="3147" xr:uid="{00000000-0005-0000-0000-0000480C0000}"/>
    <cellStyle name="Comma 2 2 2 2 2 2 2 13 2 2 3" xfId="3148" xr:uid="{00000000-0005-0000-0000-0000490C0000}"/>
    <cellStyle name="Comma 2 2 2 2 2 2 2 13 2 2 4" xfId="3149" xr:uid="{00000000-0005-0000-0000-00004A0C0000}"/>
    <cellStyle name="Comma 2 2 2 2 2 2 2 13 2 3" xfId="3150" xr:uid="{00000000-0005-0000-0000-00004B0C0000}"/>
    <cellStyle name="Comma 2 2 2 2 2 2 2 13 2 3 2" xfId="3151" xr:uid="{00000000-0005-0000-0000-00004C0C0000}"/>
    <cellStyle name="Comma 2 2 2 2 2 2 2 13 2 4" xfId="3152" xr:uid="{00000000-0005-0000-0000-00004D0C0000}"/>
    <cellStyle name="Comma 2 2 2 2 2 2 2 13 2 5" xfId="3153" xr:uid="{00000000-0005-0000-0000-00004E0C0000}"/>
    <cellStyle name="Comma 2 2 2 2 2 2 2 13 2 6" xfId="3154" xr:uid="{00000000-0005-0000-0000-00004F0C0000}"/>
    <cellStyle name="Comma 2 2 2 2 2 2 2 13 2 6 2" xfId="3155" xr:uid="{00000000-0005-0000-0000-0000500C0000}"/>
    <cellStyle name="Comma 2 2 2 2 2 2 2 13 2 7" xfId="3156" xr:uid="{00000000-0005-0000-0000-0000510C0000}"/>
    <cellStyle name="Comma 2 2 2 2 2 2 2 13 2 8" xfId="3157" xr:uid="{00000000-0005-0000-0000-0000520C0000}"/>
    <cellStyle name="Comma 2 2 2 2 2 2 2 13 2 9" xfId="3158" xr:uid="{00000000-0005-0000-0000-0000530C0000}"/>
    <cellStyle name="Comma 2 2 2 2 2 2 2 13 3" xfId="3159" xr:uid="{00000000-0005-0000-0000-0000540C0000}"/>
    <cellStyle name="Comma 2 2 2 2 2 2 2 13 3 10" xfId="3160" xr:uid="{00000000-0005-0000-0000-0000550C0000}"/>
    <cellStyle name="Comma 2 2 2 2 2 2 2 13 3 11" xfId="3161" xr:uid="{00000000-0005-0000-0000-0000560C0000}"/>
    <cellStyle name="Comma 2 2 2 2 2 2 2 13 3 12" xfId="3162" xr:uid="{00000000-0005-0000-0000-0000570C0000}"/>
    <cellStyle name="Comma 2 2 2 2 2 2 2 13 3 2" xfId="3163" xr:uid="{00000000-0005-0000-0000-0000580C0000}"/>
    <cellStyle name="Comma 2 2 2 2 2 2 2 13 3 3" xfId="3164" xr:uid="{00000000-0005-0000-0000-0000590C0000}"/>
    <cellStyle name="Comma 2 2 2 2 2 2 2 13 3 4" xfId="3165" xr:uid="{00000000-0005-0000-0000-00005A0C0000}"/>
    <cellStyle name="Comma 2 2 2 2 2 2 2 13 3 5" xfId="3166" xr:uid="{00000000-0005-0000-0000-00005B0C0000}"/>
    <cellStyle name="Comma 2 2 2 2 2 2 2 13 3 6" xfId="3167" xr:uid="{00000000-0005-0000-0000-00005C0C0000}"/>
    <cellStyle name="Comma 2 2 2 2 2 2 2 13 3 6 2" xfId="3168" xr:uid="{00000000-0005-0000-0000-00005D0C0000}"/>
    <cellStyle name="Comma 2 2 2 2 2 2 2 13 3 7" xfId="3169" xr:uid="{00000000-0005-0000-0000-00005E0C0000}"/>
    <cellStyle name="Comma 2 2 2 2 2 2 2 13 3 8" xfId="3170" xr:uid="{00000000-0005-0000-0000-00005F0C0000}"/>
    <cellStyle name="Comma 2 2 2 2 2 2 2 13 3 9" xfId="3171" xr:uid="{00000000-0005-0000-0000-0000600C0000}"/>
    <cellStyle name="Comma 2 2 2 2 2 2 2 13 4" xfId="3172" xr:uid="{00000000-0005-0000-0000-0000610C0000}"/>
    <cellStyle name="Comma 2 2 2 2 2 2 2 13 4 2" xfId="3173" xr:uid="{00000000-0005-0000-0000-0000620C0000}"/>
    <cellStyle name="Comma 2 2 2 2 2 2 2 13 4 3" xfId="3174" xr:uid="{00000000-0005-0000-0000-0000630C0000}"/>
    <cellStyle name="Comma 2 2 2 2 2 2 2 13 4 4" xfId="3175" xr:uid="{00000000-0005-0000-0000-0000640C0000}"/>
    <cellStyle name="Comma 2 2 2 2 2 2 2 13 4 5" xfId="3176" xr:uid="{00000000-0005-0000-0000-0000650C0000}"/>
    <cellStyle name="Comma 2 2 2 2 2 2 2 13 4 6" xfId="3177" xr:uid="{00000000-0005-0000-0000-0000660C0000}"/>
    <cellStyle name="Comma 2 2 2 2 2 2 2 13 4 7" xfId="3178" xr:uid="{00000000-0005-0000-0000-0000670C0000}"/>
    <cellStyle name="Comma 2 2 2 2 2 2 2 13 4 8" xfId="3179" xr:uid="{00000000-0005-0000-0000-0000680C0000}"/>
    <cellStyle name="Comma 2 2 2 2 2 2 2 13 5" xfId="3180" xr:uid="{00000000-0005-0000-0000-0000690C0000}"/>
    <cellStyle name="Comma 2 2 2 2 2 2 2 13 5 2" xfId="3181" xr:uid="{00000000-0005-0000-0000-00006A0C0000}"/>
    <cellStyle name="Comma 2 2 2 2 2 2 2 13 5 3" xfId="3182" xr:uid="{00000000-0005-0000-0000-00006B0C0000}"/>
    <cellStyle name="Comma 2 2 2 2 2 2 2 13 5 4" xfId="3183" xr:uid="{00000000-0005-0000-0000-00006C0C0000}"/>
    <cellStyle name="Comma 2 2 2 2 2 2 2 13 5 5" xfId="3184" xr:uid="{00000000-0005-0000-0000-00006D0C0000}"/>
    <cellStyle name="Comma 2 2 2 2 2 2 2 13 5 6" xfId="3185" xr:uid="{00000000-0005-0000-0000-00006E0C0000}"/>
    <cellStyle name="Comma 2 2 2 2 2 2 2 13 5 7" xfId="3186" xr:uid="{00000000-0005-0000-0000-00006F0C0000}"/>
    <cellStyle name="Comma 2 2 2 2 2 2 2 13 5 8" xfId="3187" xr:uid="{00000000-0005-0000-0000-0000700C0000}"/>
    <cellStyle name="Comma 2 2 2 2 2 2 2 13 6" xfId="3188" xr:uid="{00000000-0005-0000-0000-0000710C0000}"/>
    <cellStyle name="Comma 2 2 2 2 2 2 2 13 7" xfId="3189" xr:uid="{00000000-0005-0000-0000-0000720C0000}"/>
    <cellStyle name="Comma 2 2 2 2 2 2 2 13 8" xfId="3190" xr:uid="{00000000-0005-0000-0000-0000730C0000}"/>
    <cellStyle name="Comma 2 2 2 2 2 2 2 14" xfId="3191" xr:uid="{00000000-0005-0000-0000-0000740C0000}"/>
    <cellStyle name="Comma 2 2 2 2 2 2 2 14 2" xfId="3192" xr:uid="{00000000-0005-0000-0000-0000750C0000}"/>
    <cellStyle name="Comma 2 2 2 2 2 2 2 14 2 10" xfId="3193" xr:uid="{00000000-0005-0000-0000-0000760C0000}"/>
    <cellStyle name="Comma 2 2 2 2 2 2 2 14 2 11" xfId="3194" xr:uid="{00000000-0005-0000-0000-0000770C0000}"/>
    <cellStyle name="Comma 2 2 2 2 2 2 2 14 2 12" xfId="3195" xr:uid="{00000000-0005-0000-0000-0000780C0000}"/>
    <cellStyle name="Comma 2 2 2 2 2 2 2 14 2 2" xfId="3196" xr:uid="{00000000-0005-0000-0000-0000790C0000}"/>
    <cellStyle name="Comma 2 2 2 2 2 2 2 14 2 2 2" xfId="3197" xr:uid="{00000000-0005-0000-0000-00007A0C0000}"/>
    <cellStyle name="Comma 2 2 2 2 2 2 2 14 2 2 3" xfId="3198" xr:uid="{00000000-0005-0000-0000-00007B0C0000}"/>
    <cellStyle name="Comma 2 2 2 2 2 2 2 14 2 2 4" xfId="3199" xr:uid="{00000000-0005-0000-0000-00007C0C0000}"/>
    <cellStyle name="Comma 2 2 2 2 2 2 2 14 2 3" xfId="3200" xr:uid="{00000000-0005-0000-0000-00007D0C0000}"/>
    <cellStyle name="Comma 2 2 2 2 2 2 2 14 2 3 2" xfId="3201" xr:uid="{00000000-0005-0000-0000-00007E0C0000}"/>
    <cellStyle name="Comma 2 2 2 2 2 2 2 14 2 4" xfId="3202" xr:uid="{00000000-0005-0000-0000-00007F0C0000}"/>
    <cellStyle name="Comma 2 2 2 2 2 2 2 14 2 5" xfId="3203" xr:uid="{00000000-0005-0000-0000-0000800C0000}"/>
    <cellStyle name="Comma 2 2 2 2 2 2 2 14 2 6" xfId="3204" xr:uid="{00000000-0005-0000-0000-0000810C0000}"/>
    <cellStyle name="Comma 2 2 2 2 2 2 2 14 2 6 2" xfId="3205" xr:uid="{00000000-0005-0000-0000-0000820C0000}"/>
    <cellStyle name="Comma 2 2 2 2 2 2 2 14 2 7" xfId="3206" xr:uid="{00000000-0005-0000-0000-0000830C0000}"/>
    <cellStyle name="Comma 2 2 2 2 2 2 2 14 2 8" xfId="3207" xr:uid="{00000000-0005-0000-0000-0000840C0000}"/>
    <cellStyle name="Comma 2 2 2 2 2 2 2 14 2 9" xfId="3208" xr:uid="{00000000-0005-0000-0000-0000850C0000}"/>
    <cellStyle name="Comma 2 2 2 2 2 2 2 14 3" xfId="3209" xr:uid="{00000000-0005-0000-0000-0000860C0000}"/>
    <cellStyle name="Comma 2 2 2 2 2 2 2 14 3 2" xfId="3210" xr:uid="{00000000-0005-0000-0000-0000870C0000}"/>
    <cellStyle name="Comma 2 2 2 2 2 2 2 14 3 3" xfId="3211" xr:uid="{00000000-0005-0000-0000-0000880C0000}"/>
    <cellStyle name="Comma 2 2 2 2 2 2 2 14 3 4" xfId="3212" xr:uid="{00000000-0005-0000-0000-0000890C0000}"/>
    <cellStyle name="Comma 2 2 2 2 2 2 2 14 3 5" xfId="3213" xr:uid="{00000000-0005-0000-0000-00008A0C0000}"/>
    <cellStyle name="Comma 2 2 2 2 2 2 2 14 3 6" xfId="3214" xr:uid="{00000000-0005-0000-0000-00008B0C0000}"/>
    <cellStyle name="Comma 2 2 2 2 2 2 2 14 3 7" xfId="3215" xr:uid="{00000000-0005-0000-0000-00008C0C0000}"/>
    <cellStyle name="Comma 2 2 2 2 2 2 2 14 3 8" xfId="3216" xr:uid="{00000000-0005-0000-0000-00008D0C0000}"/>
    <cellStyle name="Comma 2 2 2 2 2 2 2 15" xfId="3217" xr:uid="{00000000-0005-0000-0000-00008E0C0000}"/>
    <cellStyle name="Comma 2 2 2 2 2 2 2 15 2" xfId="3218" xr:uid="{00000000-0005-0000-0000-00008F0C0000}"/>
    <cellStyle name="Comma 2 2 2 2 2 2 2 15 2 10" xfId="3219" xr:uid="{00000000-0005-0000-0000-0000900C0000}"/>
    <cellStyle name="Comma 2 2 2 2 2 2 2 15 2 11" xfId="3220" xr:uid="{00000000-0005-0000-0000-0000910C0000}"/>
    <cellStyle name="Comma 2 2 2 2 2 2 2 15 2 12" xfId="3221" xr:uid="{00000000-0005-0000-0000-0000920C0000}"/>
    <cellStyle name="Comma 2 2 2 2 2 2 2 15 2 2" xfId="3222" xr:uid="{00000000-0005-0000-0000-0000930C0000}"/>
    <cellStyle name="Comma 2 2 2 2 2 2 2 15 2 3" xfId="3223" xr:uid="{00000000-0005-0000-0000-0000940C0000}"/>
    <cellStyle name="Comma 2 2 2 2 2 2 2 15 2 4" xfId="3224" xr:uid="{00000000-0005-0000-0000-0000950C0000}"/>
    <cellStyle name="Comma 2 2 2 2 2 2 2 15 2 5" xfId="3225" xr:uid="{00000000-0005-0000-0000-0000960C0000}"/>
    <cellStyle name="Comma 2 2 2 2 2 2 2 15 2 6" xfId="3226" xr:uid="{00000000-0005-0000-0000-0000970C0000}"/>
    <cellStyle name="Comma 2 2 2 2 2 2 2 15 2 6 2" xfId="3227" xr:uid="{00000000-0005-0000-0000-0000980C0000}"/>
    <cellStyle name="Comma 2 2 2 2 2 2 2 15 2 7" xfId="3228" xr:uid="{00000000-0005-0000-0000-0000990C0000}"/>
    <cellStyle name="Comma 2 2 2 2 2 2 2 15 2 8" xfId="3229" xr:uid="{00000000-0005-0000-0000-00009A0C0000}"/>
    <cellStyle name="Comma 2 2 2 2 2 2 2 15 2 9" xfId="3230" xr:uid="{00000000-0005-0000-0000-00009B0C0000}"/>
    <cellStyle name="Comma 2 2 2 2 2 2 2 16" xfId="3231" xr:uid="{00000000-0005-0000-0000-00009C0C0000}"/>
    <cellStyle name="Comma 2 2 2 2 2 2 2 16 2" xfId="3232" xr:uid="{00000000-0005-0000-0000-00009D0C0000}"/>
    <cellStyle name="Comma 2 2 2 2 2 2 2 16 2 2" xfId="3233" xr:uid="{00000000-0005-0000-0000-00009E0C0000}"/>
    <cellStyle name="Comma 2 2 2 2 2 2 2 16 3" xfId="3234" xr:uid="{00000000-0005-0000-0000-00009F0C0000}"/>
    <cellStyle name="Comma 2 2 2 2 2 2 2 17" xfId="3235" xr:uid="{00000000-0005-0000-0000-0000A00C0000}"/>
    <cellStyle name="Comma 2 2 2 2 2 2 2 17 2" xfId="3236" xr:uid="{00000000-0005-0000-0000-0000A10C0000}"/>
    <cellStyle name="Comma 2 2 2 2 2 2 2 17 2 2" xfId="3237" xr:uid="{00000000-0005-0000-0000-0000A20C0000}"/>
    <cellStyle name="Comma 2 2 2 2 2 2 2 18" xfId="3238" xr:uid="{00000000-0005-0000-0000-0000A30C0000}"/>
    <cellStyle name="Comma 2 2 2 2 2 2 2 18 2" xfId="3239" xr:uid="{00000000-0005-0000-0000-0000A40C0000}"/>
    <cellStyle name="Comma 2 2 2 2 2 2 2 18 2 2" xfId="3240" xr:uid="{00000000-0005-0000-0000-0000A50C0000}"/>
    <cellStyle name="Comma 2 2 2 2 2 2 2 19" xfId="3241" xr:uid="{00000000-0005-0000-0000-0000A60C0000}"/>
    <cellStyle name="Comma 2 2 2 2 2 2 2 2" xfId="3242" xr:uid="{00000000-0005-0000-0000-0000A70C0000}"/>
    <cellStyle name="Comma 2 2 2 2 2 2 2 2 10" xfId="3243" xr:uid="{00000000-0005-0000-0000-0000A80C0000}"/>
    <cellStyle name="Comma 2 2 2 2 2 2 2 2 10 10" xfId="3244" xr:uid="{00000000-0005-0000-0000-0000A90C0000}"/>
    <cellStyle name="Comma 2 2 2 2 2 2 2 2 10 11" xfId="3245" xr:uid="{00000000-0005-0000-0000-0000AA0C0000}"/>
    <cellStyle name="Comma 2 2 2 2 2 2 2 2 10 12" xfId="3246" xr:uid="{00000000-0005-0000-0000-0000AB0C0000}"/>
    <cellStyle name="Comma 2 2 2 2 2 2 2 2 10 13" xfId="3247" xr:uid="{00000000-0005-0000-0000-0000AC0C0000}"/>
    <cellStyle name="Comma 2 2 2 2 2 2 2 2 10 14" xfId="3248" xr:uid="{00000000-0005-0000-0000-0000AD0C0000}"/>
    <cellStyle name="Comma 2 2 2 2 2 2 2 2 10 14 2" xfId="3249" xr:uid="{00000000-0005-0000-0000-0000AE0C0000}"/>
    <cellStyle name="Comma 2 2 2 2 2 2 2 2 10 15" xfId="3250" xr:uid="{00000000-0005-0000-0000-0000AF0C0000}"/>
    <cellStyle name="Comma 2 2 2 2 2 2 2 2 10 15 2" xfId="3251" xr:uid="{00000000-0005-0000-0000-0000B00C0000}"/>
    <cellStyle name="Comma 2 2 2 2 2 2 2 2 10 16" xfId="3252" xr:uid="{00000000-0005-0000-0000-0000B10C0000}"/>
    <cellStyle name="Comma 2 2 2 2 2 2 2 2 10 17" xfId="3253" xr:uid="{00000000-0005-0000-0000-0000B20C0000}"/>
    <cellStyle name="Comma 2 2 2 2 2 2 2 2 10 18" xfId="3254" xr:uid="{00000000-0005-0000-0000-0000B30C0000}"/>
    <cellStyle name="Comma 2 2 2 2 2 2 2 2 10 19" xfId="3255" xr:uid="{00000000-0005-0000-0000-0000B40C0000}"/>
    <cellStyle name="Comma 2 2 2 2 2 2 2 2 10 2" xfId="3256" xr:uid="{00000000-0005-0000-0000-0000B50C0000}"/>
    <cellStyle name="Comma 2 2 2 2 2 2 2 2 10 2 2" xfId="3257" xr:uid="{00000000-0005-0000-0000-0000B60C0000}"/>
    <cellStyle name="Comma 2 2 2 2 2 2 2 2 10 2 2 2" xfId="3258" xr:uid="{00000000-0005-0000-0000-0000B70C0000}"/>
    <cellStyle name="Comma 2 2 2 2 2 2 2 2 10 2 2 3" xfId="3259" xr:uid="{00000000-0005-0000-0000-0000B80C0000}"/>
    <cellStyle name="Comma 2 2 2 2 2 2 2 2 10 2 2 4" xfId="3260" xr:uid="{00000000-0005-0000-0000-0000B90C0000}"/>
    <cellStyle name="Comma 2 2 2 2 2 2 2 2 10 2 2 5" xfId="3261" xr:uid="{00000000-0005-0000-0000-0000BA0C0000}"/>
    <cellStyle name="Comma 2 2 2 2 2 2 2 2 10 2 3" xfId="3262" xr:uid="{00000000-0005-0000-0000-0000BB0C0000}"/>
    <cellStyle name="Comma 2 2 2 2 2 2 2 2 10 2 3 2" xfId="3263" xr:uid="{00000000-0005-0000-0000-0000BC0C0000}"/>
    <cellStyle name="Comma 2 2 2 2 2 2 2 2 10 2 3 3" xfId="3264" xr:uid="{00000000-0005-0000-0000-0000BD0C0000}"/>
    <cellStyle name="Comma 2 2 2 2 2 2 2 2 10 2 3 4" xfId="3265" xr:uid="{00000000-0005-0000-0000-0000BE0C0000}"/>
    <cellStyle name="Comma 2 2 2 2 2 2 2 2 10 2 4" xfId="3266" xr:uid="{00000000-0005-0000-0000-0000BF0C0000}"/>
    <cellStyle name="Comma 2 2 2 2 2 2 2 2 10 2 4 2" xfId="3267" xr:uid="{00000000-0005-0000-0000-0000C00C0000}"/>
    <cellStyle name="Comma 2 2 2 2 2 2 2 2 10 2 4 3" xfId="3268" xr:uid="{00000000-0005-0000-0000-0000C10C0000}"/>
    <cellStyle name="Comma 2 2 2 2 2 2 2 2 10 20" xfId="3269" xr:uid="{00000000-0005-0000-0000-0000C20C0000}"/>
    <cellStyle name="Comma 2 2 2 2 2 2 2 2 10 3" xfId="3270" xr:uid="{00000000-0005-0000-0000-0000C30C0000}"/>
    <cellStyle name="Comma 2 2 2 2 2 2 2 2 10 3 2" xfId="3271" xr:uid="{00000000-0005-0000-0000-0000C40C0000}"/>
    <cellStyle name="Comma 2 2 2 2 2 2 2 2 10 3 2 2" xfId="3272" xr:uid="{00000000-0005-0000-0000-0000C50C0000}"/>
    <cellStyle name="Comma 2 2 2 2 2 2 2 2 10 3 2 3" xfId="3273" xr:uid="{00000000-0005-0000-0000-0000C60C0000}"/>
    <cellStyle name="Comma 2 2 2 2 2 2 2 2 10 3 3" xfId="3274" xr:uid="{00000000-0005-0000-0000-0000C70C0000}"/>
    <cellStyle name="Comma 2 2 2 2 2 2 2 2 10 3 3 2" xfId="3275" xr:uid="{00000000-0005-0000-0000-0000C80C0000}"/>
    <cellStyle name="Comma 2 2 2 2 2 2 2 2 10 4" xfId="3276" xr:uid="{00000000-0005-0000-0000-0000C90C0000}"/>
    <cellStyle name="Comma 2 2 2 2 2 2 2 2 10 5" xfId="3277" xr:uid="{00000000-0005-0000-0000-0000CA0C0000}"/>
    <cellStyle name="Comma 2 2 2 2 2 2 2 2 10 6" xfId="3278" xr:uid="{00000000-0005-0000-0000-0000CB0C0000}"/>
    <cellStyle name="Comma 2 2 2 2 2 2 2 2 10 6 2" xfId="3279" xr:uid="{00000000-0005-0000-0000-0000CC0C0000}"/>
    <cellStyle name="Comma 2 2 2 2 2 2 2 2 10 6 3" xfId="3280" xr:uid="{00000000-0005-0000-0000-0000CD0C0000}"/>
    <cellStyle name="Comma 2 2 2 2 2 2 2 2 10 7" xfId="3281" xr:uid="{00000000-0005-0000-0000-0000CE0C0000}"/>
    <cellStyle name="Comma 2 2 2 2 2 2 2 2 10 8" xfId="3282" xr:uid="{00000000-0005-0000-0000-0000CF0C0000}"/>
    <cellStyle name="Comma 2 2 2 2 2 2 2 2 10 9" xfId="3283" xr:uid="{00000000-0005-0000-0000-0000D00C0000}"/>
    <cellStyle name="Comma 2 2 2 2 2 2 2 2 11" xfId="3284" xr:uid="{00000000-0005-0000-0000-0000D10C0000}"/>
    <cellStyle name="Comma 2 2 2 2 2 2 2 2 11 10" xfId="3285" xr:uid="{00000000-0005-0000-0000-0000D20C0000}"/>
    <cellStyle name="Comma 2 2 2 2 2 2 2 2 11 11" xfId="3286" xr:uid="{00000000-0005-0000-0000-0000D30C0000}"/>
    <cellStyle name="Comma 2 2 2 2 2 2 2 2 11 12" xfId="3287" xr:uid="{00000000-0005-0000-0000-0000D40C0000}"/>
    <cellStyle name="Comma 2 2 2 2 2 2 2 2 11 12 2" xfId="3288" xr:uid="{00000000-0005-0000-0000-0000D50C0000}"/>
    <cellStyle name="Comma 2 2 2 2 2 2 2 2 11 13" xfId="3289" xr:uid="{00000000-0005-0000-0000-0000D60C0000}"/>
    <cellStyle name="Comma 2 2 2 2 2 2 2 2 11 14" xfId="3290" xr:uid="{00000000-0005-0000-0000-0000D70C0000}"/>
    <cellStyle name="Comma 2 2 2 2 2 2 2 2 11 15" xfId="3291" xr:uid="{00000000-0005-0000-0000-0000D80C0000}"/>
    <cellStyle name="Comma 2 2 2 2 2 2 2 2 11 16" xfId="3292" xr:uid="{00000000-0005-0000-0000-0000D90C0000}"/>
    <cellStyle name="Comma 2 2 2 2 2 2 2 2 11 17" xfId="3293" xr:uid="{00000000-0005-0000-0000-0000DA0C0000}"/>
    <cellStyle name="Comma 2 2 2 2 2 2 2 2 11 18" xfId="3294" xr:uid="{00000000-0005-0000-0000-0000DB0C0000}"/>
    <cellStyle name="Comma 2 2 2 2 2 2 2 2 11 2" xfId="3295" xr:uid="{00000000-0005-0000-0000-0000DC0C0000}"/>
    <cellStyle name="Comma 2 2 2 2 2 2 2 2 11 2 2" xfId="3296" xr:uid="{00000000-0005-0000-0000-0000DD0C0000}"/>
    <cellStyle name="Comma 2 2 2 2 2 2 2 2 11 2 2 2" xfId="3297" xr:uid="{00000000-0005-0000-0000-0000DE0C0000}"/>
    <cellStyle name="Comma 2 2 2 2 2 2 2 2 11 2 2 3" xfId="3298" xr:uid="{00000000-0005-0000-0000-0000DF0C0000}"/>
    <cellStyle name="Comma 2 2 2 2 2 2 2 2 11 2 3" xfId="3299" xr:uid="{00000000-0005-0000-0000-0000E00C0000}"/>
    <cellStyle name="Comma 2 2 2 2 2 2 2 2 11 2 3 2" xfId="3300" xr:uid="{00000000-0005-0000-0000-0000E10C0000}"/>
    <cellStyle name="Comma 2 2 2 2 2 2 2 2 11 3" xfId="3301" xr:uid="{00000000-0005-0000-0000-0000E20C0000}"/>
    <cellStyle name="Comma 2 2 2 2 2 2 2 2 11 4" xfId="3302" xr:uid="{00000000-0005-0000-0000-0000E30C0000}"/>
    <cellStyle name="Comma 2 2 2 2 2 2 2 2 11 5" xfId="3303" xr:uid="{00000000-0005-0000-0000-0000E40C0000}"/>
    <cellStyle name="Comma 2 2 2 2 2 2 2 2 11 5 2" xfId="3304" xr:uid="{00000000-0005-0000-0000-0000E50C0000}"/>
    <cellStyle name="Comma 2 2 2 2 2 2 2 2 11 5 3" xfId="3305" xr:uid="{00000000-0005-0000-0000-0000E60C0000}"/>
    <cellStyle name="Comma 2 2 2 2 2 2 2 2 11 6" xfId="3306" xr:uid="{00000000-0005-0000-0000-0000E70C0000}"/>
    <cellStyle name="Comma 2 2 2 2 2 2 2 2 11 7" xfId="3307" xr:uid="{00000000-0005-0000-0000-0000E80C0000}"/>
    <cellStyle name="Comma 2 2 2 2 2 2 2 2 11 8" xfId="3308" xr:uid="{00000000-0005-0000-0000-0000E90C0000}"/>
    <cellStyle name="Comma 2 2 2 2 2 2 2 2 11 9" xfId="3309" xr:uid="{00000000-0005-0000-0000-0000EA0C0000}"/>
    <cellStyle name="Comma 2 2 2 2 2 2 2 2 12" xfId="3310" xr:uid="{00000000-0005-0000-0000-0000EB0C0000}"/>
    <cellStyle name="Comma 2 2 2 2 2 2 2 2 12 10" xfId="3311" xr:uid="{00000000-0005-0000-0000-0000EC0C0000}"/>
    <cellStyle name="Comma 2 2 2 2 2 2 2 2 12 10 2" xfId="3312" xr:uid="{00000000-0005-0000-0000-0000ED0C0000}"/>
    <cellStyle name="Comma 2 2 2 2 2 2 2 2 12 11" xfId="3313" xr:uid="{00000000-0005-0000-0000-0000EE0C0000}"/>
    <cellStyle name="Comma 2 2 2 2 2 2 2 2 12 12" xfId="3314" xr:uid="{00000000-0005-0000-0000-0000EF0C0000}"/>
    <cellStyle name="Comma 2 2 2 2 2 2 2 2 12 13" xfId="3315" xr:uid="{00000000-0005-0000-0000-0000F00C0000}"/>
    <cellStyle name="Comma 2 2 2 2 2 2 2 2 12 14" xfId="3316" xr:uid="{00000000-0005-0000-0000-0000F10C0000}"/>
    <cellStyle name="Comma 2 2 2 2 2 2 2 2 12 15" xfId="3317" xr:uid="{00000000-0005-0000-0000-0000F20C0000}"/>
    <cellStyle name="Comma 2 2 2 2 2 2 2 2 12 16" xfId="3318" xr:uid="{00000000-0005-0000-0000-0000F30C0000}"/>
    <cellStyle name="Comma 2 2 2 2 2 2 2 2 12 2" xfId="3319" xr:uid="{00000000-0005-0000-0000-0000F40C0000}"/>
    <cellStyle name="Comma 2 2 2 2 2 2 2 2 12 2 2" xfId="3320" xr:uid="{00000000-0005-0000-0000-0000F50C0000}"/>
    <cellStyle name="Comma 2 2 2 2 2 2 2 2 12 2 2 2" xfId="3321" xr:uid="{00000000-0005-0000-0000-0000F60C0000}"/>
    <cellStyle name="Comma 2 2 2 2 2 2 2 2 12 2 2 3" xfId="3322" xr:uid="{00000000-0005-0000-0000-0000F70C0000}"/>
    <cellStyle name="Comma 2 2 2 2 2 2 2 2 12 2 3" xfId="3323" xr:uid="{00000000-0005-0000-0000-0000F80C0000}"/>
    <cellStyle name="Comma 2 2 2 2 2 2 2 2 12 2 3 2" xfId="3324" xr:uid="{00000000-0005-0000-0000-0000F90C0000}"/>
    <cellStyle name="Comma 2 2 2 2 2 2 2 2 12 3" xfId="3325" xr:uid="{00000000-0005-0000-0000-0000FA0C0000}"/>
    <cellStyle name="Comma 2 2 2 2 2 2 2 2 12 4" xfId="3326" xr:uid="{00000000-0005-0000-0000-0000FB0C0000}"/>
    <cellStyle name="Comma 2 2 2 2 2 2 2 2 12 4 2" xfId="3327" xr:uid="{00000000-0005-0000-0000-0000FC0C0000}"/>
    <cellStyle name="Comma 2 2 2 2 2 2 2 2 12 4 3" xfId="3328" xr:uid="{00000000-0005-0000-0000-0000FD0C0000}"/>
    <cellStyle name="Comma 2 2 2 2 2 2 2 2 12 5" xfId="3329" xr:uid="{00000000-0005-0000-0000-0000FE0C0000}"/>
    <cellStyle name="Comma 2 2 2 2 2 2 2 2 12 6" xfId="3330" xr:uid="{00000000-0005-0000-0000-0000FF0C0000}"/>
    <cellStyle name="Comma 2 2 2 2 2 2 2 2 12 7" xfId="3331" xr:uid="{00000000-0005-0000-0000-0000000D0000}"/>
    <cellStyle name="Comma 2 2 2 2 2 2 2 2 12 8" xfId="3332" xr:uid="{00000000-0005-0000-0000-0000010D0000}"/>
    <cellStyle name="Comma 2 2 2 2 2 2 2 2 12 9" xfId="3333" xr:uid="{00000000-0005-0000-0000-0000020D0000}"/>
    <cellStyle name="Comma 2 2 2 2 2 2 2 2 13" xfId="3334" xr:uid="{00000000-0005-0000-0000-0000030D0000}"/>
    <cellStyle name="Comma 2 2 2 2 2 2 2 2 13 10" xfId="3335" xr:uid="{00000000-0005-0000-0000-0000040D0000}"/>
    <cellStyle name="Comma 2 2 2 2 2 2 2 2 13 11" xfId="3336" xr:uid="{00000000-0005-0000-0000-0000050D0000}"/>
    <cellStyle name="Comma 2 2 2 2 2 2 2 2 13 12" xfId="3337" xr:uid="{00000000-0005-0000-0000-0000060D0000}"/>
    <cellStyle name="Comma 2 2 2 2 2 2 2 2 13 13" xfId="3338" xr:uid="{00000000-0005-0000-0000-0000070D0000}"/>
    <cellStyle name="Comma 2 2 2 2 2 2 2 2 13 14" xfId="3339" xr:uid="{00000000-0005-0000-0000-0000080D0000}"/>
    <cellStyle name="Comma 2 2 2 2 2 2 2 2 13 2" xfId="3340" xr:uid="{00000000-0005-0000-0000-0000090D0000}"/>
    <cellStyle name="Comma 2 2 2 2 2 2 2 2 13 2 2" xfId="3341" xr:uid="{00000000-0005-0000-0000-00000A0D0000}"/>
    <cellStyle name="Comma 2 2 2 2 2 2 2 2 13 2 2 2" xfId="3342" xr:uid="{00000000-0005-0000-0000-00000B0D0000}"/>
    <cellStyle name="Comma 2 2 2 2 2 2 2 2 13 2 2 3" xfId="3343" xr:uid="{00000000-0005-0000-0000-00000C0D0000}"/>
    <cellStyle name="Comma 2 2 2 2 2 2 2 2 13 2 3" xfId="3344" xr:uid="{00000000-0005-0000-0000-00000D0D0000}"/>
    <cellStyle name="Comma 2 2 2 2 2 2 2 2 13 2 3 2" xfId="3345" xr:uid="{00000000-0005-0000-0000-00000E0D0000}"/>
    <cellStyle name="Comma 2 2 2 2 2 2 2 2 13 3" xfId="3346" xr:uid="{00000000-0005-0000-0000-00000F0D0000}"/>
    <cellStyle name="Comma 2 2 2 2 2 2 2 2 13 3 2" xfId="3347" xr:uid="{00000000-0005-0000-0000-0000100D0000}"/>
    <cellStyle name="Comma 2 2 2 2 2 2 2 2 13 3 3" xfId="3348" xr:uid="{00000000-0005-0000-0000-0000110D0000}"/>
    <cellStyle name="Comma 2 2 2 2 2 2 2 2 13 4" xfId="3349" xr:uid="{00000000-0005-0000-0000-0000120D0000}"/>
    <cellStyle name="Comma 2 2 2 2 2 2 2 2 13 5" xfId="3350" xr:uid="{00000000-0005-0000-0000-0000130D0000}"/>
    <cellStyle name="Comma 2 2 2 2 2 2 2 2 13 6" xfId="3351" xr:uid="{00000000-0005-0000-0000-0000140D0000}"/>
    <cellStyle name="Comma 2 2 2 2 2 2 2 2 13 7" xfId="3352" xr:uid="{00000000-0005-0000-0000-0000150D0000}"/>
    <cellStyle name="Comma 2 2 2 2 2 2 2 2 13 8" xfId="3353" xr:uid="{00000000-0005-0000-0000-0000160D0000}"/>
    <cellStyle name="Comma 2 2 2 2 2 2 2 2 13 8 2" xfId="3354" xr:uid="{00000000-0005-0000-0000-0000170D0000}"/>
    <cellStyle name="Comma 2 2 2 2 2 2 2 2 13 9" xfId="3355" xr:uid="{00000000-0005-0000-0000-0000180D0000}"/>
    <cellStyle name="Comma 2 2 2 2 2 2 2 2 14" xfId="3356" xr:uid="{00000000-0005-0000-0000-0000190D0000}"/>
    <cellStyle name="Comma 2 2 2 2 2 2 2 2 14 10" xfId="3357" xr:uid="{00000000-0005-0000-0000-00001A0D0000}"/>
    <cellStyle name="Comma 2 2 2 2 2 2 2 2 14 11" xfId="3358" xr:uid="{00000000-0005-0000-0000-00001B0D0000}"/>
    <cellStyle name="Comma 2 2 2 2 2 2 2 2 14 12" xfId="3359" xr:uid="{00000000-0005-0000-0000-00001C0D0000}"/>
    <cellStyle name="Comma 2 2 2 2 2 2 2 2 14 13" xfId="3360" xr:uid="{00000000-0005-0000-0000-00001D0D0000}"/>
    <cellStyle name="Comma 2 2 2 2 2 2 2 2 14 2" xfId="3361" xr:uid="{00000000-0005-0000-0000-00001E0D0000}"/>
    <cellStyle name="Comma 2 2 2 2 2 2 2 2 14 3" xfId="3362" xr:uid="{00000000-0005-0000-0000-00001F0D0000}"/>
    <cellStyle name="Comma 2 2 2 2 2 2 2 2 14 4" xfId="3363" xr:uid="{00000000-0005-0000-0000-0000200D0000}"/>
    <cellStyle name="Comma 2 2 2 2 2 2 2 2 14 5" xfId="3364" xr:uid="{00000000-0005-0000-0000-0000210D0000}"/>
    <cellStyle name="Comma 2 2 2 2 2 2 2 2 14 6" xfId="3365" xr:uid="{00000000-0005-0000-0000-0000220D0000}"/>
    <cellStyle name="Comma 2 2 2 2 2 2 2 2 14 7" xfId="3366" xr:uid="{00000000-0005-0000-0000-0000230D0000}"/>
    <cellStyle name="Comma 2 2 2 2 2 2 2 2 14 7 2" xfId="3367" xr:uid="{00000000-0005-0000-0000-0000240D0000}"/>
    <cellStyle name="Comma 2 2 2 2 2 2 2 2 14 8" xfId="3368" xr:uid="{00000000-0005-0000-0000-0000250D0000}"/>
    <cellStyle name="Comma 2 2 2 2 2 2 2 2 14 9" xfId="3369" xr:uid="{00000000-0005-0000-0000-0000260D0000}"/>
    <cellStyle name="Comma 2 2 2 2 2 2 2 2 15" xfId="3370" xr:uid="{00000000-0005-0000-0000-0000270D0000}"/>
    <cellStyle name="Comma 2 2 2 2 2 2 2 2 15 2" xfId="3371" xr:uid="{00000000-0005-0000-0000-0000280D0000}"/>
    <cellStyle name="Comma 2 2 2 2 2 2 2 2 15 3" xfId="3372" xr:uid="{00000000-0005-0000-0000-0000290D0000}"/>
    <cellStyle name="Comma 2 2 2 2 2 2 2 2 15 4" xfId="3373" xr:uid="{00000000-0005-0000-0000-00002A0D0000}"/>
    <cellStyle name="Comma 2 2 2 2 2 2 2 2 15 5" xfId="3374" xr:uid="{00000000-0005-0000-0000-00002B0D0000}"/>
    <cellStyle name="Comma 2 2 2 2 2 2 2 2 15 6" xfId="3375" xr:uid="{00000000-0005-0000-0000-00002C0D0000}"/>
    <cellStyle name="Comma 2 2 2 2 2 2 2 2 15 7" xfId="3376" xr:uid="{00000000-0005-0000-0000-00002D0D0000}"/>
    <cellStyle name="Comma 2 2 2 2 2 2 2 2 15 8" xfId="3377" xr:uid="{00000000-0005-0000-0000-00002E0D0000}"/>
    <cellStyle name="Comma 2 2 2 2 2 2 2 2 15 9" xfId="3378" xr:uid="{00000000-0005-0000-0000-00002F0D0000}"/>
    <cellStyle name="Comma 2 2 2 2 2 2 2 2 16" xfId="3379" xr:uid="{00000000-0005-0000-0000-0000300D0000}"/>
    <cellStyle name="Comma 2 2 2 2 2 2 2 2 16 2" xfId="3380" xr:uid="{00000000-0005-0000-0000-0000310D0000}"/>
    <cellStyle name="Comma 2 2 2 2 2 2 2 2 16 3" xfId="3381" xr:uid="{00000000-0005-0000-0000-0000320D0000}"/>
    <cellStyle name="Comma 2 2 2 2 2 2 2 2 16 4" xfId="3382" xr:uid="{00000000-0005-0000-0000-0000330D0000}"/>
    <cellStyle name="Comma 2 2 2 2 2 2 2 2 16 5" xfId="3383" xr:uid="{00000000-0005-0000-0000-0000340D0000}"/>
    <cellStyle name="Comma 2 2 2 2 2 2 2 2 16 6" xfId="3384" xr:uid="{00000000-0005-0000-0000-0000350D0000}"/>
    <cellStyle name="Comma 2 2 2 2 2 2 2 2 16 7" xfId="3385" xr:uid="{00000000-0005-0000-0000-0000360D0000}"/>
    <cellStyle name="Comma 2 2 2 2 2 2 2 2 16 8" xfId="3386" xr:uid="{00000000-0005-0000-0000-0000370D0000}"/>
    <cellStyle name="Comma 2 2 2 2 2 2 2 2 16 9" xfId="3387" xr:uid="{00000000-0005-0000-0000-0000380D0000}"/>
    <cellStyle name="Comma 2 2 2 2 2 2 2 2 17" xfId="3388" xr:uid="{00000000-0005-0000-0000-0000390D0000}"/>
    <cellStyle name="Comma 2 2 2 2 2 2 2 2 17 2" xfId="3389" xr:uid="{00000000-0005-0000-0000-00003A0D0000}"/>
    <cellStyle name="Comma 2 2 2 2 2 2 2 2 17 3" xfId="3390" xr:uid="{00000000-0005-0000-0000-00003B0D0000}"/>
    <cellStyle name="Comma 2 2 2 2 2 2 2 2 17 4" xfId="3391" xr:uid="{00000000-0005-0000-0000-00003C0D0000}"/>
    <cellStyle name="Comma 2 2 2 2 2 2 2 2 17 5" xfId="3392" xr:uid="{00000000-0005-0000-0000-00003D0D0000}"/>
    <cellStyle name="Comma 2 2 2 2 2 2 2 2 17 6" xfId="3393" xr:uid="{00000000-0005-0000-0000-00003E0D0000}"/>
    <cellStyle name="Comma 2 2 2 2 2 2 2 2 17 7" xfId="3394" xr:uid="{00000000-0005-0000-0000-00003F0D0000}"/>
    <cellStyle name="Comma 2 2 2 2 2 2 2 2 17 8" xfId="3395" xr:uid="{00000000-0005-0000-0000-0000400D0000}"/>
    <cellStyle name="Comma 2 2 2 2 2 2 2 2 17 9" xfId="3396" xr:uid="{00000000-0005-0000-0000-0000410D0000}"/>
    <cellStyle name="Comma 2 2 2 2 2 2 2 2 18" xfId="3397" xr:uid="{00000000-0005-0000-0000-0000420D0000}"/>
    <cellStyle name="Comma 2 2 2 2 2 2 2 2 18 2" xfId="3398" xr:uid="{00000000-0005-0000-0000-0000430D0000}"/>
    <cellStyle name="Comma 2 2 2 2 2 2 2 2 18 3" xfId="3399" xr:uid="{00000000-0005-0000-0000-0000440D0000}"/>
    <cellStyle name="Comma 2 2 2 2 2 2 2 2 18 4" xfId="3400" xr:uid="{00000000-0005-0000-0000-0000450D0000}"/>
    <cellStyle name="Comma 2 2 2 2 2 2 2 2 18 5" xfId="3401" xr:uid="{00000000-0005-0000-0000-0000460D0000}"/>
    <cellStyle name="Comma 2 2 2 2 2 2 2 2 18 6" xfId="3402" xr:uid="{00000000-0005-0000-0000-0000470D0000}"/>
    <cellStyle name="Comma 2 2 2 2 2 2 2 2 18 7" xfId="3403" xr:uid="{00000000-0005-0000-0000-0000480D0000}"/>
    <cellStyle name="Comma 2 2 2 2 2 2 2 2 18 8" xfId="3404" xr:uid="{00000000-0005-0000-0000-0000490D0000}"/>
    <cellStyle name="Comma 2 2 2 2 2 2 2 2 19" xfId="3405" xr:uid="{00000000-0005-0000-0000-00004A0D0000}"/>
    <cellStyle name="Comma 2 2 2 2 2 2 2 2 19 2" xfId="3406" xr:uid="{00000000-0005-0000-0000-00004B0D0000}"/>
    <cellStyle name="Comma 2 2 2 2 2 2 2 2 19 3" xfId="3407" xr:uid="{00000000-0005-0000-0000-00004C0D0000}"/>
    <cellStyle name="Comma 2 2 2 2 2 2 2 2 19 4" xfId="3408" xr:uid="{00000000-0005-0000-0000-00004D0D0000}"/>
    <cellStyle name="Comma 2 2 2 2 2 2 2 2 19 5" xfId="3409" xr:uid="{00000000-0005-0000-0000-00004E0D0000}"/>
    <cellStyle name="Comma 2 2 2 2 2 2 2 2 19 6" xfId="3410" xr:uid="{00000000-0005-0000-0000-00004F0D0000}"/>
    <cellStyle name="Comma 2 2 2 2 2 2 2 2 19 7" xfId="3411" xr:uid="{00000000-0005-0000-0000-0000500D0000}"/>
    <cellStyle name="Comma 2 2 2 2 2 2 2 2 19 8" xfId="3412" xr:uid="{00000000-0005-0000-0000-0000510D0000}"/>
    <cellStyle name="Comma 2 2 2 2 2 2 2 2 2" xfId="3413" xr:uid="{00000000-0005-0000-0000-0000520D0000}"/>
    <cellStyle name="Comma 2 2 2 2 2 2 2 2 2 10" xfId="3414" xr:uid="{00000000-0005-0000-0000-0000530D0000}"/>
    <cellStyle name="Comma 2 2 2 2 2 2 2 2 2 10 2" xfId="3415" xr:uid="{00000000-0005-0000-0000-0000540D0000}"/>
    <cellStyle name="Comma 2 2 2 2 2 2 2 2 2 10 2 10" xfId="3416" xr:uid="{00000000-0005-0000-0000-0000550D0000}"/>
    <cellStyle name="Comma 2 2 2 2 2 2 2 2 2 10 2 11" xfId="3417" xr:uid="{00000000-0005-0000-0000-0000560D0000}"/>
    <cellStyle name="Comma 2 2 2 2 2 2 2 2 2 10 2 12" xfId="3418" xr:uid="{00000000-0005-0000-0000-0000570D0000}"/>
    <cellStyle name="Comma 2 2 2 2 2 2 2 2 2 10 2 2" xfId="3419" xr:uid="{00000000-0005-0000-0000-0000580D0000}"/>
    <cellStyle name="Comma 2 2 2 2 2 2 2 2 2 10 2 2 2" xfId="3420" xr:uid="{00000000-0005-0000-0000-0000590D0000}"/>
    <cellStyle name="Comma 2 2 2 2 2 2 2 2 2 10 2 2 2 2" xfId="3421" xr:uid="{00000000-0005-0000-0000-00005A0D0000}"/>
    <cellStyle name="Comma 2 2 2 2 2 2 2 2 2 10 2 2 3" xfId="3422" xr:uid="{00000000-0005-0000-0000-00005B0D0000}"/>
    <cellStyle name="Comma 2 2 2 2 2 2 2 2 2 10 2 2 3 2" xfId="3423" xr:uid="{00000000-0005-0000-0000-00005C0D0000}"/>
    <cellStyle name="Comma 2 2 2 2 2 2 2 2 2 10 2 2 4" xfId="3424" xr:uid="{00000000-0005-0000-0000-00005D0D0000}"/>
    <cellStyle name="Comma 2 2 2 2 2 2 2 2 2 10 2 2 4 2" xfId="3425" xr:uid="{00000000-0005-0000-0000-00005E0D0000}"/>
    <cellStyle name="Comma 2 2 2 2 2 2 2 2 2 10 2 2 5" xfId="3426" xr:uid="{00000000-0005-0000-0000-00005F0D0000}"/>
    <cellStyle name="Comma 2 2 2 2 2 2 2 2 2 10 2 3" xfId="3427" xr:uid="{00000000-0005-0000-0000-0000600D0000}"/>
    <cellStyle name="Comma 2 2 2 2 2 2 2 2 2 10 2 3 2" xfId="3428" xr:uid="{00000000-0005-0000-0000-0000610D0000}"/>
    <cellStyle name="Comma 2 2 2 2 2 2 2 2 2 10 2 3 3" xfId="3429" xr:uid="{00000000-0005-0000-0000-0000620D0000}"/>
    <cellStyle name="Comma 2 2 2 2 2 2 2 2 2 10 2 4" xfId="3430" xr:uid="{00000000-0005-0000-0000-0000630D0000}"/>
    <cellStyle name="Comma 2 2 2 2 2 2 2 2 2 10 2 4 2" xfId="3431" xr:uid="{00000000-0005-0000-0000-0000640D0000}"/>
    <cellStyle name="Comma 2 2 2 2 2 2 2 2 2 10 2 5" xfId="3432" xr:uid="{00000000-0005-0000-0000-0000650D0000}"/>
    <cellStyle name="Comma 2 2 2 2 2 2 2 2 2 10 2 6" xfId="3433" xr:uid="{00000000-0005-0000-0000-0000660D0000}"/>
    <cellStyle name="Comma 2 2 2 2 2 2 2 2 2 10 2 6 2" xfId="3434" xr:uid="{00000000-0005-0000-0000-0000670D0000}"/>
    <cellStyle name="Comma 2 2 2 2 2 2 2 2 2 10 2 7" xfId="3435" xr:uid="{00000000-0005-0000-0000-0000680D0000}"/>
    <cellStyle name="Comma 2 2 2 2 2 2 2 2 2 10 2 8" xfId="3436" xr:uid="{00000000-0005-0000-0000-0000690D0000}"/>
    <cellStyle name="Comma 2 2 2 2 2 2 2 2 2 10 2 9" xfId="3437" xr:uid="{00000000-0005-0000-0000-00006A0D0000}"/>
    <cellStyle name="Comma 2 2 2 2 2 2 2 2 2 10 3" xfId="3438" xr:uid="{00000000-0005-0000-0000-00006B0D0000}"/>
    <cellStyle name="Comma 2 2 2 2 2 2 2 2 2 10 3 10" xfId="3439" xr:uid="{00000000-0005-0000-0000-00006C0D0000}"/>
    <cellStyle name="Comma 2 2 2 2 2 2 2 2 2 10 3 11" xfId="3440" xr:uid="{00000000-0005-0000-0000-00006D0D0000}"/>
    <cellStyle name="Comma 2 2 2 2 2 2 2 2 2 10 3 12" xfId="3441" xr:uid="{00000000-0005-0000-0000-00006E0D0000}"/>
    <cellStyle name="Comma 2 2 2 2 2 2 2 2 2 10 3 2" xfId="3442" xr:uid="{00000000-0005-0000-0000-00006F0D0000}"/>
    <cellStyle name="Comma 2 2 2 2 2 2 2 2 2 10 3 2 2" xfId="3443" xr:uid="{00000000-0005-0000-0000-0000700D0000}"/>
    <cellStyle name="Comma 2 2 2 2 2 2 2 2 2 10 3 2 3" xfId="3444" xr:uid="{00000000-0005-0000-0000-0000710D0000}"/>
    <cellStyle name="Comma 2 2 2 2 2 2 2 2 2 10 3 2 4" xfId="3445" xr:uid="{00000000-0005-0000-0000-0000720D0000}"/>
    <cellStyle name="Comma 2 2 2 2 2 2 2 2 2 10 3 3" xfId="3446" xr:uid="{00000000-0005-0000-0000-0000730D0000}"/>
    <cellStyle name="Comma 2 2 2 2 2 2 2 2 2 10 3 3 2" xfId="3447" xr:uid="{00000000-0005-0000-0000-0000740D0000}"/>
    <cellStyle name="Comma 2 2 2 2 2 2 2 2 2 10 3 4" xfId="3448" xr:uid="{00000000-0005-0000-0000-0000750D0000}"/>
    <cellStyle name="Comma 2 2 2 2 2 2 2 2 2 10 3 5" xfId="3449" xr:uid="{00000000-0005-0000-0000-0000760D0000}"/>
    <cellStyle name="Comma 2 2 2 2 2 2 2 2 2 10 3 6" xfId="3450" xr:uid="{00000000-0005-0000-0000-0000770D0000}"/>
    <cellStyle name="Comma 2 2 2 2 2 2 2 2 2 10 3 6 2" xfId="3451" xr:uid="{00000000-0005-0000-0000-0000780D0000}"/>
    <cellStyle name="Comma 2 2 2 2 2 2 2 2 2 10 3 7" xfId="3452" xr:uid="{00000000-0005-0000-0000-0000790D0000}"/>
    <cellStyle name="Comma 2 2 2 2 2 2 2 2 2 10 3 8" xfId="3453" xr:uid="{00000000-0005-0000-0000-00007A0D0000}"/>
    <cellStyle name="Comma 2 2 2 2 2 2 2 2 2 10 3 9" xfId="3454" xr:uid="{00000000-0005-0000-0000-00007B0D0000}"/>
    <cellStyle name="Comma 2 2 2 2 2 2 2 2 2 10 4" xfId="3455" xr:uid="{00000000-0005-0000-0000-00007C0D0000}"/>
    <cellStyle name="Comma 2 2 2 2 2 2 2 2 2 10 4 10" xfId="3456" xr:uid="{00000000-0005-0000-0000-00007D0D0000}"/>
    <cellStyle name="Comma 2 2 2 2 2 2 2 2 2 10 4 11" xfId="3457" xr:uid="{00000000-0005-0000-0000-00007E0D0000}"/>
    <cellStyle name="Comma 2 2 2 2 2 2 2 2 2 10 4 12" xfId="3458" xr:uid="{00000000-0005-0000-0000-00007F0D0000}"/>
    <cellStyle name="Comma 2 2 2 2 2 2 2 2 2 10 4 2" xfId="3459" xr:uid="{00000000-0005-0000-0000-0000800D0000}"/>
    <cellStyle name="Comma 2 2 2 2 2 2 2 2 2 10 4 3" xfId="3460" xr:uid="{00000000-0005-0000-0000-0000810D0000}"/>
    <cellStyle name="Comma 2 2 2 2 2 2 2 2 2 10 4 4" xfId="3461" xr:uid="{00000000-0005-0000-0000-0000820D0000}"/>
    <cellStyle name="Comma 2 2 2 2 2 2 2 2 2 10 4 5" xfId="3462" xr:uid="{00000000-0005-0000-0000-0000830D0000}"/>
    <cellStyle name="Comma 2 2 2 2 2 2 2 2 2 10 4 6" xfId="3463" xr:uid="{00000000-0005-0000-0000-0000840D0000}"/>
    <cellStyle name="Comma 2 2 2 2 2 2 2 2 2 10 4 6 2" xfId="3464" xr:uid="{00000000-0005-0000-0000-0000850D0000}"/>
    <cellStyle name="Comma 2 2 2 2 2 2 2 2 2 10 4 7" xfId="3465" xr:uid="{00000000-0005-0000-0000-0000860D0000}"/>
    <cellStyle name="Comma 2 2 2 2 2 2 2 2 2 10 4 8" xfId="3466" xr:uid="{00000000-0005-0000-0000-0000870D0000}"/>
    <cellStyle name="Comma 2 2 2 2 2 2 2 2 2 10 4 9" xfId="3467" xr:uid="{00000000-0005-0000-0000-0000880D0000}"/>
    <cellStyle name="Comma 2 2 2 2 2 2 2 2 2 10 5" xfId="3468" xr:uid="{00000000-0005-0000-0000-0000890D0000}"/>
    <cellStyle name="Comma 2 2 2 2 2 2 2 2 2 10 5 10" xfId="3469" xr:uid="{00000000-0005-0000-0000-00008A0D0000}"/>
    <cellStyle name="Comma 2 2 2 2 2 2 2 2 2 10 5 11" xfId="3470" xr:uid="{00000000-0005-0000-0000-00008B0D0000}"/>
    <cellStyle name="Comma 2 2 2 2 2 2 2 2 2 10 5 12" xfId="3471" xr:uid="{00000000-0005-0000-0000-00008C0D0000}"/>
    <cellStyle name="Comma 2 2 2 2 2 2 2 2 2 10 5 2" xfId="3472" xr:uid="{00000000-0005-0000-0000-00008D0D0000}"/>
    <cellStyle name="Comma 2 2 2 2 2 2 2 2 2 10 5 3" xfId="3473" xr:uid="{00000000-0005-0000-0000-00008E0D0000}"/>
    <cellStyle name="Comma 2 2 2 2 2 2 2 2 2 10 5 4" xfId="3474" xr:uid="{00000000-0005-0000-0000-00008F0D0000}"/>
    <cellStyle name="Comma 2 2 2 2 2 2 2 2 2 10 5 5" xfId="3475" xr:uid="{00000000-0005-0000-0000-0000900D0000}"/>
    <cellStyle name="Comma 2 2 2 2 2 2 2 2 2 10 5 6" xfId="3476" xr:uid="{00000000-0005-0000-0000-0000910D0000}"/>
    <cellStyle name="Comma 2 2 2 2 2 2 2 2 2 10 5 6 2" xfId="3477" xr:uid="{00000000-0005-0000-0000-0000920D0000}"/>
    <cellStyle name="Comma 2 2 2 2 2 2 2 2 2 10 5 7" xfId="3478" xr:uid="{00000000-0005-0000-0000-0000930D0000}"/>
    <cellStyle name="Comma 2 2 2 2 2 2 2 2 2 10 5 8" xfId="3479" xr:uid="{00000000-0005-0000-0000-0000940D0000}"/>
    <cellStyle name="Comma 2 2 2 2 2 2 2 2 2 10 5 9" xfId="3480" xr:uid="{00000000-0005-0000-0000-0000950D0000}"/>
    <cellStyle name="Comma 2 2 2 2 2 2 2 2 2 10 6" xfId="3481" xr:uid="{00000000-0005-0000-0000-0000960D0000}"/>
    <cellStyle name="Comma 2 2 2 2 2 2 2 2 2 10 6 2" xfId="3482" xr:uid="{00000000-0005-0000-0000-0000970D0000}"/>
    <cellStyle name="Comma 2 2 2 2 2 2 2 2 2 10 6 3" xfId="3483" xr:uid="{00000000-0005-0000-0000-0000980D0000}"/>
    <cellStyle name="Comma 2 2 2 2 2 2 2 2 2 10 6 4" xfId="3484" xr:uid="{00000000-0005-0000-0000-0000990D0000}"/>
    <cellStyle name="Comma 2 2 2 2 2 2 2 2 2 10 6 5" xfId="3485" xr:uid="{00000000-0005-0000-0000-00009A0D0000}"/>
    <cellStyle name="Comma 2 2 2 2 2 2 2 2 2 10 6 6" xfId="3486" xr:uid="{00000000-0005-0000-0000-00009B0D0000}"/>
    <cellStyle name="Comma 2 2 2 2 2 2 2 2 2 10 6 7" xfId="3487" xr:uid="{00000000-0005-0000-0000-00009C0D0000}"/>
    <cellStyle name="Comma 2 2 2 2 2 2 2 2 2 10 6 8" xfId="3488" xr:uid="{00000000-0005-0000-0000-00009D0D0000}"/>
    <cellStyle name="Comma 2 2 2 2 2 2 2 2 2 10 7" xfId="3489" xr:uid="{00000000-0005-0000-0000-00009E0D0000}"/>
    <cellStyle name="Comma 2 2 2 2 2 2 2 2 2 10 7 2" xfId="3490" xr:uid="{00000000-0005-0000-0000-00009F0D0000}"/>
    <cellStyle name="Comma 2 2 2 2 2 2 2 2 2 10 7 3" xfId="3491" xr:uid="{00000000-0005-0000-0000-0000A00D0000}"/>
    <cellStyle name="Comma 2 2 2 2 2 2 2 2 2 10 7 4" xfId="3492" xr:uid="{00000000-0005-0000-0000-0000A10D0000}"/>
    <cellStyle name="Comma 2 2 2 2 2 2 2 2 2 10 7 5" xfId="3493" xr:uid="{00000000-0005-0000-0000-0000A20D0000}"/>
    <cellStyle name="Comma 2 2 2 2 2 2 2 2 2 10 7 6" xfId="3494" xr:uid="{00000000-0005-0000-0000-0000A30D0000}"/>
    <cellStyle name="Comma 2 2 2 2 2 2 2 2 2 10 7 7" xfId="3495" xr:uid="{00000000-0005-0000-0000-0000A40D0000}"/>
    <cellStyle name="Comma 2 2 2 2 2 2 2 2 2 10 7 8" xfId="3496" xr:uid="{00000000-0005-0000-0000-0000A50D0000}"/>
    <cellStyle name="Comma 2 2 2 2 2 2 2 2 2 10 8" xfId="3497" xr:uid="{00000000-0005-0000-0000-0000A60D0000}"/>
    <cellStyle name="Comma 2 2 2 2 2 2 2 2 2 10 8 2" xfId="3498" xr:uid="{00000000-0005-0000-0000-0000A70D0000}"/>
    <cellStyle name="Comma 2 2 2 2 2 2 2 2 2 10 8 3" xfId="3499" xr:uid="{00000000-0005-0000-0000-0000A80D0000}"/>
    <cellStyle name="Comma 2 2 2 2 2 2 2 2 2 10 8 4" xfId="3500" xr:uid="{00000000-0005-0000-0000-0000A90D0000}"/>
    <cellStyle name="Comma 2 2 2 2 2 2 2 2 2 10 8 5" xfId="3501" xr:uid="{00000000-0005-0000-0000-0000AA0D0000}"/>
    <cellStyle name="Comma 2 2 2 2 2 2 2 2 2 10 8 6" xfId="3502" xr:uid="{00000000-0005-0000-0000-0000AB0D0000}"/>
    <cellStyle name="Comma 2 2 2 2 2 2 2 2 2 10 8 7" xfId="3503" xr:uid="{00000000-0005-0000-0000-0000AC0D0000}"/>
    <cellStyle name="Comma 2 2 2 2 2 2 2 2 2 10 8 8" xfId="3504" xr:uid="{00000000-0005-0000-0000-0000AD0D0000}"/>
    <cellStyle name="Comma 2 2 2 2 2 2 2 2 2 10 9" xfId="3505" xr:uid="{00000000-0005-0000-0000-0000AE0D0000}"/>
    <cellStyle name="Comma 2 2 2 2 2 2 2 2 2 10 9 2" xfId="3506" xr:uid="{00000000-0005-0000-0000-0000AF0D0000}"/>
    <cellStyle name="Comma 2 2 2 2 2 2 2 2 2 10 9 3" xfId="3507" xr:uid="{00000000-0005-0000-0000-0000B00D0000}"/>
    <cellStyle name="Comma 2 2 2 2 2 2 2 2 2 10 9 4" xfId="3508" xr:uid="{00000000-0005-0000-0000-0000B10D0000}"/>
    <cellStyle name="Comma 2 2 2 2 2 2 2 2 2 10 9 5" xfId="3509" xr:uid="{00000000-0005-0000-0000-0000B20D0000}"/>
    <cellStyle name="Comma 2 2 2 2 2 2 2 2 2 10 9 6" xfId="3510" xr:uid="{00000000-0005-0000-0000-0000B30D0000}"/>
    <cellStyle name="Comma 2 2 2 2 2 2 2 2 2 10 9 7" xfId="3511" xr:uid="{00000000-0005-0000-0000-0000B40D0000}"/>
    <cellStyle name="Comma 2 2 2 2 2 2 2 2 2 10 9 8" xfId="3512" xr:uid="{00000000-0005-0000-0000-0000B50D0000}"/>
    <cellStyle name="Comma 2 2 2 2 2 2 2 2 2 11" xfId="3513" xr:uid="{00000000-0005-0000-0000-0000B60D0000}"/>
    <cellStyle name="Comma 2 2 2 2 2 2 2 2 2 11 2" xfId="3514" xr:uid="{00000000-0005-0000-0000-0000B70D0000}"/>
    <cellStyle name="Comma 2 2 2 2 2 2 2 2 2 11 2 10" xfId="3515" xr:uid="{00000000-0005-0000-0000-0000B80D0000}"/>
    <cellStyle name="Comma 2 2 2 2 2 2 2 2 2 11 2 11" xfId="3516" xr:uid="{00000000-0005-0000-0000-0000B90D0000}"/>
    <cellStyle name="Comma 2 2 2 2 2 2 2 2 2 11 2 12" xfId="3517" xr:uid="{00000000-0005-0000-0000-0000BA0D0000}"/>
    <cellStyle name="Comma 2 2 2 2 2 2 2 2 2 11 2 2" xfId="3518" xr:uid="{00000000-0005-0000-0000-0000BB0D0000}"/>
    <cellStyle name="Comma 2 2 2 2 2 2 2 2 2 11 2 2 2" xfId="3519" xr:uid="{00000000-0005-0000-0000-0000BC0D0000}"/>
    <cellStyle name="Comma 2 2 2 2 2 2 2 2 2 11 2 2 3" xfId="3520" xr:uid="{00000000-0005-0000-0000-0000BD0D0000}"/>
    <cellStyle name="Comma 2 2 2 2 2 2 2 2 2 11 2 2 4" xfId="3521" xr:uid="{00000000-0005-0000-0000-0000BE0D0000}"/>
    <cellStyle name="Comma 2 2 2 2 2 2 2 2 2 11 2 3" xfId="3522" xr:uid="{00000000-0005-0000-0000-0000BF0D0000}"/>
    <cellStyle name="Comma 2 2 2 2 2 2 2 2 2 11 2 3 2" xfId="3523" xr:uid="{00000000-0005-0000-0000-0000C00D0000}"/>
    <cellStyle name="Comma 2 2 2 2 2 2 2 2 2 11 2 4" xfId="3524" xr:uid="{00000000-0005-0000-0000-0000C10D0000}"/>
    <cellStyle name="Comma 2 2 2 2 2 2 2 2 2 11 2 5" xfId="3525" xr:uid="{00000000-0005-0000-0000-0000C20D0000}"/>
    <cellStyle name="Comma 2 2 2 2 2 2 2 2 2 11 2 6" xfId="3526" xr:uid="{00000000-0005-0000-0000-0000C30D0000}"/>
    <cellStyle name="Comma 2 2 2 2 2 2 2 2 2 11 2 6 2" xfId="3527" xr:uid="{00000000-0005-0000-0000-0000C40D0000}"/>
    <cellStyle name="Comma 2 2 2 2 2 2 2 2 2 11 2 7" xfId="3528" xr:uid="{00000000-0005-0000-0000-0000C50D0000}"/>
    <cellStyle name="Comma 2 2 2 2 2 2 2 2 2 11 2 8" xfId="3529" xr:uid="{00000000-0005-0000-0000-0000C60D0000}"/>
    <cellStyle name="Comma 2 2 2 2 2 2 2 2 2 11 2 9" xfId="3530" xr:uid="{00000000-0005-0000-0000-0000C70D0000}"/>
    <cellStyle name="Comma 2 2 2 2 2 2 2 2 2 11 3" xfId="3531" xr:uid="{00000000-0005-0000-0000-0000C80D0000}"/>
    <cellStyle name="Comma 2 2 2 2 2 2 2 2 2 11 3 10" xfId="3532" xr:uid="{00000000-0005-0000-0000-0000C90D0000}"/>
    <cellStyle name="Comma 2 2 2 2 2 2 2 2 2 11 3 11" xfId="3533" xr:uid="{00000000-0005-0000-0000-0000CA0D0000}"/>
    <cellStyle name="Comma 2 2 2 2 2 2 2 2 2 11 3 12" xfId="3534" xr:uid="{00000000-0005-0000-0000-0000CB0D0000}"/>
    <cellStyle name="Comma 2 2 2 2 2 2 2 2 2 11 3 2" xfId="3535" xr:uid="{00000000-0005-0000-0000-0000CC0D0000}"/>
    <cellStyle name="Comma 2 2 2 2 2 2 2 2 2 11 3 3" xfId="3536" xr:uid="{00000000-0005-0000-0000-0000CD0D0000}"/>
    <cellStyle name="Comma 2 2 2 2 2 2 2 2 2 11 3 4" xfId="3537" xr:uid="{00000000-0005-0000-0000-0000CE0D0000}"/>
    <cellStyle name="Comma 2 2 2 2 2 2 2 2 2 11 3 5" xfId="3538" xr:uid="{00000000-0005-0000-0000-0000CF0D0000}"/>
    <cellStyle name="Comma 2 2 2 2 2 2 2 2 2 11 3 6" xfId="3539" xr:uid="{00000000-0005-0000-0000-0000D00D0000}"/>
    <cellStyle name="Comma 2 2 2 2 2 2 2 2 2 11 3 6 2" xfId="3540" xr:uid="{00000000-0005-0000-0000-0000D10D0000}"/>
    <cellStyle name="Comma 2 2 2 2 2 2 2 2 2 11 3 7" xfId="3541" xr:uid="{00000000-0005-0000-0000-0000D20D0000}"/>
    <cellStyle name="Comma 2 2 2 2 2 2 2 2 2 11 3 8" xfId="3542" xr:uid="{00000000-0005-0000-0000-0000D30D0000}"/>
    <cellStyle name="Comma 2 2 2 2 2 2 2 2 2 11 3 9" xfId="3543" xr:uid="{00000000-0005-0000-0000-0000D40D0000}"/>
    <cellStyle name="Comma 2 2 2 2 2 2 2 2 2 11 4" xfId="3544" xr:uid="{00000000-0005-0000-0000-0000D50D0000}"/>
    <cellStyle name="Comma 2 2 2 2 2 2 2 2 2 11 4 10" xfId="3545" xr:uid="{00000000-0005-0000-0000-0000D60D0000}"/>
    <cellStyle name="Comma 2 2 2 2 2 2 2 2 2 11 4 11" xfId="3546" xr:uid="{00000000-0005-0000-0000-0000D70D0000}"/>
    <cellStyle name="Comma 2 2 2 2 2 2 2 2 2 11 4 12" xfId="3547" xr:uid="{00000000-0005-0000-0000-0000D80D0000}"/>
    <cellStyle name="Comma 2 2 2 2 2 2 2 2 2 11 4 2" xfId="3548" xr:uid="{00000000-0005-0000-0000-0000D90D0000}"/>
    <cellStyle name="Comma 2 2 2 2 2 2 2 2 2 11 4 3" xfId="3549" xr:uid="{00000000-0005-0000-0000-0000DA0D0000}"/>
    <cellStyle name="Comma 2 2 2 2 2 2 2 2 2 11 4 4" xfId="3550" xr:uid="{00000000-0005-0000-0000-0000DB0D0000}"/>
    <cellStyle name="Comma 2 2 2 2 2 2 2 2 2 11 4 5" xfId="3551" xr:uid="{00000000-0005-0000-0000-0000DC0D0000}"/>
    <cellStyle name="Comma 2 2 2 2 2 2 2 2 2 11 4 6" xfId="3552" xr:uid="{00000000-0005-0000-0000-0000DD0D0000}"/>
    <cellStyle name="Comma 2 2 2 2 2 2 2 2 2 11 4 6 2" xfId="3553" xr:uid="{00000000-0005-0000-0000-0000DE0D0000}"/>
    <cellStyle name="Comma 2 2 2 2 2 2 2 2 2 11 4 7" xfId="3554" xr:uid="{00000000-0005-0000-0000-0000DF0D0000}"/>
    <cellStyle name="Comma 2 2 2 2 2 2 2 2 2 11 4 8" xfId="3555" xr:uid="{00000000-0005-0000-0000-0000E00D0000}"/>
    <cellStyle name="Comma 2 2 2 2 2 2 2 2 2 11 4 9" xfId="3556" xr:uid="{00000000-0005-0000-0000-0000E10D0000}"/>
    <cellStyle name="Comma 2 2 2 2 2 2 2 2 2 11 5" xfId="3557" xr:uid="{00000000-0005-0000-0000-0000E20D0000}"/>
    <cellStyle name="Comma 2 2 2 2 2 2 2 2 2 11 5 2" xfId="3558" xr:uid="{00000000-0005-0000-0000-0000E30D0000}"/>
    <cellStyle name="Comma 2 2 2 2 2 2 2 2 2 11 5 3" xfId="3559" xr:uid="{00000000-0005-0000-0000-0000E40D0000}"/>
    <cellStyle name="Comma 2 2 2 2 2 2 2 2 2 11 5 4" xfId="3560" xr:uid="{00000000-0005-0000-0000-0000E50D0000}"/>
    <cellStyle name="Comma 2 2 2 2 2 2 2 2 2 11 5 5" xfId="3561" xr:uid="{00000000-0005-0000-0000-0000E60D0000}"/>
    <cellStyle name="Comma 2 2 2 2 2 2 2 2 2 11 5 6" xfId="3562" xr:uid="{00000000-0005-0000-0000-0000E70D0000}"/>
    <cellStyle name="Comma 2 2 2 2 2 2 2 2 2 11 5 7" xfId="3563" xr:uid="{00000000-0005-0000-0000-0000E80D0000}"/>
    <cellStyle name="Comma 2 2 2 2 2 2 2 2 2 11 5 8" xfId="3564" xr:uid="{00000000-0005-0000-0000-0000E90D0000}"/>
    <cellStyle name="Comma 2 2 2 2 2 2 2 2 2 11 6" xfId="3565" xr:uid="{00000000-0005-0000-0000-0000EA0D0000}"/>
    <cellStyle name="Comma 2 2 2 2 2 2 2 2 2 11 6 2" xfId="3566" xr:uid="{00000000-0005-0000-0000-0000EB0D0000}"/>
    <cellStyle name="Comma 2 2 2 2 2 2 2 2 2 11 6 3" xfId="3567" xr:uid="{00000000-0005-0000-0000-0000EC0D0000}"/>
    <cellStyle name="Comma 2 2 2 2 2 2 2 2 2 11 6 4" xfId="3568" xr:uid="{00000000-0005-0000-0000-0000ED0D0000}"/>
    <cellStyle name="Comma 2 2 2 2 2 2 2 2 2 11 6 5" xfId="3569" xr:uid="{00000000-0005-0000-0000-0000EE0D0000}"/>
    <cellStyle name="Comma 2 2 2 2 2 2 2 2 2 11 6 6" xfId="3570" xr:uid="{00000000-0005-0000-0000-0000EF0D0000}"/>
    <cellStyle name="Comma 2 2 2 2 2 2 2 2 2 11 6 7" xfId="3571" xr:uid="{00000000-0005-0000-0000-0000F00D0000}"/>
    <cellStyle name="Comma 2 2 2 2 2 2 2 2 2 11 6 8" xfId="3572" xr:uid="{00000000-0005-0000-0000-0000F10D0000}"/>
    <cellStyle name="Comma 2 2 2 2 2 2 2 2 2 11 7" xfId="3573" xr:uid="{00000000-0005-0000-0000-0000F20D0000}"/>
    <cellStyle name="Comma 2 2 2 2 2 2 2 2 2 11 7 2" xfId="3574" xr:uid="{00000000-0005-0000-0000-0000F30D0000}"/>
    <cellStyle name="Comma 2 2 2 2 2 2 2 2 2 11 7 3" xfId="3575" xr:uid="{00000000-0005-0000-0000-0000F40D0000}"/>
    <cellStyle name="Comma 2 2 2 2 2 2 2 2 2 11 7 4" xfId="3576" xr:uid="{00000000-0005-0000-0000-0000F50D0000}"/>
    <cellStyle name="Comma 2 2 2 2 2 2 2 2 2 11 7 5" xfId="3577" xr:uid="{00000000-0005-0000-0000-0000F60D0000}"/>
    <cellStyle name="Comma 2 2 2 2 2 2 2 2 2 11 7 6" xfId="3578" xr:uid="{00000000-0005-0000-0000-0000F70D0000}"/>
    <cellStyle name="Comma 2 2 2 2 2 2 2 2 2 11 7 7" xfId="3579" xr:uid="{00000000-0005-0000-0000-0000F80D0000}"/>
    <cellStyle name="Comma 2 2 2 2 2 2 2 2 2 11 7 8" xfId="3580" xr:uid="{00000000-0005-0000-0000-0000F90D0000}"/>
    <cellStyle name="Comma 2 2 2 2 2 2 2 2 2 11 8" xfId="3581" xr:uid="{00000000-0005-0000-0000-0000FA0D0000}"/>
    <cellStyle name="Comma 2 2 2 2 2 2 2 2 2 12" xfId="3582" xr:uid="{00000000-0005-0000-0000-0000FB0D0000}"/>
    <cellStyle name="Comma 2 2 2 2 2 2 2 2 2 12 2" xfId="3583" xr:uid="{00000000-0005-0000-0000-0000FC0D0000}"/>
    <cellStyle name="Comma 2 2 2 2 2 2 2 2 2 12 2 10" xfId="3584" xr:uid="{00000000-0005-0000-0000-0000FD0D0000}"/>
    <cellStyle name="Comma 2 2 2 2 2 2 2 2 2 12 2 11" xfId="3585" xr:uid="{00000000-0005-0000-0000-0000FE0D0000}"/>
    <cellStyle name="Comma 2 2 2 2 2 2 2 2 2 12 2 12" xfId="3586" xr:uid="{00000000-0005-0000-0000-0000FF0D0000}"/>
    <cellStyle name="Comma 2 2 2 2 2 2 2 2 2 12 2 13" xfId="3587" xr:uid="{00000000-0005-0000-0000-0000000E0000}"/>
    <cellStyle name="Comma 2 2 2 2 2 2 2 2 2 12 2 2" xfId="3588" xr:uid="{00000000-0005-0000-0000-0000010E0000}"/>
    <cellStyle name="Comma 2 2 2 2 2 2 2 2 2 12 2 2 2" xfId="3589" xr:uid="{00000000-0005-0000-0000-0000020E0000}"/>
    <cellStyle name="Comma 2 2 2 2 2 2 2 2 2 12 2 2 3" xfId="3590" xr:uid="{00000000-0005-0000-0000-0000030E0000}"/>
    <cellStyle name="Comma 2 2 2 2 2 2 2 2 2 12 2 2 4" xfId="3591" xr:uid="{00000000-0005-0000-0000-0000040E0000}"/>
    <cellStyle name="Comma 2 2 2 2 2 2 2 2 2 12 2 3" xfId="3592" xr:uid="{00000000-0005-0000-0000-0000050E0000}"/>
    <cellStyle name="Comma 2 2 2 2 2 2 2 2 2 12 2 3 2" xfId="3593" xr:uid="{00000000-0005-0000-0000-0000060E0000}"/>
    <cellStyle name="Comma 2 2 2 2 2 2 2 2 2 12 2 4" xfId="3594" xr:uid="{00000000-0005-0000-0000-0000070E0000}"/>
    <cellStyle name="Comma 2 2 2 2 2 2 2 2 2 12 2 5" xfId="3595" xr:uid="{00000000-0005-0000-0000-0000080E0000}"/>
    <cellStyle name="Comma 2 2 2 2 2 2 2 2 2 12 2 6" xfId="3596" xr:uid="{00000000-0005-0000-0000-0000090E0000}"/>
    <cellStyle name="Comma 2 2 2 2 2 2 2 2 2 12 2 6 2" xfId="3597" xr:uid="{00000000-0005-0000-0000-00000A0E0000}"/>
    <cellStyle name="Comma 2 2 2 2 2 2 2 2 2 12 2 7" xfId="3598" xr:uid="{00000000-0005-0000-0000-00000B0E0000}"/>
    <cellStyle name="Comma 2 2 2 2 2 2 2 2 2 12 2 8" xfId="3599" xr:uid="{00000000-0005-0000-0000-00000C0E0000}"/>
    <cellStyle name="Comma 2 2 2 2 2 2 2 2 2 12 2 9" xfId="3600" xr:uid="{00000000-0005-0000-0000-00000D0E0000}"/>
    <cellStyle name="Comma 2 2 2 2 2 2 2 2 2 12 3" xfId="3601" xr:uid="{00000000-0005-0000-0000-00000E0E0000}"/>
    <cellStyle name="Comma 2 2 2 2 2 2 2 2 2 12 3 10" xfId="3602" xr:uid="{00000000-0005-0000-0000-00000F0E0000}"/>
    <cellStyle name="Comma 2 2 2 2 2 2 2 2 2 12 3 11" xfId="3603" xr:uid="{00000000-0005-0000-0000-0000100E0000}"/>
    <cellStyle name="Comma 2 2 2 2 2 2 2 2 2 12 3 12" xfId="3604" xr:uid="{00000000-0005-0000-0000-0000110E0000}"/>
    <cellStyle name="Comma 2 2 2 2 2 2 2 2 2 12 3 2" xfId="3605" xr:uid="{00000000-0005-0000-0000-0000120E0000}"/>
    <cellStyle name="Comma 2 2 2 2 2 2 2 2 2 12 3 3" xfId="3606" xr:uid="{00000000-0005-0000-0000-0000130E0000}"/>
    <cellStyle name="Comma 2 2 2 2 2 2 2 2 2 12 3 4" xfId="3607" xr:uid="{00000000-0005-0000-0000-0000140E0000}"/>
    <cellStyle name="Comma 2 2 2 2 2 2 2 2 2 12 3 5" xfId="3608" xr:uid="{00000000-0005-0000-0000-0000150E0000}"/>
    <cellStyle name="Comma 2 2 2 2 2 2 2 2 2 12 3 6" xfId="3609" xr:uid="{00000000-0005-0000-0000-0000160E0000}"/>
    <cellStyle name="Comma 2 2 2 2 2 2 2 2 2 12 3 6 2" xfId="3610" xr:uid="{00000000-0005-0000-0000-0000170E0000}"/>
    <cellStyle name="Comma 2 2 2 2 2 2 2 2 2 12 3 7" xfId="3611" xr:uid="{00000000-0005-0000-0000-0000180E0000}"/>
    <cellStyle name="Comma 2 2 2 2 2 2 2 2 2 12 3 8" xfId="3612" xr:uid="{00000000-0005-0000-0000-0000190E0000}"/>
    <cellStyle name="Comma 2 2 2 2 2 2 2 2 2 12 3 9" xfId="3613" xr:uid="{00000000-0005-0000-0000-00001A0E0000}"/>
    <cellStyle name="Comma 2 2 2 2 2 2 2 2 2 12 4" xfId="3614" xr:uid="{00000000-0005-0000-0000-00001B0E0000}"/>
    <cellStyle name="Comma 2 2 2 2 2 2 2 2 2 12 4 2" xfId="3615" xr:uid="{00000000-0005-0000-0000-00001C0E0000}"/>
    <cellStyle name="Comma 2 2 2 2 2 2 2 2 2 12 4 3" xfId="3616" xr:uid="{00000000-0005-0000-0000-00001D0E0000}"/>
    <cellStyle name="Comma 2 2 2 2 2 2 2 2 2 12 4 4" xfId="3617" xr:uid="{00000000-0005-0000-0000-00001E0E0000}"/>
    <cellStyle name="Comma 2 2 2 2 2 2 2 2 2 12 4 5" xfId="3618" xr:uid="{00000000-0005-0000-0000-00001F0E0000}"/>
    <cellStyle name="Comma 2 2 2 2 2 2 2 2 2 12 4 6" xfId="3619" xr:uid="{00000000-0005-0000-0000-0000200E0000}"/>
    <cellStyle name="Comma 2 2 2 2 2 2 2 2 2 12 4 7" xfId="3620" xr:uid="{00000000-0005-0000-0000-0000210E0000}"/>
    <cellStyle name="Comma 2 2 2 2 2 2 2 2 2 12 4 8" xfId="3621" xr:uid="{00000000-0005-0000-0000-0000220E0000}"/>
    <cellStyle name="Comma 2 2 2 2 2 2 2 2 2 12 5" xfId="3622" xr:uid="{00000000-0005-0000-0000-0000230E0000}"/>
    <cellStyle name="Comma 2 2 2 2 2 2 2 2 2 12 5 2" xfId="3623" xr:uid="{00000000-0005-0000-0000-0000240E0000}"/>
    <cellStyle name="Comma 2 2 2 2 2 2 2 2 2 12 5 3" xfId="3624" xr:uid="{00000000-0005-0000-0000-0000250E0000}"/>
    <cellStyle name="Comma 2 2 2 2 2 2 2 2 2 12 5 4" xfId="3625" xr:uid="{00000000-0005-0000-0000-0000260E0000}"/>
    <cellStyle name="Comma 2 2 2 2 2 2 2 2 2 12 5 5" xfId="3626" xr:uid="{00000000-0005-0000-0000-0000270E0000}"/>
    <cellStyle name="Comma 2 2 2 2 2 2 2 2 2 12 5 6" xfId="3627" xr:uid="{00000000-0005-0000-0000-0000280E0000}"/>
    <cellStyle name="Comma 2 2 2 2 2 2 2 2 2 12 5 7" xfId="3628" xr:uid="{00000000-0005-0000-0000-0000290E0000}"/>
    <cellStyle name="Comma 2 2 2 2 2 2 2 2 2 12 5 8" xfId="3629" xr:uid="{00000000-0005-0000-0000-00002A0E0000}"/>
    <cellStyle name="Comma 2 2 2 2 2 2 2 2 2 12 6" xfId="3630" xr:uid="{00000000-0005-0000-0000-00002B0E0000}"/>
    <cellStyle name="Comma 2 2 2 2 2 2 2 2 2 12 7" xfId="3631" xr:uid="{00000000-0005-0000-0000-00002C0E0000}"/>
    <cellStyle name="Comma 2 2 2 2 2 2 2 2 2 12 8" xfId="3632" xr:uid="{00000000-0005-0000-0000-00002D0E0000}"/>
    <cellStyle name="Comma 2 2 2 2 2 2 2 2 2 13" xfId="3633" xr:uid="{00000000-0005-0000-0000-00002E0E0000}"/>
    <cellStyle name="Comma 2 2 2 2 2 2 2 2 2 13 2" xfId="3634" xr:uid="{00000000-0005-0000-0000-00002F0E0000}"/>
    <cellStyle name="Comma 2 2 2 2 2 2 2 2 2 13 2 10" xfId="3635" xr:uid="{00000000-0005-0000-0000-0000300E0000}"/>
    <cellStyle name="Comma 2 2 2 2 2 2 2 2 2 13 2 11" xfId="3636" xr:uid="{00000000-0005-0000-0000-0000310E0000}"/>
    <cellStyle name="Comma 2 2 2 2 2 2 2 2 2 13 2 12" xfId="3637" xr:uid="{00000000-0005-0000-0000-0000320E0000}"/>
    <cellStyle name="Comma 2 2 2 2 2 2 2 2 2 13 2 2" xfId="3638" xr:uid="{00000000-0005-0000-0000-0000330E0000}"/>
    <cellStyle name="Comma 2 2 2 2 2 2 2 2 2 13 2 2 2" xfId="3639" xr:uid="{00000000-0005-0000-0000-0000340E0000}"/>
    <cellStyle name="Comma 2 2 2 2 2 2 2 2 2 13 2 2 3" xfId="3640" xr:uid="{00000000-0005-0000-0000-0000350E0000}"/>
    <cellStyle name="Comma 2 2 2 2 2 2 2 2 2 13 2 2 4" xfId="3641" xr:uid="{00000000-0005-0000-0000-0000360E0000}"/>
    <cellStyle name="Comma 2 2 2 2 2 2 2 2 2 13 2 3" xfId="3642" xr:uid="{00000000-0005-0000-0000-0000370E0000}"/>
    <cellStyle name="Comma 2 2 2 2 2 2 2 2 2 13 2 3 2" xfId="3643" xr:uid="{00000000-0005-0000-0000-0000380E0000}"/>
    <cellStyle name="Comma 2 2 2 2 2 2 2 2 2 13 2 4" xfId="3644" xr:uid="{00000000-0005-0000-0000-0000390E0000}"/>
    <cellStyle name="Comma 2 2 2 2 2 2 2 2 2 13 2 5" xfId="3645" xr:uid="{00000000-0005-0000-0000-00003A0E0000}"/>
    <cellStyle name="Comma 2 2 2 2 2 2 2 2 2 13 2 6" xfId="3646" xr:uid="{00000000-0005-0000-0000-00003B0E0000}"/>
    <cellStyle name="Comma 2 2 2 2 2 2 2 2 2 13 2 6 2" xfId="3647" xr:uid="{00000000-0005-0000-0000-00003C0E0000}"/>
    <cellStyle name="Comma 2 2 2 2 2 2 2 2 2 13 2 7" xfId="3648" xr:uid="{00000000-0005-0000-0000-00003D0E0000}"/>
    <cellStyle name="Comma 2 2 2 2 2 2 2 2 2 13 2 8" xfId="3649" xr:uid="{00000000-0005-0000-0000-00003E0E0000}"/>
    <cellStyle name="Comma 2 2 2 2 2 2 2 2 2 13 2 9" xfId="3650" xr:uid="{00000000-0005-0000-0000-00003F0E0000}"/>
    <cellStyle name="Comma 2 2 2 2 2 2 2 2 2 13 3" xfId="3651" xr:uid="{00000000-0005-0000-0000-0000400E0000}"/>
    <cellStyle name="Comma 2 2 2 2 2 2 2 2 2 13 3 2" xfId="3652" xr:uid="{00000000-0005-0000-0000-0000410E0000}"/>
    <cellStyle name="Comma 2 2 2 2 2 2 2 2 2 13 3 3" xfId="3653" xr:uid="{00000000-0005-0000-0000-0000420E0000}"/>
    <cellStyle name="Comma 2 2 2 2 2 2 2 2 2 13 3 4" xfId="3654" xr:uid="{00000000-0005-0000-0000-0000430E0000}"/>
    <cellStyle name="Comma 2 2 2 2 2 2 2 2 2 13 3 5" xfId="3655" xr:uid="{00000000-0005-0000-0000-0000440E0000}"/>
    <cellStyle name="Comma 2 2 2 2 2 2 2 2 2 13 3 6" xfId="3656" xr:uid="{00000000-0005-0000-0000-0000450E0000}"/>
    <cellStyle name="Comma 2 2 2 2 2 2 2 2 2 13 3 7" xfId="3657" xr:uid="{00000000-0005-0000-0000-0000460E0000}"/>
    <cellStyle name="Comma 2 2 2 2 2 2 2 2 2 13 3 8" xfId="3658" xr:uid="{00000000-0005-0000-0000-0000470E0000}"/>
    <cellStyle name="Comma 2 2 2 2 2 2 2 2 2 14" xfId="3659" xr:uid="{00000000-0005-0000-0000-0000480E0000}"/>
    <cellStyle name="Comma 2 2 2 2 2 2 2 2 2 14 2" xfId="3660" xr:uid="{00000000-0005-0000-0000-0000490E0000}"/>
    <cellStyle name="Comma 2 2 2 2 2 2 2 2 2 14 2 10" xfId="3661" xr:uid="{00000000-0005-0000-0000-00004A0E0000}"/>
    <cellStyle name="Comma 2 2 2 2 2 2 2 2 2 14 2 11" xfId="3662" xr:uid="{00000000-0005-0000-0000-00004B0E0000}"/>
    <cellStyle name="Comma 2 2 2 2 2 2 2 2 2 14 2 12" xfId="3663" xr:uid="{00000000-0005-0000-0000-00004C0E0000}"/>
    <cellStyle name="Comma 2 2 2 2 2 2 2 2 2 14 2 2" xfId="3664" xr:uid="{00000000-0005-0000-0000-00004D0E0000}"/>
    <cellStyle name="Comma 2 2 2 2 2 2 2 2 2 14 2 3" xfId="3665" xr:uid="{00000000-0005-0000-0000-00004E0E0000}"/>
    <cellStyle name="Comma 2 2 2 2 2 2 2 2 2 14 2 4" xfId="3666" xr:uid="{00000000-0005-0000-0000-00004F0E0000}"/>
    <cellStyle name="Comma 2 2 2 2 2 2 2 2 2 14 2 5" xfId="3667" xr:uid="{00000000-0005-0000-0000-0000500E0000}"/>
    <cellStyle name="Comma 2 2 2 2 2 2 2 2 2 14 2 6" xfId="3668" xr:uid="{00000000-0005-0000-0000-0000510E0000}"/>
    <cellStyle name="Comma 2 2 2 2 2 2 2 2 2 14 2 6 2" xfId="3669" xr:uid="{00000000-0005-0000-0000-0000520E0000}"/>
    <cellStyle name="Comma 2 2 2 2 2 2 2 2 2 14 2 7" xfId="3670" xr:uid="{00000000-0005-0000-0000-0000530E0000}"/>
    <cellStyle name="Comma 2 2 2 2 2 2 2 2 2 14 2 8" xfId="3671" xr:uid="{00000000-0005-0000-0000-0000540E0000}"/>
    <cellStyle name="Comma 2 2 2 2 2 2 2 2 2 14 2 9" xfId="3672" xr:uid="{00000000-0005-0000-0000-0000550E0000}"/>
    <cellStyle name="Comma 2 2 2 2 2 2 2 2 2 15" xfId="3673" xr:uid="{00000000-0005-0000-0000-0000560E0000}"/>
    <cellStyle name="Comma 2 2 2 2 2 2 2 2 2 15 2" xfId="3674" xr:uid="{00000000-0005-0000-0000-0000570E0000}"/>
    <cellStyle name="Comma 2 2 2 2 2 2 2 2 2 15 2 2" xfId="3675" xr:uid="{00000000-0005-0000-0000-0000580E0000}"/>
    <cellStyle name="Comma 2 2 2 2 2 2 2 2 2 15 3" xfId="3676" xr:uid="{00000000-0005-0000-0000-0000590E0000}"/>
    <cellStyle name="Comma 2 2 2 2 2 2 2 2 2 16" xfId="3677" xr:uid="{00000000-0005-0000-0000-00005A0E0000}"/>
    <cellStyle name="Comma 2 2 2 2 2 2 2 2 2 16 2" xfId="3678" xr:uid="{00000000-0005-0000-0000-00005B0E0000}"/>
    <cellStyle name="Comma 2 2 2 2 2 2 2 2 2 16 2 2" xfId="3679" xr:uid="{00000000-0005-0000-0000-00005C0E0000}"/>
    <cellStyle name="Comma 2 2 2 2 2 2 2 2 2 17" xfId="3680" xr:uid="{00000000-0005-0000-0000-00005D0E0000}"/>
    <cellStyle name="Comma 2 2 2 2 2 2 2 2 2 17 2" xfId="3681" xr:uid="{00000000-0005-0000-0000-00005E0E0000}"/>
    <cellStyle name="Comma 2 2 2 2 2 2 2 2 2 17 2 2" xfId="3682" xr:uid="{00000000-0005-0000-0000-00005F0E0000}"/>
    <cellStyle name="Comma 2 2 2 2 2 2 2 2 2 18" xfId="3683" xr:uid="{00000000-0005-0000-0000-0000600E0000}"/>
    <cellStyle name="Comma 2 2 2 2 2 2 2 2 2 19" xfId="3684" xr:uid="{00000000-0005-0000-0000-0000610E0000}"/>
    <cellStyle name="Comma 2 2 2 2 2 2 2 2 2 2" xfId="3685" xr:uid="{00000000-0005-0000-0000-0000620E0000}"/>
    <cellStyle name="Comma 2 2 2 2 2 2 2 2 2 2 10" xfId="3686" xr:uid="{00000000-0005-0000-0000-0000630E0000}"/>
    <cellStyle name="Comma 2 2 2 2 2 2 2 2 2 2 10 10" xfId="3687" xr:uid="{00000000-0005-0000-0000-0000640E0000}"/>
    <cellStyle name="Comma 2 2 2 2 2 2 2 2 2 2 10 11" xfId="3688" xr:uid="{00000000-0005-0000-0000-0000650E0000}"/>
    <cellStyle name="Comma 2 2 2 2 2 2 2 2 2 2 10 12" xfId="3689" xr:uid="{00000000-0005-0000-0000-0000660E0000}"/>
    <cellStyle name="Comma 2 2 2 2 2 2 2 2 2 2 10 12 2" xfId="3690" xr:uid="{00000000-0005-0000-0000-0000670E0000}"/>
    <cellStyle name="Comma 2 2 2 2 2 2 2 2 2 2 10 13" xfId="3691" xr:uid="{00000000-0005-0000-0000-0000680E0000}"/>
    <cellStyle name="Comma 2 2 2 2 2 2 2 2 2 2 10 14" xfId="3692" xr:uid="{00000000-0005-0000-0000-0000690E0000}"/>
    <cellStyle name="Comma 2 2 2 2 2 2 2 2 2 2 10 15" xfId="3693" xr:uid="{00000000-0005-0000-0000-00006A0E0000}"/>
    <cellStyle name="Comma 2 2 2 2 2 2 2 2 2 2 10 16" xfId="3694" xr:uid="{00000000-0005-0000-0000-00006B0E0000}"/>
    <cellStyle name="Comma 2 2 2 2 2 2 2 2 2 2 10 17" xfId="3695" xr:uid="{00000000-0005-0000-0000-00006C0E0000}"/>
    <cellStyle name="Comma 2 2 2 2 2 2 2 2 2 2 10 18" xfId="3696" xr:uid="{00000000-0005-0000-0000-00006D0E0000}"/>
    <cellStyle name="Comma 2 2 2 2 2 2 2 2 2 2 10 2" xfId="3697" xr:uid="{00000000-0005-0000-0000-00006E0E0000}"/>
    <cellStyle name="Comma 2 2 2 2 2 2 2 2 2 2 10 2 2" xfId="3698" xr:uid="{00000000-0005-0000-0000-00006F0E0000}"/>
    <cellStyle name="Comma 2 2 2 2 2 2 2 2 2 2 10 2 2 2" xfId="3699" xr:uid="{00000000-0005-0000-0000-0000700E0000}"/>
    <cellStyle name="Comma 2 2 2 2 2 2 2 2 2 2 10 2 2 3" xfId="3700" xr:uid="{00000000-0005-0000-0000-0000710E0000}"/>
    <cellStyle name="Comma 2 2 2 2 2 2 2 2 2 2 10 2 3" xfId="3701" xr:uid="{00000000-0005-0000-0000-0000720E0000}"/>
    <cellStyle name="Comma 2 2 2 2 2 2 2 2 2 2 10 2 3 2" xfId="3702" xr:uid="{00000000-0005-0000-0000-0000730E0000}"/>
    <cellStyle name="Comma 2 2 2 2 2 2 2 2 2 2 10 3" xfId="3703" xr:uid="{00000000-0005-0000-0000-0000740E0000}"/>
    <cellStyle name="Comma 2 2 2 2 2 2 2 2 2 2 10 4" xfId="3704" xr:uid="{00000000-0005-0000-0000-0000750E0000}"/>
    <cellStyle name="Comma 2 2 2 2 2 2 2 2 2 2 10 5" xfId="3705" xr:uid="{00000000-0005-0000-0000-0000760E0000}"/>
    <cellStyle name="Comma 2 2 2 2 2 2 2 2 2 2 10 5 2" xfId="3706" xr:uid="{00000000-0005-0000-0000-0000770E0000}"/>
    <cellStyle name="Comma 2 2 2 2 2 2 2 2 2 2 10 5 3" xfId="3707" xr:uid="{00000000-0005-0000-0000-0000780E0000}"/>
    <cellStyle name="Comma 2 2 2 2 2 2 2 2 2 2 10 6" xfId="3708" xr:uid="{00000000-0005-0000-0000-0000790E0000}"/>
    <cellStyle name="Comma 2 2 2 2 2 2 2 2 2 2 10 7" xfId="3709" xr:uid="{00000000-0005-0000-0000-00007A0E0000}"/>
    <cellStyle name="Comma 2 2 2 2 2 2 2 2 2 2 10 8" xfId="3710" xr:uid="{00000000-0005-0000-0000-00007B0E0000}"/>
    <cellStyle name="Comma 2 2 2 2 2 2 2 2 2 2 10 9" xfId="3711" xr:uid="{00000000-0005-0000-0000-00007C0E0000}"/>
    <cellStyle name="Comma 2 2 2 2 2 2 2 2 2 2 11" xfId="3712" xr:uid="{00000000-0005-0000-0000-00007D0E0000}"/>
    <cellStyle name="Comma 2 2 2 2 2 2 2 2 2 2 11 10" xfId="3713" xr:uid="{00000000-0005-0000-0000-00007E0E0000}"/>
    <cellStyle name="Comma 2 2 2 2 2 2 2 2 2 2 11 10 2" xfId="3714" xr:uid="{00000000-0005-0000-0000-00007F0E0000}"/>
    <cellStyle name="Comma 2 2 2 2 2 2 2 2 2 2 11 11" xfId="3715" xr:uid="{00000000-0005-0000-0000-0000800E0000}"/>
    <cellStyle name="Comma 2 2 2 2 2 2 2 2 2 2 11 12" xfId="3716" xr:uid="{00000000-0005-0000-0000-0000810E0000}"/>
    <cellStyle name="Comma 2 2 2 2 2 2 2 2 2 2 11 13" xfId="3717" xr:uid="{00000000-0005-0000-0000-0000820E0000}"/>
    <cellStyle name="Comma 2 2 2 2 2 2 2 2 2 2 11 14" xfId="3718" xr:uid="{00000000-0005-0000-0000-0000830E0000}"/>
    <cellStyle name="Comma 2 2 2 2 2 2 2 2 2 2 11 15" xfId="3719" xr:uid="{00000000-0005-0000-0000-0000840E0000}"/>
    <cellStyle name="Comma 2 2 2 2 2 2 2 2 2 2 11 16" xfId="3720" xr:uid="{00000000-0005-0000-0000-0000850E0000}"/>
    <cellStyle name="Comma 2 2 2 2 2 2 2 2 2 2 11 2" xfId="3721" xr:uid="{00000000-0005-0000-0000-0000860E0000}"/>
    <cellStyle name="Comma 2 2 2 2 2 2 2 2 2 2 11 2 2" xfId="3722" xr:uid="{00000000-0005-0000-0000-0000870E0000}"/>
    <cellStyle name="Comma 2 2 2 2 2 2 2 2 2 2 11 2 2 2" xfId="3723" xr:uid="{00000000-0005-0000-0000-0000880E0000}"/>
    <cellStyle name="Comma 2 2 2 2 2 2 2 2 2 2 11 2 2 3" xfId="3724" xr:uid="{00000000-0005-0000-0000-0000890E0000}"/>
    <cellStyle name="Comma 2 2 2 2 2 2 2 2 2 2 11 2 3" xfId="3725" xr:uid="{00000000-0005-0000-0000-00008A0E0000}"/>
    <cellStyle name="Comma 2 2 2 2 2 2 2 2 2 2 11 2 3 2" xfId="3726" xr:uid="{00000000-0005-0000-0000-00008B0E0000}"/>
    <cellStyle name="Comma 2 2 2 2 2 2 2 2 2 2 11 3" xfId="3727" xr:uid="{00000000-0005-0000-0000-00008C0E0000}"/>
    <cellStyle name="Comma 2 2 2 2 2 2 2 2 2 2 11 4" xfId="3728" xr:uid="{00000000-0005-0000-0000-00008D0E0000}"/>
    <cellStyle name="Comma 2 2 2 2 2 2 2 2 2 2 11 4 2" xfId="3729" xr:uid="{00000000-0005-0000-0000-00008E0E0000}"/>
    <cellStyle name="Comma 2 2 2 2 2 2 2 2 2 2 11 4 3" xfId="3730" xr:uid="{00000000-0005-0000-0000-00008F0E0000}"/>
    <cellStyle name="Comma 2 2 2 2 2 2 2 2 2 2 11 5" xfId="3731" xr:uid="{00000000-0005-0000-0000-0000900E0000}"/>
    <cellStyle name="Comma 2 2 2 2 2 2 2 2 2 2 11 6" xfId="3732" xr:uid="{00000000-0005-0000-0000-0000910E0000}"/>
    <cellStyle name="Comma 2 2 2 2 2 2 2 2 2 2 11 7" xfId="3733" xr:uid="{00000000-0005-0000-0000-0000920E0000}"/>
    <cellStyle name="Comma 2 2 2 2 2 2 2 2 2 2 11 8" xfId="3734" xr:uid="{00000000-0005-0000-0000-0000930E0000}"/>
    <cellStyle name="Comma 2 2 2 2 2 2 2 2 2 2 11 9" xfId="3735" xr:uid="{00000000-0005-0000-0000-0000940E0000}"/>
    <cellStyle name="Comma 2 2 2 2 2 2 2 2 2 2 12" xfId="3736" xr:uid="{00000000-0005-0000-0000-0000950E0000}"/>
    <cellStyle name="Comma 2 2 2 2 2 2 2 2 2 2 12 10" xfId="3737" xr:uid="{00000000-0005-0000-0000-0000960E0000}"/>
    <cellStyle name="Comma 2 2 2 2 2 2 2 2 2 2 12 11" xfId="3738" xr:uid="{00000000-0005-0000-0000-0000970E0000}"/>
    <cellStyle name="Comma 2 2 2 2 2 2 2 2 2 2 12 12" xfId="3739" xr:uid="{00000000-0005-0000-0000-0000980E0000}"/>
    <cellStyle name="Comma 2 2 2 2 2 2 2 2 2 2 12 13" xfId="3740" xr:uid="{00000000-0005-0000-0000-0000990E0000}"/>
    <cellStyle name="Comma 2 2 2 2 2 2 2 2 2 2 12 14" xfId="3741" xr:uid="{00000000-0005-0000-0000-00009A0E0000}"/>
    <cellStyle name="Comma 2 2 2 2 2 2 2 2 2 2 12 2" xfId="3742" xr:uid="{00000000-0005-0000-0000-00009B0E0000}"/>
    <cellStyle name="Comma 2 2 2 2 2 2 2 2 2 2 12 2 2" xfId="3743" xr:uid="{00000000-0005-0000-0000-00009C0E0000}"/>
    <cellStyle name="Comma 2 2 2 2 2 2 2 2 2 2 12 2 2 2" xfId="3744" xr:uid="{00000000-0005-0000-0000-00009D0E0000}"/>
    <cellStyle name="Comma 2 2 2 2 2 2 2 2 2 2 12 2 2 3" xfId="3745" xr:uid="{00000000-0005-0000-0000-00009E0E0000}"/>
    <cellStyle name="Comma 2 2 2 2 2 2 2 2 2 2 12 2 3" xfId="3746" xr:uid="{00000000-0005-0000-0000-00009F0E0000}"/>
    <cellStyle name="Comma 2 2 2 2 2 2 2 2 2 2 12 2 3 2" xfId="3747" xr:uid="{00000000-0005-0000-0000-0000A00E0000}"/>
    <cellStyle name="Comma 2 2 2 2 2 2 2 2 2 2 12 3" xfId="3748" xr:uid="{00000000-0005-0000-0000-0000A10E0000}"/>
    <cellStyle name="Comma 2 2 2 2 2 2 2 2 2 2 12 3 2" xfId="3749" xr:uid="{00000000-0005-0000-0000-0000A20E0000}"/>
    <cellStyle name="Comma 2 2 2 2 2 2 2 2 2 2 12 3 3" xfId="3750" xr:uid="{00000000-0005-0000-0000-0000A30E0000}"/>
    <cellStyle name="Comma 2 2 2 2 2 2 2 2 2 2 12 4" xfId="3751" xr:uid="{00000000-0005-0000-0000-0000A40E0000}"/>
    <cellStyle name="Comma 2 2 2 2 2 2 2 2 2 2 12 5" xfId="3752" xr:uid="{00000000-0005-0000-0000-0000A50E0000}"/>
    <cellStyle name="Comma 2 2 2 2 2 2 2 2 2 2 12 6" xfId="3753" xr:uid="{00000000-0005-0000-0000-0000A60E0000}"/>
    <cellStyle name="Comma 2 2 2 2 2 2 2 2 2 2 12 7" xfId="3754" xr:uid="{00000000-0005-0000-0000-0000A70E0000}"/>
    <cellStyle name="Comma 2 2 2 2 2 2 2 2 2 2 12 8" xfId="3755" xr:uid="{00000000-0005-0000-0000-0000A80E0000}"/>
    <cellStyle name="Comma 2 2 2 2 2 2 2 2 2 2 12 8 2" xfId="3756" xr:uid="{00000000-0005-0000-0000-0000A90E0000}"/>
    <cellStyle name="Comma 2 2 2 2 2 2 2 2 2 2 12 9" xfId="3757" xr:uid="{00000000-0005-0000-0000-0000AA0E0000}"/>
    <cellStyle name="Comma 2 2 2 2 2 2 2 2 2 2 13" xfId="3758" xr:uid="{00000000-0005-0000-0000-0000AB0E0000}"/>
    <cellStyle name="Comma 2 2 2 2 2 2 2 2 2 2 13 10" xfId="3759" xr:uid="{00000000-0005-0000-0000-0000AC0E0000}"/>
    <cellStyle name="Comma 2 2 2 2 2 2 2 2 2 2 13 11" xfId="3760" xr:uid="{00000000-0005-0000-0000-0000AD0E0000}"/>
    <cellStyle name="Comma 2 2 2 2 2 2 2 2 2 2 13 12" xfId="3761" xr:uid="{00000000-0005-0000-0000-0000AE0E0000}"/>
    <cellStyle name="Comma 2 2 2 2 2 2 2 2 2 2 13 13" xfId="3762" xr:uid="{00000000-0005-0000-0000-0000AF0E0000}"/>
    <cellStyle name="Comma 2 2 2 2 2 2 2 2 2 2 13 2" xfId="3763" xr:uid="{00000000-0005-0000-0000-0000B00E0000}"/>
    <cellStyle name="Comma 2 2 2 2 2 2 2 2 2 2 13 3" xfId="3764" xr:uid="{00000000-0005-0000-0000-0000B10E0000}"/>
    <cellStyle name="Comma 2 2 2 2 2 2 2 2 2 2 13 4" xfId="3765" xr:uid="{00000000-0005-0000-0000-0000B20E0000}"/>
    <cellStyle name="Comma 2 2 2 2 2 2 2 2 2 2 13 5" xfId="3766" xr:uid="{00000000-0005-0000-0000-0000B30E0000}"/>
    <cellStyle name="Comma 2 2 2 2 2 2 2 2 2 2 13 6" xfId="3767" xr:uid="{00000000-0005-0000-0000-0000B40E0000}"/>
    <cellStyle name="Comma 2 2 2 2 2 2 2 2 2 2 13 7" xfId="3768" xr:uid="{00000000-0005-0000-0000-0000B50E0000}"/>
    <cellStyle name="Comma 2 2 2 2 2 2 2 2 2 2 13 7 2" xfId="3769" xr:uid="{00000000-0005-0000-0000-0000B60E0000}"/>
    <cellStyle name="Comma 2 2 2 2 2 2 2 2 2 2 13 8" xfId="3770" xr:uid="{00000000-0005-0000-0000-0000B70E0000}"/>
    <cellStyle name="Comma 2 2 2 2 2 2 2 2 2 2 13 9" xfId="3771" xr:uid="{00000000-0005-0000-0000-0000B80E0000}"/>
    <cellStyle name="Comma 2 2 2 2 2 2 2 2 2 2 14" xfId="3772" xr:uid="{00000000-0005-0000-0000-0000B90E0000}"/>
    <cellStyle name="Comma 2 2 2 2 2 2 2 2 2 2 14 2" xfId="3773" xr:uid="{00000000-0005-0000-0000-0000BA0E0000}"/>
    <cellStyle name="Comma 2 2 2 2 2 2 2 2 2 2 14 3" xfId="3774" xr:uid="{00000000-0005-0000-0000-0000BB0E0000}"/>
    <cellStyle name="Comma 2 2 2 2 2 2 2 2 2 2 14 4" xfId="3775" xr:uid="{00000000-0005-0000-0000-0000BC0E0000}"/>
    <cellStyle name="Comma 2 2 2 2 2 2 2 2 2 2 14 5" xfId="3776" xr:uid="{00000000-0005-0000-0000-0000BD0E0000}"/>
    <cellStyle name="Comma 2 2 2 2 2 2 2 2 2 2 14 6" xfId="3777" xr:uid="{00000000-0005-0000-0000-0000BE0E0000}"/>
    <cellStyle name="Comma 2 2 2 2 2 2 2 2 2 2 14 7" xfId="3778" xr:uid="{00000000-0005-0000-0000-0000BF0E0000}"/>
    <cellStyle name="Comma 2 2 2 2 2 2 2 2 2 2 14 8" xfId="3779" xr:uid="{00000000-0005-0000-0000-0000C00E0000}"/>
    <cellStyle name="Comma 2 2 2 2 2 2 2 2 2 2 14 9" xfId="3780" xr:uid="{00000000-0005-0000-0000-0000C10E0000}"/>
    <cellStyle name="Comma 2 2 2 2 2 2 2 2 2 2 15" xfId="3781" xr:uid="{00000000-0005-0000-0000-0000C20E0000}"/>
    <cellStyle name="Comma 2 2 2 2 2 2 2 2 2 2 15 2" xfId="3782" xr:uid="{00000000-0005-0000-0000-0000C30E0000}"/>
    <cellStyle name="Comma 2 2 2 2 2 2 2 2 2 2 15 3" xfId="3783" xr:uid="{00000000-0005-0000-0000-0000C40E0000}"/>
    <cellStyle name="Comma 2 2 2 2 2 2 2 2 2 2 15 4" xfId="3784" xr:uid="{00000000-0005-0000-0000-0000C50E0000}"/>
    <cellStyle name="Comma 2 2 2 2 2 2 2 2 2 2 15 5" xfId="3785" xr:uid="{00000000-0005-0000-0000-0000C60E0000}"/>
    <cellStyle name="Comma 2 2 2 2 2 2 2 2 2 2 15 6" xfId="3786" xr:uid="{00000000-0005-0000-0000-0000C70E0000}"/>
    <cellStyle name="Comma 2 2 2 2 2 2 2 2 2 2 15 7" xfId="3787" xr:uid="{00000000-0005-0000-0000-0000C80E0000}"/>
    <cellStyle name="Comma 2 2 2 2 2 2 2 2 2 2 15 8" xfId="3788" xr:uid="{00000000-0005-0000-0000-0000C90E0000}"/>
    <cellStyle name="Comma 2 2 2 2 2 2 2 2 2 2 15 9" xfId="3789" xr:uid="{00000000-0005-0000-0000-0000CA0E0000}"/>
    <cellStyle name="Comma 2 2 2 2 2 2 2 2 2 2 16" xfId="3790" xr:uid="{00000000-0005-0000-0000-0000CB0E0000}"/>
    <cellStyle name="Comma 2 2 2 2 2 2 2 2 2 2 16 2" xfId="3791" xr:uid="{00000000-0005-0000-0000-0000CC0E0000}"/>
    <cellStyle name="Comma 2 2 2 2 2 2 2 2 2 2 16 3" xfId="3792" xr:uid="{00000000-0005-0000-0000-0000CD0E0000}"/>
    <cellStyle name="Comma 2 2 2 2 2 2 2 2 2 2 16 4" xfId="3793" xr:uid="{00000000-0005-0000-0000-0000CE0E0000}"/>
    <cellStyle name="Comma 2 2 2 2 2 2 2 2 2 2 16 5" xfId="3794" xr:uid="{00000000-0005-0000-0000-0000CF0E0000}"/>
    <cellStyle name="Comma 2 2 2 2 2 2 2 2 2 2 16 6" xfId="3795" xr:uid="{00000000-0005-0000-0000-0000D00E0000}"/>
    <cellStyle name="Comma 2 2 2 2 2 2 2 2 2 2 16 7" xfId="3796" xr:uid="{00000000-0005-0000-0000-0000D10E0000}"/>
    <cellStyle name="Comma 2 2 2 2 2 2 2 2 2 2 16 8" xfId="3797" xr:uid="{00000000-0005-0000-0000-0000D20E0000}"/>
    <cellStyle name="Comma 2 2 2 2 2 2 2 2 2 2 16 9" xfId="3798" xr:uid="{00000000-0005-0000-0000-0000D30E0000}"/>
    <cellStyle name="Comma 2 2 2 2 2 2 2 2 2 2 17" xfId="3799" xr:uid="{00000000-0005-0000-0000-0000D40E0000}"/>
    <cellStyle name="Comma 2 2 2 2 2 2 2 2 2 2 17 2" xfId="3800" xr:uid="{00000000-0005-0000-0000-0000D50E0000}"/>
    <cellStyle name="Comma 2 2 2 2 2 2 2 2 2 2 17 3" xfId="3801" xr:uid="{00000000-0005-0000-0000-0000D60E0000}"/>
    <cellStyle name="Comma 2 2 2 2 2 2 2 2 2 2 17 4" xfId="3802" xr:uid="{00000000-0005-0000-0000-0000D70E0000}"/>
    <cellStyle name="Comma 2 2 2 2 2 2 2 2 2 2 17 5" xfId="3803" xr:uid="{00000000-0005-0000-0000-0000D80E0000}"/>
    <cellStyle name="Comma 2 2 2 2 2 2 2 2 2 2 17 6" xfId="3804" xr:uid="{00000000-0005-0000-0000-0000D90E0000}"/>
    <cellStyle name="Comma 2 2 2 2 2 2 2 2 2 2 17 7" xfId="3805" xr:uid="{00000000-0005-0000-0000-0000DA0E0000}"/>
    <cellStyle name="Comma 2 2 2 2 2 2 2 2 2 2 17 8" xfId="3806" xr:uid="{00000000-0005-0000-0000-0000DB0E0000}"/>
    <cellStyle name="Comma 2 2 2 2 2 2 2 2 2 2 18" xfId="3807" xr:uid="{00000000-0005-0000-0000-0000DC0E0000}"/>
    <cellStyle name="Comma 2 2 2 2 2 2 2 2 2 2 18 2" xfId="3808" xr:uid="{00000000-0005-0000-0000-0000DD0E0000}"/>
    <cellStyle name="Comma 2 2 2 2 2 2 2 2 2 2 18 3" xfId="3809" xr:uid="{00000000-0005-0000-0000-0000DE0E0000}"/>
    <cellStyle name="Comma 2 2 2 2 2 2 2 2 2 2 18 4" xfId="3810" xr:uid="{00000000-0005-0000-0000-0000DF0E0000}"/>
    <cellStyle name="Comma 2 2 2 2 2 2 2 2 2 2 18 5" xfId="3811" xr:uid="{00000000-0005-0000-0000-0000E00E0000}"/>
    <cellStyle name="Comma 2 2 2 2 2 2 2 2 2 2 18 6" xfId="3812" xr:uid="{00000000-0005-0000-0000-0000E10E0000}"/>
    <cellStyle name="Comma 2 2 2 2 2 2 2 2 2 2 18 7" xfId="3813" xr:uid="{00000000-0005-0000-0000-0000E20E0000}"/>
    <cellStyle name="Comma 2 2 2 2 2 2 2 2 2 2 18 8" xfId="3814" xr:uid="{00000000-0005-0000-0000-0000E30E0000}"/>
    <cellStyle name="Comma 2 2 2 2 2 2 2 2 2 2 19" xfId="3815" xr:uid="{00000000-0005-0000-0000-0000E40E0000}"/>
    <cellStyle name="Comma 2 2 2 2 2 2 2 2 2 2 19 2" xfId="3816" xr:uid="{00000000-0005-0000-0000-0000E50E0000}"/>
    <cellStyle name="Comma 2 2 2 2 2 2 2 2 2 2 19 3" xfId="3817" xr:uid="{00000000-0005-0000-0000-0000E60E0000}"/>
    <cellStyle name="Comma 2 2 2 2 2 2 2 2 2 2 19 4" xfId="3818" xr:uid="{00000000-0005-0000-0000-0000E70E0000}"/>
    <cellStyle name="Comma 2 2 2 2 2 2 2 2 2 2 19 5" xfId="3819" xr:uid="{00000000-0005-0000-0000-0000E80E0000}"/>
    <cellStyle name="Comma 2 2 2 2 2 2 2 2 2 2 19 6" xfId="3820" xr:uid="{00000000-0005-0000-0000-0000E90E0000}"/>
    <cellStyle name="Comma 2 2 2 2 2 2 2 2 2 2 19 7" xfId="3821" xr:uid="{00000000-0005-0000-0000-0000EA0E0000}"/>
    <cellStyle name="Comma 2 2 2 2 2 2 2 2 2 2 19 8" xfId="3822" xr:uid="{00000000-0005-0000-0000-0000EB0E0000}"/>
    <cellStyle name="Comma 2 2 2 2 2 2 2 2 2 2 2" xfId="3823" xr:uid="{00000000-0005-0000-0000-0000EC0E0000}"/>
    <cellStyle name="Comma 2 2 2 2 2 2 2 2 2 2 2 10" xfId="3824" xr:uid="{00000000-0005-0000-0000-0000ED0E0000}"/>
    <cellStyle name="Comma 2 2 2 2 2 2 2 2 2 2 2 10 2" xfId="3825" xr:uid="{00000000-0005-0000-0000-0000EE0E0000}"/>
    <cellStyle name="Comma 2 2 2 2 2 2 2 2 2 2 2 10 2 10" xfId="3826" xr:uid="{00000000-0005-0000-0000-0000EF0E0000}"/>
    <cellStyle name="Comma 2 2 2 2 2 2 2 2 2 2 2 10 2 11" xfId="3827" xr:uid="{00000000-0005-0000-0000-0000F00E0000}"/>
    <cellStyle name="Comma 2 2 2 2 2 2 2 2 2 2 2 10 2 12" xfId="3828" xr:uid="{00000000-0005-0000-0000-0000F10E0000}"/>
    <cellStyle name="Comma 2 2 2 2 2 2 2 2 2 2 2 10 2 2" xfId="3829" xr:uid="{00000000-0005-0000-0000-0000F20E0000}"/>
    <cellStyle name="Comma 2 2 2 2 2 2 2 2 2 2 2 10 2 2 2" xfId="3830" xr:uid="{00000000-0005-0000-0000-0000F30E0000}"/>
    <cellStyle name="Comma 2 2 2 2 2 2 2 2 2 2 2 10 2 2 3" xfId="3831" xr:uid="{00000000-0005-0000-0000-0000F40E0000}"/>
    <cellStyle name="Comma 2 2 2 2 2 2 2 2 2 2 2 10 2 2 4" xfId="3832" xr:uid="{00000000-0005-0000-0000-0000F50E0000}"/>
    <cellStyle name="Comma 2 2 2 2 2 2 2 2 2 2 2 10 2 3" xfId="3833" xr:uid="{00000000-0005-0000-0000-0000F60E0000}"/>
    <cellStyle name="Comma 2 2 2 2 2 2 2 2 2 2 2 10 2 3 2" xfId="3834" xr:uid="{00000000-0005-0000-0000-0000F70E0000}"/>
    <cellStyle name="Comma 2 2 2 2 2 2 2 2 2 2 2 10 2 4" xfId="3835" xr:uid="{00000000-0005-0000-0000-0000F80E0000}"/>
    <cellStyle name="Comma 2 2 2 2 2 2 2 2 2 2 2 10 2 5" xfId="3836" xr:uid="{00000000-0005-0000-0000-0000F90E0000}"/>
    <cellStyle name="Comma 2 2 2 2 2 2 2 2 2 2 2 10 2 6" xfId="3837" xr:uid="{00000000-0005-0000-0000-0000FA0E0000}"/>
    <cellStyle name="Comma 2 2 2 2 2 2 2 2 2 2 2 10 2 6 2" xfId="3838" xr:uid="{00000000-0005-0000-0000-0000FB0E0000}"/>
    <cellStyle name="Comma 2 2 2 2 2 2 2 2 2 2 2 10 2 7" xfId="3839" xr:uid="{00000000-0005-0000-0000-0000FC0E0000}"/>
    <cellStyle name="Comma 2 2 2 2 2 2 2 2 2 2 2 10 2 8" xfId="3840" xr:uid="{00000000-0005-0000-0000-0000FD0E0000}"/>
    <cellStyle name="Comma 2 2 2 2 2 2 2 2 2 2 2 10 2 9" xfId="3841" xr:uid="{00000000-0005-0000-0000-0000FE0E0000}"/>
    <cellStyle name="Comma 2 2 2 2 2 2 2 2 2 2 2 10 3" xfId="3842" xr:uid="{00000000-0005-0000-0000-0000FF0E0000}"/>
    <cellStyle name="Comma 2 2 2 2 2 2 2 2 2 2 2 10 3 10" xfId="3843" xr:uid="{00000000-0005-0000-0000-0000000F0000}"/>
    <cellStyle name="Comma 2 2 2 2 2 2 2 2 2 2 2 10 3 11" xfId="3844" xr:uid="{00000000-0005-0000-0000-0000010F0000}"/>
    <cellStyle name="Comma 2 2 2 2 2 2 2 2 2 2 2 10 3 12" xfId="3845" xr:uid="{00000000-0005-0000-0000-0000020F0000}"/>
    <cellStyle name="Comma 2 2 2 2 2 2 2 2 2 2 2 10 3 2" xfId="3846" xr:uid="{00000000-0005-0000-0000-0000030F0000}"/>
    <cellStyle name="Comma 2 2 2 2 2 2 2 2 2 2 2 10 3 3" xfId="3847" xr:uid="{00000000-0005-0000-0000-0000040F0000}"/>
    <cellStyle name="Comma 2 2 2 2 2 2 2 2 2 2 2 10 3 4" xfId="3848" xr:uid="{00000000-0005-0000-0000-0000050F0000}"/>
    <cellStyle name="Comma 2 2 2 2 2 2 2 2 2 2 2 10 3 5" xfId="3849" xr:uid="{00000000-0005-0000-0000-0000060F0000}"/>
    <cellStyle name="Comma 2 2 2 2 2 2 2 2 2 2 2 10 3 6" xfId="3850" xr:uid="{00000000-0005-0000-0000-0000070F0000}"/>
    <cellStyle name="Comma 2 2 2 2 2 2 2 2 2 2 2 10 3 6 2" xfId="3851" xr:uid="{00000000-0005-0000-0000-0000080F0000}"/>
    <cellStyle name="Comma 2 2 2 2 2 2 2 2 2 2 2 10 3 7" xfId="3852" xr:uid="{00000000-0005-0000-0000-0000090F0000}"/>
    <cellStyle name="Comma 2 2 2 2 2 2 2 2 2 2 2 10 3 8" xfId="3853" xr:uid="{00000000-0005-0000-0000-00000A0F0000}"/>
    <cellStyle name="Comma 2 2 2 2 2 2 2 2 2 2 2 10 3 9" xfId="3854" xr:uid="{00000000-0005-0000-0000-00000B0F0000}"/>
    <cellStyle name="Comma 2 2 2 2 2 2 2 2 2 2 2 10 4" xfId="3855" xr:uid="{00000000-0005-0000-0000-00000C0F0000}"/>
    <cellStyle name="Comma 2 2 2 2 2 2 2 2 2 2 2 10 4 10" xfId="3856" xr:uid="{00000000-0005-0000-0000-00000D0F0000}"/>
    <cellStyle name="Comma 2 2 2 2 2 2 2 2 2 2 2 10 4 11" xfId="3857" xr:uid="{00000000-0005-0000-0000-00000E0F0000}"/>
    <cellStyle name="Comma 2 2 2 2 2 2 2 2 2 2 2 10 4 12" xfId="3858" xr:uid="{00000000-0005-0000-0000-00000F0F0000}"/>
    <cellStyle name="Comma 2 2 2 2 2 2 2 2 2 2 2 10 4 2" xfId="3859" xr:uid="{00000000-0005-0000-0000-0000100F0000}"/>
    <cellStyle name="Comma 2 2 2 2 2 2 2 2 2 2 2 10 4 3" xfId="3860" xr:uid="{00000000-0005-0000-0000-0000110F0000}"/>
    <cellStyle name="Comma 2 2 2 2 2 2 2 2 2 2 2 10 4 4" xfId="3861" xr:uid="{00000000-0005-0000-0000-0000120F0000}"/>
    <cellStyle name="Comma 2 2 2 2 2 2 2 2 2 2 2 10 4 5" xfId="3862" xr:uid="{00000000-0005-0000-0000-0000130F0000}"/>
    <cellStyle name="Comma 2 2 2 2 2 2 2 2 2 2 2 10 4 6" xfId="3863" xr:uid="{00000000-0005-0000-0000-0000140F0000}"/>
    <cellStyle name="Comma 2 2 2 2 2 2 2 2 2 2 2 10 4 6 2" xfId="3864" xr:uid="{00000000-0005-0000-0000-0000150F0000}"/>
    <cellStyle name="Comma 2 2 2 2 2 2 2 2 2 2 2 10 4 7" xfId="3865" xr:uid="{00000000-0005-0000-0000-0000160F0000}"/>
    <cellStyle name="Comma 2 2 2 2 2 2 2 2 2 2 2 10 4 8" xfId="3866" xr:uid="{00000000-0005-0000-0000-0000170F0000}"/>
    <cellStyle name="Comma 2 2 2 2 2 2 2 2 2 2 2 10 4 9" xfId="3867" xr:uid="{00000000-0005-0000-0000-0000180F0000}"/>
    <cellStyle name="Comma 2 2 2 2 2 2 2 2 2 2 2 10 5" xfId="3868" xr:uid="{00000000-0005-0000-0000-0000190F0000}"/>
    <cellStyle name="Comma 2 2 2 2 2 2 2 2 2 2 2 10 5 2" xfId="3869" xr:uid="{00000000-0005-0000-0000-00001A0F0000}"/>
    <cellStyle name="Comma 2 2 2 2 2 2 2 2 2 2 2 10 5 3" xfId="3870" xr:uid="{00000000-0005-0000-0000-00001B0F0000}"/>
    <cellStyle name="Comma 2 2 2 2 2 2 2 2 2 2 2 10 5 4" xfId="3871" xr:uid="{00000000-0005-0000-0000-00001C0F0000}"/>
    <cellStyle name="Comma 2 2 2 2 2 2 2 2 2 2 2 10 5 5" xfId="3872" xr:uid="{00000000-0005-0000-0000-00001D0F0000}"/>
    <cellStyle name="Comma 2 2 2 2 2 2 2 2 2 2 2 10 5 6" xfId="3873" xr:uid="{00000000-0005-0000-0000-00001E0F0000}"/>
    <cellStyle name="Comma 2 2 2 2 2 2 2 2 2 2 2 10 5 7" xfId="3874" xr:uid="{00000000-0005-0000-0000-00001F0F0000}"/>
    <cellStyle name="Comma 2 2 2 2 2 2 2 2 2 2 2 10 5 8" xfId="3875" xr:uid="{00000000-0005-0000-0000-0000200F0000}"/>
    <cellStyle name="Comma 2 2 2 2 2 2 2 2 2 2 2 10 6" xfId="3876" xr:uid="{00000000-0005-0000-0000-0000210F0000}"/>
    <cellStyle name="Comma 2 2 2 2 2 2 2 2 2 2 2 10 6 2" xfId="3877" xr:uid="{00000000-0005-0000-0000-0000220F0000}"/>
    <cellStyle name="Comma 2 2 2 2 2 2 2 2 2 2 2 10 6 3" xfId="3878" xr:uid="{00000000-0005-0000-0000-0000230F0000}"/>
    <cellStyle name="Comma 2 2 2 2 2 2 2 2 2 2 2 10 6 4" xfId="3879" xr:uid="{00000000-0005-0000-0000-0000240F0000}"/>
    <cellStyle name="Comma 2 2 2 2 2 2 2 2 2 2 2 10 6 5" xfId="3880" xr:uid="{00000000-0005-0000-0000-0000250F0000}"/>
    <cellStyle name="Comma 2 2 2 2 2 2 2 2 2 2 2 10 6 6" xfId="3881" xr:uid="{00000000-0005-0000-0000-0000260F0000}"/>
    <cellStyle name="Comma 2 2 2 2 2 2 2 2 2 2 2 10 6 7" xfId="3882" xr:uid="{00000000-0005-0000-0000-0000270F0000}"/>
    <cellStyle name="Comma 2 2 2 2 2 2 2 2 2 2 2 10 6 8" xfId="3883" xr:uid="{00000000-0005-0000-0000-0000280F0000}"/>
    <cellStyle name="Comma 2 2 2 2 2 2 2 2 2 2 2 10 7" xfId="3884" xr:uid="{00000000-0005-0000-0000-0000290F0000}"/>
    <cellStyle name="Comma 2 2 2 2 2 2 2 2 2 2 2 10 7 2" xfId="3885" xr:uid="{00000000-0005-0000-0000-00002A0F0000}"/>
    <cellStyle name="Comma 2 2 2 2 2 2 2 2 2 2 2 10 7 3" xfId="3886" xr:uid="{00000000-0005-0000-0000-00002B0F0000}"/>
    <cellStyle name="Comma 2 2 2 2 2 2 2 2 2 2 2 10 7 4" xfId="3887" xr:uid="{00000000-0005-0000-0000-00002C0F0000}"/>
    <cellStyle name="Comma 2 2 2 2 2 2 2 2 2 2 2 10 7 5" xfId="3888" xr:uid="{00000000-0005-0000-0000-00002D0F0000}"/>
    <cellStyle name="Comma 2 2 2 2 2 2 2 2 2 2 2 10 7 6" xfId="3889" xr:uid="{00000000-0005-0000-0000-00002E0F0000}"/>
    <cellStyle name="Comma 2 2 2 2 2 2 2 2 2 2 2 10 7 7" xfId="3890" xr:uid="{00000000-0005-0000-0000-00002F0F0000}"/>
    <cellStyle name="Comma 2 2 2 2 2 2 2 2 2 2 2 10 7 8" xfId="3891" xr:uid="{00000000-0005-0000-0000-0000300F0000}"/>
    <cellStyle name="Comma 2 2 2 2 2 2 2 2 2 2 2 10 8" xfId="3892" xr:uid="{00000000-0005-0000-0000-0000310F0000}"/>
    <cellStyle name="Comma 2 2 2 2 2 2 2 2 2 2 2 11" xfId="3893" xr:uid="{00000000-0005-0000-0000-0000320F0000}"/>
    <cellStyle name="Comma 2 2 2 2 2 2 2 2 2 2 2 11 2" xfId="3894" xr:uid="{00000000-0005-0000-0000-0000330F0000}"/>
    <cellStyle name="Comma 2 2 2 2 2 2 2 2 2 2 2 11 2 10" xfId="3895" xr:uid="{00000000-0005-0000-0000-0000340F0000}"/>
    <cellStyle name="Comma 2 2 2 2 2 2 2 2 2 2 2 11 2 11" xfId="3896" xr:uid="{00000000-0005-0000-0000-0000350F0000}"/>
    <cellStyle name="Comma 2 2 2 2 2 2 2 2 2 2 2 11 2 12" xfId="3897" xr:uid="{00000000-0005-0000-0000-0000360F0000}"/>
    <cellStyle name="Comma 2 2 2 2 2 2 2 2 2 2 2 11 2 13" xfId="3898" xr:uid="{00000000-0005-0000-0000-0000370F0000}"/>
    <cellStyle name="Comma 2 2 2 2 2 2 2 2 2 2 2 11 2 2" xfId="3899" xr:uid="{00000000-0005-0000-0000-0000380F0000}"/>
    <cellStyle name="Comma 2 2 2 2 2 2 2 2 2 2 2 11 2 2 2" xfId="3900" xr:uid="{00000000-0005-0000-0000-0000390F0000}"/>
    <cellStyle name="Comma 2 2 2 2 2 2 2 2 2 2 2 11 2 2 3" xfId="3901" xr:uid="{00000000-0005-0000-0000-00003A0F0000}"/>
    <cellStyle name="Comma 2 2 2 2 2 2 2 2 2 2 2 11 2 2 4" xfId="3902" xr:uid="{00000000-0005-0000-0000-00003B0F0000}"/>
    <cellStyle name="Comma 2 2 2 2 2 2 2 2 2 2 2 11 2 3" xfId="3903" xr:uid="{00000000-0005-0000-0000-00003C0F0000}"/>
    <cellStyle name="Comma 2 2 2 2 2 2 2 2 2 2 2 11 2 3 2" xfId="3904" xr:uid="{00000000-0005-0000-0000-00003D0F0000}"/>
    <cellStyle name="Comma 2 2 2 2 2 2 2 2 2 2 2 11 2 4" xfId="3905" xr:uid="{00000000-0005-0000-0000-00003E0F0000}"/>
    <cellStyle name="Comma 2 2 2 2 2 2 2 2 2 2 2 11 2 5" xfId="3906" xr:uid="{00000000-0005-0000-0000-00003F0F0000}"/>
    <cellStyle name="Comma 2 2 2 2 2 2 2 2 2 2 2 11 2 6" xfId="3907" xr:uid="{00000000-0005-0000-0000-0000400F0000}"/>
    <cellStyle name="Comma 2 2 2 2 2 2 2 2 2 2 2 11 2 6 2" xfId="3908" xr:uid="{00000000-0005-0000-0000-0000410F0000}"/>
    <cellStyle name="Comma 2 2 2 2 2 2 2 2 2 2 2 11 2 7" xfId="3909" xr:uid="{00000000-0005-0000-0000-0000420F0000}"/>
    <cellStyle name="Comma 2 2 2 2 2 2 2 2 2 2 2 11 2 8" xfId="3910" xr:uid="{00000000-0005-0000-0000-0000430F0000}"/>
    <cellStyle name="Comma 2 2 2 2 2 2 2 2 2 2 2 11 2 9" xfId="3911" xr:uid="{00000000-0005-0000-0000-0000440F0000}"/>
    <cellStyle name="Comma 2 2 2 2 2 2 2 2 2 2 2 11 3" xfId="3912" xr:uid="{00000000-0005-0000-0000-0000450F0000}"/>
    <cellStyle name="Comma 2 2 2 2 2 2 2 2 2 2 2 11 3 10" xfId="3913" xr:uid="{00000000-0005-0000-0000-0000460F0000}"/>
    <cellStyle name="Comma 2 2 2 2 2 2 2 2 2 2 2 11 3 11" xfId="3914" xr:uid="{00000000-0005-0000-0000-0000470F0000}"/>
    <cellStyle name="Comma 2 2 2 2 2 2 2 2 2 2 2 11 3 12" xfId="3915" xr:uid="{00000000-0005-0000-0000-0000480F0000}"/>
    <cellStyle name="Comma 2 2 2 2 2 2 2 2 2 2 2 11 3 2" xfId="3916" xr:uid="{00000000-0005-0000-0000-0000490F0000}"/>
    <cellStyle name="Comma 2 2 2 2 2 2 2 2 2 2 2 11 3 3" xfId="3917" xr:uid="{00000000-0005-0000-0000-00004A0F0000}"/>
    <cellStyle name="Comma 2 2 2 2 2 2 2 2 2 2 2 11 3 4" xfId="3918" xr:uid="{00000000-0005-0000-0000-00004B0F0000}"/>
    <cellStyle name="Comma 2 2 2 2 2 2 2 2 2 2 2 11 3 5" xfId="3919" xr:uid="{00000000-0005-0000-0000-00004C0F0000}"/>
    <cellStyle name="Comma 2 2 2 2 2 2 2 2 2 2 2 11 3 6" xfId="3920" xr:uid="{00000000-0005-0000-0000-00004D0F0000}"/>
    <cellStyle name="Comma 2 2 2 2 2 2 2 2 2 2 2 11 3 6 2" xfId="3921" xr:uid="{00000000-0005-0000-0000-00004E0F0000}"/>
    <cellStyle name="Comma 2 2 2 2 2 2 2 2 2 2 2 11 3 7" xfId="3922" xr:uid="{00000000-0005-0000-0000-00004F0F0000}"/>
    <cellStyle name="Comma 2 2 2 2 2 2 2 2 2 2 2 11 3 8" xfId="3923" xr:uid="{00000000-0005-0000-0000-0000500F0000}"/>
    <cellStyle name="Comma 2 2 2 2 2 2 2 2 2 2 2 11 3 9" xfId="3924" xr:uid="{00000000-0005-0000-0000-0000510F0000}"/>
    <cellStyle name="Comma 2 2 2 2 2 2 2 2 2 2 2 11 4" xfId="3925" xr:uid="{00000000-0005-0000-0000-0000520F0000}"/>
    <cellStyle name="Comma 2 2 2 2 2 2 2 2 2 2 2 11 4 2" xfId="3926" xr:uid="{00000000-0005-0000-0000-0000530F0000}"/>
    <cellStyle name="Comma 2 2 2 2 2 2 2 2 2 2 2 11 4 3" xfId="3927" xr:uid="{00000000-0005-0000-0000-0000540F0000}"/>
    <cellStyle name="Comma 2 2 2 2 2 2 2 2 2 2 2 11 4 4" xfId="3928" xr:uid="{00000000-0005-0000-0000-0000550F0000}"/>
    <cellStyle name="Comma 2 2 2 2 2 2 2 2 2 2 2 11 4 5" xfId="3929" xr:uid="{00000000-0005-0000-0000-0000560F0000}"/>
    <cellStyle name="Comma 2 2 2 2 2 2 2 2 2 2 2 11 4 6" xfId="3930" xr:uid="{00000000-0005-0000-0000-0000570F0000}"/>
    <cellStyle name="Comma 2 2 2 2 2 2 2 2 2 2 2 11 4 7" xfId="3931" xr:uid="{00000000-0005-0000-0000-0000580F0000}"/>
    <cellStyle name="Comma 2 2 2 2 2 2 2 2 2 2 2 11 4 8" xfId="3932" xr:uid="{00000000-0005-0000-0000-0000590F0000}"/>
    <cellStyle name="Comma 2 2 2 2 2 2 2 2 2 2 2 11 5" xfId="3933" xr:uid="{00000000-0005-0000-0000-00005A0F0000}"/>
    <cellStyle name="Comma 2 2 2 2 2 2 2 2 2 2 2 11 5 2" xfId="3934" xr:uid="{00000000-0005-0000-0000-00005B0F0000}"/>
    <cellStyle name="Comma 2 2 2 2 2 2 2 2 2 2 2 11 5 3" xfId="3935" xr:uid="{00000000-0005-0000-0000-00005C0F0000}"/>
    <cellStyle name="Comma 2 2 2 2 2 2 2 2 2 2 2 11 5 4" xfId="3936" xr:uid="{00000000-0005-0000-0000-00005D0F0000}"/>
    <cellStyle name="Comma 2 2 2 2 2 2 2 2 2 2 2 11 5 5" xfId="3937" xr:uid="{00000000-0005-0000-0000-00005E0F0000}"/>
    <cellStyle name="Comma 2 2 2 2 2 2 2 2 2 2 2 11 5 6" xfId="3938" xr:uid="{00000000-0005-0000-0000-00005F0F0000}"/>
    <cellStyle name="Comma 2 2 2 2 2 2 2 2 2 2 2 11 5 7" xfId="3939" xr:uid="{00000000-0005-0000-0000-0000600F0000}"/>
    <cellStyle name="Comma 2 2 2 2 2 2 2 2 2 2 2 11 5 8" xfId="3940" xr:uid="{00000000-0005-0000-0000-0000610F0000}"/>
    <cellStyle name="Comma 2 2 2 2 2 2 2 2 2 2 2 11 6" xfId="3941" xr:uid="{00000000-0005-0000-0000-0000620F0000}"/>
    <cellStyle name="Comma 2 2 2 2 2 2 2 2 2 2 2 11 7" xfId="3942" xr:uid="{00000000-0005-0000-0000-0000630F0000}"/>
    <cellStyle name="Comma 2 2 2 2 2 2 2 2 2 2 2 11 8" xfId="3943" xr:uid="{00000000-0005-0000-0000-0000640F0000}"/>
    <cellStyle name="Comma 2 2 2 2 2 2 2 2 2 2 2 12" xfId="3944" xr:uid="{00000000-0005-0000-0000-0000650F0000}"/>
    <cellStyle name="Comma 2 2 2 2 2 2 2 2 2 2 2 12 2" xfId="3945" xr:uid="{00000000-0005-0000-0000-0000660F0000}"/>
    <cellStyle name="Comma 2 2 2 2 2 2 2 2 2 2 2 12 2 10" xfId="3946" xr:uid="{00000000-0005-0000-0000-0000670F0000}"/>
    <cellStyle name="Comma 2 2 2 2 2 2 2 2 2 2 2 12 2 11" xfId="3947" xr:uid="{00000000-0005-0000-0000-0000680F0000}"/>
    <cellStyle name="Comma 2 2 2 2 2 2 2 2 2 2 2 12 2 12" xfId="3948" xr:uid="{00000000-0005-0000-0000-0000690F0000}"/>
    <cellStyle name="Comma 2 2 2 2 2 2 2 2 2 2 2 12 2 2" xfId="3949" xr:uid="{00000000-0005-0000-0000-00006A0F0000}"/>
    <cellStyle name="Comma 2 2 2 2 2 2 2 2 2 2 2 12 2 2 2" xfId="3950" xr:uid="{00000000-0005-0000-0000-00006B0F0000}"/>
    <cellStyle name="Comma 2 2 2 2 2 2 2 2 2 2 2 12 2 2 3" xfId="3951" xr:uid="{00000000-0005-0000-0000-00006C0F0000}"/>
    <cellStyle name="Comma 2 2 2 2 2 2 2 2 2 2 2 12 2 2 4" xfId="3952" xr:uid="{00000000-0005-0000-0000-00006D0F0000}"/>
    <cellStyle name="Comma 2 2 2 2 2 2 2 2 2 2 2 12 2 3" xfId="3953" xr:uid="{00000000-0005-0000-0000-00006E0F0000}"/>
    <cellStyle name="Comma 2 2 2 2 2 2 2 2 2 2 2 12 2 3 2" xfId="3954" xr:uid="{00000000-0005-0000-0000-00006F0F0000}"/>
    <cellStyle name="Comma 2 2 2 2 2 2 2 2 2 2 2 12 2 4" xfId="3955" xr:uid="{00000000-0005-0000-0000-0000700F0000}"/>
    <cellStyle name="Comma 2 2 2 2 2 2 2 2 2 2 2 12 2 5" xfId="3956" xr:uid="{00000000-0005-0000-0000-0000710F0000}"/>
    <cellStyle name="Comma 2 2 2 2 2 2 2 2 2 2 2 12 2 6" xfId="3957" xr:uid="{00000000-0005-0000-0000-0000720F0000}"/>
    <cellStyle name="Comma 2 2 2 2 2 2 2 2 2 2 2 12 2 6 2" xfId="3958" xr:uid="{00000000-0005-0000-0000-0000730F0000}"/>
    <cellStyle name="Comma 2 2 2 2 2 2 2 2 2 2 2 12 2 7" xfId="3959" xr:uid="{00000000-0005-0000-0000-0000740F0000}"/>
    <cellStyle name="Comma 2 2 2 2 2 2 2 2 2 2 2 12 2 8" xfId="3960" xr:uid="{00000000-0005-0000-0000-0000750F0000}"/>
    <cellStyle name="Comma 2 2 2 2 2 2 2 2 2 2 2 12 2 9" xfId="3961" xr:uid="{00000000-0005-0000-0000-0000760F0000}"/>
    <cellStyle name="Comma 2 2 2 2 2 2 2 2 2 2 2 12 3" xfId="3962" xr:uid="{00000000-0005-0000-0000-0000770F0000}"/>
    <cellStyle name="Comma 2 2 2 2 2 2 2 2 2 2 2 12 3 2" xfId="3963" xr:uid="{00000000-0005-0000-0000-0000780F0000}"/>
    <cellStyle name="Comma 2 2 2 2 2 2 2 2 2 2 2 12 3 3" xfId="3964" xr:uid="{00000000-0005-0000-0000-0000790F0000}"/>
    <cellStyle name="Comma 2 2 2 2 2 2 2 2 2 2 2 12 3 4" xfId="3965" xr:uid="{00000000-0005-0000-0000-00007A0F0000}"/>
    <cellStyle name="Comma 2 2 2 2 2 2 2 2 2 2 2 12 3 5" xfId="3966" xr:uid="{00000000-0005-0000-0000-00007B0F0000}"/>
    <cellStyle name="Comma 2 2 2 2 2 2 2 2 2 2 2 12 3 6" xfId="3967" xr:uid="{00000000-0005-0000-0000-00007C0F0000}"/>
    <cellStyle name="Comma 2 2 2 2 2 2 2 2 2 2 2 12 3 7" xfId="3968" xr:uid="{00000000-0005-0000-0000-00007D0F0000}"/>
    <cellStyle name="Comma 2 2 2 2 2 2 2 2 2 2 2 12 3 8" xfId="3969" xr:uid="{00000000-0005-0000-0000-00007E0F0000}"/>
    <cellStyle name="Comma 2 2 2 2 2 2 2 2 2 2 2 13" xfId="3970" xr:uid="{00000000-0005-0000-0000-00007F0F0000}"/>
    <cellStyle name="Comma 2 2 2 2 2 2 2 2 2 2 2 13 2" xfId="3971" xr:uid="{00000000-0005-0000-0000-0000800F0000}"/>
    <cellStyle name="Comma 2 2 2 2 2 2 2 2 2 2 2 13 2 10" xfId="3972" xr:uid="{00000000-0005-0000-0000-0000810F0000}"/>
    <cellStyle name="Comma 2 2 2 2 2 2 2 2 2 2 2 13 2 11" xfId="3973" xr:uid="{00000000-0005-0000-0000-0000820F0000}"/>
    <cellStyle name="Comma 2 2 2 2 2 2 2 2 2 2 2 13 2 12" xfId="3974" xr:uid="{00000000-0005-0000-0000-0000830F0000}"/>
    <cellStyle name="Comma 2 2 2 2 2 2 2 2 2 2 2 13 2 2" xfId="3975" xr:uid="{00000000-0005-0000-0000-0000840F0000}"/>
    <cellStyle name="Comma 2 2 2 2 2 2 2 2 2 2 2 13 2 3" xfId="3976" xr:uid="{00000000-0005-0000-0000-0000850F0000}"/>
    <cellStyle name="Comma 2 2 2 2 2 2 2 2 2 2 2 13 2 4" xfId="3977" xr:uid="{00000000-0005-0000-0000-0000860F0000}"/>
    <cellStyle name="Comma 2 2 2 2 2 2 2 2 2 2 2 13 2 5" xfId="3978" xr:uid="{00000000-0005-0000-0000-0000870F0000}"/>
    <cellStyle name="Comma 2 2 2 2 2 2 2 2 2 2 2 13 2 6" xfId="3979" xr:uid="{00000000-0005-0000-0000-0000880F0000}"/>
    <cellStyle name="Comma 2 2 2 2 2 2 2 2 2 2 2 13 2 6 2" xfId="3980" xr:uid="{00000000-0005-0000-0000-0000890F0000}"/>
    <cellStyle name="Comma 2 2 2 2 2 2 2 2 2 2 2 13 2 7" xfId="3981" xr:uid="{00000000-0005-0000-0000-00008A0F0000}"/>
    <cellStyle name="Comma 2 2 2 2 2 2 2 2 2 2 2 13 2 8" xfId="3982" xr:uid="{00000000-0005-0000-0000-00008B0F0000}"/>
    <cellStyle name="Comma 2 2 2 2 2 2 2 2 2 2 2 13 2 9" xfId="3983" xr:uid="{00000000-0005-0000-0000-00008C0F0000}"/>
    <cellStyle name="Comma 2 2 2 2 2 2 2 2 2 2 2 14" xfId="3984" xr:uid="{00000000-0005-0000-0000-00008D0F0000}"/>
    <cellStyle name="Comma 2 2 2 2 2 2 2 2 2 2 2 14 2" xfId="3985" xr:uid="{00000000-0005-0000-0000-00008E0F0000}"/>
    <cellStyle name="Comma 2 2 2 2 2 2 2 2 2 2 2 14 2 2" xfId="3986" xr:uid="{00000000-0005-0000-0000-00008F0F0000}"/>
    <cellStyle name="Comma 2 2 2 2 2 2 2 2 2 2 2 14 3" xfId="3987" xr:uid="{00000000-0005-0000-0000-0000900F0000}"/>
    <cellStyle name="Comma 2 2 2 2 2 2 2 2 2 2 2 15" xfId="3988" xr:uid="{00000000-0005-0000-0000-0000910F0000}"/>
    <cellStyle name="Comma 2 2 2 2 2 2 2 2 2 2 2 15 2" xfId="3989" xr:uid="{00000000-0005-0000-0000-0000920F0000}"/>
    <cellStyle name="Comma 2 2 2 2 2 2 2 2 2 2 2 15 2 2" xfId="3990" xr:uid="{00000000-0005-0000-0000-0000930F0000}"/>
    <cellStyle name="Comma 2 2 2 2 2 2 2 2 2 2 2 16" xfId="3991" xr:uid="{00000000-0005-0000-0000-0000940F0000}"/>
    <cellStyle name="Comma 2 2 2 2 2 2 2 2 2 2 2 16 2" xfId="3992" xr:uid="{00000000-0005-0000-0000-0000950F0000}"/>
    <cellStyle name="Comma 2 2 2 2 2 2 2 2 2 2 2 16 2 2" xfId="3993" xr:uid="{00000000-0005-0000-0000-0000960F0000}"/>
    <cellStyle name="Comma 2 2 2 2 2 2 2 2 2 2 2 17" xfId="3994" xr:uid="{00000000-0005-0000-0000-0000970F0000}"/>
    <cellStyle name="Comma 2 2 2 2 2 2 2 2 2 2 2 18" xfId="3995" xr:uid="{00000000-0005-0000-0000-0000980F0000}"/>
    <cellStyle name="Comma 2 2 2 2 2 2 2 2 2 2 2 19" xfId="3996" xr:uid="{00000000-0005-0000-0000-0000990F0000}"/>
    <cellStyle name="Comma 2 2 2 2 2 2 2 2 2 2 2 2" xfId="3997" xr:uid="{00000000-0005-0000-0000-00009A0F0000}"/>
    <cellStyle name="Comma 2 2 2 2 2 2 2 2 2 2 2 2 10" xfId="3998" xr:uid="{00000000-0005-0000-0000-00009B0F0000}"/>
    <cellStyle name="Comma 2 2 2 2 2 2 2 2 2 2 2 2 10 10" xfId="3999" xr:uid="{00000000-0005-0000-0000-00009C0F0000}"/>
    <cellStyle name="Comma 2 2 2 2 2 2 2 2 2 2 2 2 10 11" xfId="4000" xr:uid="{00000000-0005-0000-0000-00009D0F0000}"/>
    <cellStyle name="Comma 2 2 2 2 2 2 2 2 2 2 2 2 10 12" xfId="4001" xr:uid="{00000000-0005-0000-0000-00009E0F0000}"/>
    <cellStyle name="Comma 2 2 2 2 2 2 2 2 2 2 2 2 10 13" xfId="4002" xr:uid="{00000000-0005-0000-0000-00009F0F0000}"/>
    <cellStyle name="Comma 2 2 2 2 2 2 2 2 2 2 2 2 10 14" xfId="4003" xr:uid="{00000000-0005-0000-0000-0000A00F0000}"/>
    <cellStyle name="Comma 2 2 2 2 2 2 2 2 2 2 2 2 10 2" xfId="4004" xr:uid="{00000000-0005-0000-0000-0000A10F0000}"/>
    <cellStyle name="Comma 2 2 2 2 2 2 2 2 2 2 2 2 10 2 2" xfId="4005" xr:uid="{00000000-0005-0000-0000-0000A20F0000}"/>
    <cellStyle name="Comma 2 2 2 2 2 2 2 2 2 2 2 2 10 2 2 2" xfId="4006" xr:uid="{00000000-0005-0000-0000-0000A30F0000}"/>
    <cellStyle name="Comma 2 2 2 2 2 2 2 2 2 2 2 2 10 2 2 3" xfId="4007" xr:uid="{00000000-0005-0000-0000-0000A40F0000}"/>
    <cellStyle name="Comma 2 2 2 2 2 2 2 2 2 2 2 2 10 2 3" xfId="4008" xr:uid="{00000000-0005-0000-0000-0000A50F0000}"/>
    <cellStyle name="Comma 2 2 2 2 2 2 2 2 2 2 2 2 10 2 3 2" xfId="4009" xr:uid="{00000000-0005-0000-0000-0000A60F0000}"/>
    <cellStyle name="Comma 2 2 2 2 2 2 2 2 2 2 2 2 10 3" xfId="4010" xr:uid="{00000000-0005-0000-0000-0000A70F0000}"/>
    <cellStyle name="Comma 2 2 2 2 2 2 2 2 2 2 2 2 10 3 2" xfId="4011" xr:uid="{00000000-0005-0000-0000-0000A80F0000}"/>
    <cellStyle name="Comma 2 2 2 2 2 2 2 2 2 2 2 2 10 3 3" xfId="4012" xr:uid="{00000000-0005-0000-0000-0000A90F0000}"/>
    <cellStyle name="Comma 2 2 2 2 2 2 2 2 2 2 2 2 10 4" xfId="4013" xr:uid="{00000000-0005-0000-0000-0000AA0F0000}"/>
    <cellStyle name="Comma 2 2 2 2 2 2 2 2 2 2 2 2 10 5" xfId="4014" xr:uid="{00000000-0005-0000-0000-0000AB0F0000}"/>
    <cellStyle name="Comma 2 2 2 2 2 2 2 2 2 2 2 2 10 6" xfId="4015" xr:uid="{00000000-0005-0000-0000-0000AC0F0000}"/>
    <cellStyle name="Comma 2 2 2 2 2 2 2 2 2 2 2 2 10 7" xfId="4016" xr:uid="{00000000-0005-0000-0000-0000AD0F0000}"/>
    <cellStyle name="Comma 2 2 2 2 2 2 2 2 2 2 2 2 10 8" xfId="4017" xr:uid="{00000000-0005-0000-0000-0000AE0F0000}"/>
    <cellStyle name="Comma 2 2 2 2 2 2 2 2 2 2 2 2 10 8 2" xfId="4018" xr:uid="{00000000-0005-0000-0000-0000AF0F0000}"/>
    <cellStyle name="Comma 2 2 2 2 2 2 2 2 2 2 2 2 10 9" xfId="4019" xr:uid="{00000000-0005-0000-0000-0000B00F0000}"/>
    <cellStyle name="Comma 2 2 2 2 2 2 2 2 2 2 2 2 11" xfId="4020" xr:uid="{00000000-0005-0000-0000-0000B10F0000}"/>
    <cellStyle name="Comma 2 2 2 2 2 2 2 2 2 2 2 2 11 10" xfId="4021" xr:uid="{00000000-0005-0000-0000-0000B20F0000}"/>
    <cellStyle name="Comma 2 2 2 2 2 2 2 2 2 2 2 2 11 11" xfId="4022" xr:uid="{00000000-0005-0000-0000-0000B30F0000}"/>
    <cellStyle name="Comma 2 2 2 2 2 2 2 2 2 2 2 2 11 12" xfId="4023" xr:uid="{00000000-0005-0000-0000-0000B40F0000}"/>
    <cellStyle name="Comma 2 2 2 2 2 2 2 2 2 2 2 2 11 13" xfId="4024" xr:uid="{00000000-0005-0000-0000-0000B50F0000}"/>
    <cellStyle name="Comma 2 2 2 2 2 2 2 2 2 2 2 2 11 2" xfId="4025" xr:uid="{00000000-0005-0000-0000-0000B60F0000}"/>
    <cellStyle name="Comma 2 2 2 2 2 2 2 2 2 2 2 2 11 3" xfId="4026" xr:uid="{00000000-0005-0000-0000-0000B70F0000}"/>
    <cellStyle name="Comma 2 2 2 2 2 2 2 2 2 2 2 2 11 4" xfId="4027" xr:uid="{00000000-0005-0000-0000-0000B80F0000}"/>
    <cellStyle name="Comma 2 2 2 2 2 2 2 2 2 2 2 2 11 5" xfId="4028" xr:uid="{00000000-0005-0000-0000-0000B90F0000}"/>
    <cellStyle name="Comma 2 2 2 2 2 2 2 2 2 2 2 2 11 6" xfId="4029" xr:uid="{00000000-0005-0000-0000-0000BA0F0000}"/>
    <cellStyle name="Comma 2 2 2 2 2 2 2 2 2 2 2 2 11 7" xfId="4030" xr:uid="{00000000-0005-0000-0000-0000BB0F0000}"/>
    <cellStyle name="Comma 2 2 2 2 2 2 2 2 2 2 2 2 11 7 2" xfId="4031" xr:uid="{00000000-0005-0000-0000-0000BC0F0000}"/>
    <cellStyle name="Comma 2 2 2 2 2 2 2 2 2 2 2 2 11 8" xfId="4032" xr:uid="{00000000-0005-0000-0000-0000BD0F0000}"/>
    <cellStyle name="Comma 2 2 2 2 2 2 2 2 2 2 2 2 11 9" xfId="4033" xr:uid="{00000000-0005-0000-0000-0000BE0F0000}"/>
    <cellStyle name="Comma 2 2 2 2 2 2 2 2 2 2 2 2 12" xfId="4034" xr:uid="{00000000-0005-0000-0000-0000BF0F0000}"/>
    <cellStyle name="Comma 2 2 2 2 2 2 2 2 2 2 2 2 12 2" xfId="4035" xr:uid="{00000000-0005-0000-0000-0000C00F0000}"/>
    <cellStyle name="Comma 2 2 2 2 2 2 2 2 2 2 2 2 12 3" xfId="4036" xr:uid="{00000000-0005-0000-0000-0000C10F0000}"/>
    <cellStyle name="Comma 2 2 2 2 2 2 2 2 2 2 2 2 12 4" xfId="4037" xr:uid="{00000000-0005-0000-0000-0000C20F0000}"/>
    <cellStyle name="Comma 2 2 2 2 2 2 2 2 2 2 2 2 12 5" xfId="4038" xr:uid="{00000000-0005-0000-0000-0000C30F0000}"/>
    <cellStyle name="Comma 2 2 2 2 2 2 2 2 2 2 2 2 12 6" xfId="4039" xr:uid="{00000000-0005-0000-0000-0000C40F0000}"/>
    <cellStyle name="Comma 2 2 2 2 2 2 2 2 2 2 2 2 12 7" xfId="4040" xr:uid="{00000000-0005-0000-0000-0000C50F0000}"/>
    <cellStyle name="Comma 2 2 2 2 2 2 2 2 2 2 2 2 12 8" xfId="4041" xr:uid="{00000000-0005-0000-0000-0000C60F0000}"/>
    <cellStyle name="Comma 2 2 2 2 2 2 2 2 2 2 2 2 12 9" xfId="4042" xr:uid="{00000000-0005-0000-0000-0000C70F0000}"/>
    <cellStyle name="Comma 2 2 2 2 2 2 2 2 2 2 2 2 13" xfId="4043" xr:uid="{00000000-0005-0000-0000-0000C80F0000}"/>
    <cellStyle name="Comma 2 2 2 2 2 2 2 2 2 2 2 2 13 2" xfId="4044" xr:uid="{00000000-0005-0000-0000-0000C90F0000}"/>
    <cellStyle name="Comma 2 2 2 2 2 2 2 2 2 2 2 2 13 3" xfId="4045" xr:uid="{00000000-0005-0000-0000-0000CA0F0000}"/>
    <cellStyle name="Comma 2 2 2 2 2 2 2 2 2 2 2 2 13 4" xfId="4046" xr:uid="{00000000-0005-0000-0000-0000CB0F0000}"/>
    <cellStyle name="Comma 2 2 2 2 2 2 2 2 2 2 2 2 13 5" xfId="4047" xr:uid="{00000000-0005-0000-0000-0000CC0F0000}"/>
    <cellStyle name="Comma 2 2 2 2 2 2 2 2 2 2 2 2 13 6" xfId="4048" xr:uid="{00000000-0005-0000-0000-0000CD0F0000}"/>
    <cellStyle name="Comma 2 2 2 2 2 2 2 2 2 2 2 2 13 7" xfId="4049" xr:uid="{00000000-0005-0000-0000-0000CE0F0000}"/>
    <cellStyle name="Comma 2 2 2 2 2 2 2 2 2 2 2 2 13 8" xfId="4050" xr:uid="{00000000-0005-0000-0000-0000CF0F0000}"/>
    <cellStyle name="Comma 2 2 2 2 2 2 2 2 2 2 2 2 13 9" xfId="4051" xr:uid="{00000000-0005-0000-0000-0000D00F0000}"/>
    <cellStyle name="Comma 2 2 2 2 2 2 2 2 2 2 2 2 14" xfId="4052" xr:uid="{00000000-0005-0000-0000-0000D10F0000}"/>
    <cellStyle name="Comma 2 2 2 2 2 2 2 2 2 2 2 2 14 2" xfId="4053" xr:uid="{00000000-0005-0000-0000-0000D20F0000}"/>
    <cellStyle name="Comma 2 2 2 2 2 2 2 2 2 2 2 2 14 3" xfId="4054" xr:uid="{00000000-0005-0000-0000-0000D30F0000}"/>
    <cellStyle name="Comma 2 2 2 2 2 2 2 2 2 2 2 2 14 4" xfId="4055" xr:uid="{00000000-0005-0000-0000-0000D40F0000}"/>
    <cellStyle name="Comma 2 2 2 2 2 2 2 2 2 2 2 2 14 5" xfId="4056" xr:uid="{00000000-0005-0000-0000-0000D50F0000}"/>
    <cellStyle name="Comma 2 2 2 2 2 2 2 2 2 2 2 2 14 6" xfId="4057" xr:uid="{00000000-0005-0000-0000-0000D60F0000}"/>
    <cellStyle name="Comma 2 2 2 2 2 2 2 2 2 2 2 2 14 7" xfId="4058" xr:uid="{00000000-0005-0000-0000-0000D70F0000}"/>
    <cellStyle name="Comma 2 2 2 2 2 2 2 2 2 2 2 2 14 8" xfId="4059" xr:uid="{00000000-0005-0000-0000-0000D80F0000}"/>
    <cellStyle name="Comma 2 2 2 2 2 2 2 2 2 2 2 2 14 9" xfId="4060" xr:uid="{00000000-0005-0000-0000-0000D90F0000}"/>
    <cellStyle name="Comma 2 2 2 2 2 2 2 2 2 2 2 2 15" xfId="4061" xr:uid="{00000000-0005-0000-0000-0000DA0F0000}"/>
    <cellStyle name="Comma 2 2 2 2 2 2 2 2 2 2 2 2 15 2" xfId="4062" xr:uid="{00000000-0005-0000-0000-0000DB0F0000}"/>
    <cellStyle name="Comma 2 2 2 2 2 2 2 2 2 2 2 2 15 3" xfId="4063" xr:uid="{00000000-0005-0000-0000-0000DC0F0000}"/>
    <cellStyle name="Comma 2 2 2 2 2 2 2 2 2 2 2 2 15 4" xfId="4064" xr:uid="{00000000-0005-0000-0000-0000DD0F0000}"/>
    <cellStyle name="Comma 2 2 2 2 2 2 2 2 2 2 2 2 15 5" xfId="4065" xr:uid="{00000000-0005-0000-0000-0000DE0F0000}"/>
    <cellStyle name="Comma 2 2 2 2 2 2 2 2 2 2 2 2 15 6" xfId="4066" xr:uid="{00000000-0005-0000-0000-0000DF0F0000}"/>
    <cellStyle name="Comma 2 2 2 2 2 2 2 2 2 2 2 2 15 7" xfId="4067" xr:uid="{00000000-0005-0000-0000-0000E00F0000}"/>
    <cellStyle name="Comma 2 2 2 2 2 2 2 2 2 2 2 2 15 8" xfId="4068" xr:uid="{00000000-0005-0000-0000-0000E10F0000}"/>
    <cellStyle name="Comma 2 2 2 2 2 2 2 2 2 2 2 2 16" xfId="4069" xr:uid="{00000000-0005-0000-0000-0000E20F0000}"/>
    <cellStyle name="Comma 2 2 2 2 2 2 2 2 2 2 2 2 16 2" xfId="4070" xr:uid="{00000000-0005-0000-0000-0000E30F0000}"/>
    <cellStyle name="Comma 2 2 2 2 2 2 2 2 2 2 2 2 16 3" xfId="4071" xr:uid="{00000000-0005-0000-0000-0000E40F0000}"/>
    <cellStyle name="Comma 2 2 2 2 2 2 2 2 2 2 2 2 16 4" xfId="4072" xr:uid="{00000000-0005-0000-0000-0000E50F0000}"/>
    <cellStyle name="Comma 2 2 2 2 2 2 2 2 2 2 2 2 16 5" xfId="4073" xr:uid="{00000000-0005-0000-0000-0000E60F0000}"/>
    <cellStyle name="Comma 2 2 2 2 2 2 2 2 2 2 2 2 16 6" xfId="4074" xr:uid="{00000000-0005-0000-0000-0000E70F0000}"/>
    <cellStyle name="Comma 2 2 2 2 2 2 2 2 2 2 2 2 16 7" xfId="4075" xr:uid="{00000000-0005-0000-0000-0000E80F0000}"/>
    <cellStyle name="Comma 2 2 2 2 2 2 2 2 2 2 2 2 16 8" xfId="4076" xr:uid="{00000000-0005-0000-0000-0000E90F0000}"/>
    <cellStyle name="Comma 2 2 2 2 2 2 2 2 2 2 2 2 17" xfId="4077" xr:uid="{00000000-0005-0000-0000-0000EA0F0000}"/>
    <cellStyle name="Comma 2 2 2 2 2 2 2 2 2 2 2 2 17 2" xfId="4078" xr:uid="{00000000-0005-0000-0000-0000EB0F0000}"/>
    <cellStyle name="Comma 2 2 2 2 2 2 2 2 2 2 2 2 17 3" xfId="4079" xr:uid="{00000000-0005-0000-0000-0000EC0F0000}"/>
    <cellStyle name="Comma 2 2 2 2 2 2 2 2 2 2 2 2 17 4" xfId="4080" xr:uid="{00000000-0005-0000-0000-0000ED0F0000}"/>
    <cellStyle name="Comma 2 2 2 2 2 2 2 2 2 2 2 2 17 5" xfId="4081" xr:uid="{00000000-0005-0000-0000-0000EE0F0000}"/>
    <cellStyle name="Comma 2 2 2 2 2 2 2 2 2 2 2 2 17 6" xfId="4082" xr:uid="{00000000-0005-0000-0000-0000EF0F0000}"/>
    <cellStyle name="Comma 2 2 2 2 2 2 2 2 2 2 2 2 17 7" xfId="4083" xr:uid="{00000000-0005-0000-0000-0000F00F0000}"/>
    <cellStyle name="Comma 2 2 2 2 2 2 2 2 2 2 2 2 17 8" xfId="4084" xr:uid="{00000000-0005-0000-0000-0000F10F0000}"/>
    <cellStyle name="Comma 2 2 2 2 2 2 2 2 2 2 2 2 18" xfId="4085" xr:uid="{00000000-0005-0000-0000-0000F20F0000}"/>
    <cellStyle name="Comma 2 2 2 2 2 2 2 2 2 2 2 2 18 2" xfId="4086" xr:uid="{00000000-0005-0000-0000-0000F30F0000}"/>
    <cellStyle name="Comma 2 2 2 2 2 2 2 2 2 2 2 2 18 3" xfId="4087" xr:uid="{00000000-0005-0000-0000-0000F40F0000}"/>
    <cellStyle name="Comma 2 2 2 2 2 2 2 2 2 2 2 2 18 4" xfId="4088" xr:uid="{00000000-0005-0000-0000-0000F50F0000}"/>
    <cellStyle name="Comma 2 2 2 2 2 2 2 2 2 2 2 2 18 5" xfId="4089" xr:uid="{00000000-0005-0000-0000-0000F60F0000}"/>
    <cellStyle name="Comma 2 2 2 2 2 2 2 2 2 2 2 2 18 6" xfId="4090" xr:uid="{00000000-0005-0000-0000-0000F70F0000}"/>
    <cellStyle name="Comma 2 2 2 2 2 2 2 2 2 2 2 2 18 7" xfId="4091" xr:uid="{00000000-0005-0000-0000-0000F80F0000}"/>
    <cellStyle name="Comma 2 2 2 2 2 2 2 2 2 2 2 2 18 8" xfId="4092" xr:uid="{00000000-0005-0000-0000-0000F90F0000}"/>
    <cellStyle name="Comma 2 2 2 2 2 2 2 2 2 2 2 2 19" xfId="4093" xr:uid="{00000000-0005-0000-0000-0000FA0F0000}"/>
    <cellStyle name="Comma 2 2 2 2 2 2 2 2 2 2 2 2 19 2" xfId="4094" xr:uid="{00000000-0005-0000-0000-0000FB0F0000}"/>
    <cellStyle name="Comma 2 2 2 2 2 2 2 2 2 2 2 2 19 3" xfId="4095" xr:uid="{00000000-0005-0000-0000-0000FC0F0000}"/>
    <cellStyle name="Comma 2 2 2 2 2 2 2 2 2 2 2 2 19 4" xfId="4096" xr:uid="{00000000-0005-0000-0000-0000FD0F0000}"/>
    <cellStyle name="Comma 2 2 2 2 2 2 2 2 2 2 2 2 19 5" xfId="4097" xr:uid="{00000000-0005-0000-0000-0000FE0F0000}"/>
    <cellStyle name="Comma 2 2 2 2 2 2 2 2 2 2 2 2 19 6" xfId="4098" xr:uid="{00000000-0005-0000-0000-0000FF0F0000}"/>
    <cellStyle name="Comma 2 2 2 2 2 2 2 2 2 2 2 2 19 7" xfId="4099" xr:uid="{00000000-0005-0000-0000-000000100000}"/>
    <cellStyle name="Comma 2 2 2 2 2 2 2 2 2 2 2 2 19 8" xfId="4100" xr:uid="{00000000-0005-0000-0000-000001100000}"/>
    <cellStyle name="Comma 2 2 2 2 2 2 2 2 2 2 2 2 2" xfId="4101" xr:uid="{00000000-0005-0000-0000-000002100000}"/>
    <cellStyle name="Comma 2 2 2 2 2 2 2 2 2 2 2 2 2 10" xfId="4102" xr:uid="{00000000-0005-0000-0000-000003100000}"/>
    <cellStyle name="Comma 2 2 2 2 2 2 2 2 2 2 2 2 2 10 2" xfId="4103" xr:uid="{00000000-0005-0000-0000-000004100000}"/>
    <cellStyle name="Comma 2 2 2 2 2 2 2 2 2 2 2 2 2 10 2 10" xfId="4104" xr:uid="{00000000-0005-0000-0000-000005100000}"/>
    <cellStyle name="Comma 2 2 2 2 2 2 2 2 2 2 2 2 2 10 2 11" xfId="4105" xr:uid="{00000000-0005-0000-0000-000006100000}"/>
    <cellStyle name="Comma 2 2 2 2 2 2 2 2 2 2 2 2 2 10 2 12" xfId="4106" xr:uid="{00000000-0005-0000-0000-000007100000}"/>
    <cellStyle name="Comma 2 2 2 2 2 2 2 2 2 2 2 2 2 10 2 2" xfId="4107" xr:uid="{00000000-0005-0000-0000-000008100000}"/>
    <cellStyle name="Comma 2 2 2 2 2 2 2 2 2 2 2 2 2 10 2 2 2" xfId="4108" xr:uid="{00000000-0005-0000-0000-000009100000}"/>
    <cellStyle name="Comma 2 2 2 2 2 2 2 2 2 2 2 2 2 10 2 2 3" xfId="4109" xr:uid="{00000000-0005-0000-0000-00000A100000}"/>
    <cellStyle name="Comma 2 2 2 2 2 2 2 2 2 2 2 2 2 10 2 2 4" xfId="4110" xr:uid="{00000000-0005-0000-0000-00000B100000}"/>
    <cellStyle name="Comma 2 2 2 2 2 2 2 2 2 2 2 2 2 10 2 3" xfId="4111" xr:uid="{00000000-0005-0000-0000-00000C100000}"/>
    <cellStyle name="Comma 2 2 2 2 2 2 2 2 2 2 2 2 2 10 2 3 2" xfId="4112" xr:uid="{00000000-0005-0000-0000-00000D100000}"/>
    <cellStyle name="Comma 2 2 2 2 2 2 2 2 2 2 2 2 2 10 2 4" xfId="4113" xr:uid="{00000000-0005-0000-0000-00000E100000}"/>
    <cellStyle name="Comma 2 2 2 2 2 2 2 2 2 2 2 2 2 10 2 5" xfId="4114" xr:uid="{00000000-0005-0000-0000-00000F100000}"/>
    <cellStyle name="Comma 2 2 2 2 2 2 2 2 2 2 2 2 2 10 2 6" xfId="4115" xr:uid="{00000000-0005-0000-0000-000010100000}"/>
    <cellStyle name="Comma 2 2 2 2 2 2 2 2 2 2 2 2 2 10 2 6 2" xfId="4116" xr:uid="{00000000-0005-0000-0000-000011100000}"/>
    <cellStyle name="Comma 2 2 2 2 2 2 2 2 2 2 2 2 2 10 2 7" xfId="4117" xr:uid="{00000000-0005-0000-0000-000012100000}"/>
    <cellStyle name="Comma 2 2 2 2 2 2 2 2 2 2 2 2 2 10 2 8" xfId="4118" xr:uid="{00000000-0005-0000-0000-000013100000}"/>
    <cellStyle name="Comma 2 2 2 2 2 2 2 2 2 2 2 2 2 10 2 9" xfId="4119" xr:uid="{00000000-0005-0000-0000-000014100000}"/>
    <cellStyle name="Comma 2 2 2 2 2 2 2 2 2 2 2 2 2 10 3" xfId="4120" xr:uid="{00000000-0005-0000-0000-000015100000}"/>
    <cellStyle name="Comma 2 2 2 2 2 2 2 2 2 2 2 2 2 10 3 2" xfId="4121" xr:uid="{00000000-0005-0000-0000-000016100000}"/>
    <cellStyle name="Comma 2 2 2 2 2 2 2 2 2 2 2 2 2 10 3 3" xfId="4122" xr:uid="{00000000-0005-0000-0000-000017100000}"/>
    <cellStyle name="Comma 2 2 2 2 2 2 2 2 2 2 2 2 2 10 3 4" xfId="4123" xr:uid="{00000000-0005-0000-0000-000018100000}"/>
    <cellStyle name="Comma 2 2 2 2 2 2 2 2 2 2 2 2 2 10 3 5" xfId="4124" xr:uid="{00000000-0005-0000-0000-000019100000}"/>
    <cellStyle name="Comma 2 2 2 2 2 2 2 2 2 2 2 2 2 10 3 6" xfId="4125" xr:uid="{00000000-0005-0000-0000-00001A100000}"/>
    <cellStyle name="Comma 2 2 2 2 2 2 2 2 2 2 2 2 2 10 3 7" xfId="4126" xr:uid="{00000000-0005-0000-0000-00001B100000}"/>
    <cellStyle name="Comma 2 2 2 2 2 2 2 2 2 2 2 2 2 10 3 8" xfId="4127" xr:uid="{00000000-0005-0000-0000-00001C100000}"/>
    <cellStyle name="Comma 2 2 2 2 2 2 2 2 2 2 2 2 2 11" xfId="4128" xr:uid="{00000000-0005-0000-0000-00001D100000}"/>
    <cellStyle name="Comma 2 2 2 2 2 2 2 2 2 2 2 2 2 11 2" xfId="4129" xr:uid="{00000000-0005-0000-0000-00001E100000}"/>
    <cellStyle name="Comma 2 2 2 2 2 2 2 2 2 2 2 2 2 11 2 10" xfId="4130" xr:uid="{00000000-0005-0000-0000-00001F100000}"/>
    <cellStyle name="Comma 2 2 2 2 2 2 2 2 2 2 2 2 2 11 2 11" xfId="4131" xr:uid="{00000000-0005-0000-0000-000020100000}"/>
    <cellStyle name="Comma 2 2 2 2 2 2 2 2 2 2 2 2 2 11 2 12" xfId="4132" xr:uid="{00000000-0005-0000-0000-000021100000}"/>
    <cellStyle name="Comma 2 2 2 2 2 2 2 2 2 2 2 2 2 11 2 2" xfId="4133" xr:uid="{00000000-0005-0000-0000-000022100000}"/>
    <cellStyle name="Comma 2 2 2 2 2 2 2 2 2 2 2 2 2 11 2 3" xfId="4134" xr:uid="{00000000-0005-0000-0000-000023100000}"/>
    <cellStyle name="Comma 2 2 2 2 2 2 2 2 2 2 2 2 2 11 2 4" xfId="4135" xr:uid="{00000000-0005-0000-0000-000024100000}"/>
    <cellStyle name="Comma 2 2 2 2 2 2 2 2 2 2 2 2 2 11 2 5" xfId="4136" xr:uid="{00000000-0005-0000-0000-000025100000}"/>
    <cellStyle name="Comma 2 2 2 2 2 2 2 2 2 2 2 2 2 11 2 6" xfId="4137" xr:uid="{00000000-0005-0000-0000-000026100000}"/>
    <cellStyle name="Comma 2 2 2 2 2 2 2 2 2 2 2 2 2 11 2 6 2" xfId="4138" xr:uid="{00000000-0005-0000-0000-000027100000}"/>
    <cellStyle name="Comma 2 2 2 2 2 2 2 2 2 2 2 2 2 11 2 7" xfId="4139" xr:uid="{00000000-0005-0000-0000-000028100000}"/>
    <cellStyle name="Comma 2 2 2 2 2 2 2 2 2 2 2 2 2 11 2 8" xfId="4140" xr:uid="{00000000-0005-0000-0000-000029100000}"/>
    <cellStyle name="Comma 2 2 2 2 2 2 2 2 2 2 2 2 2 11 2 9" xfId="4141" xr:uid="{00000000-0005-0000-0000-00002A100000}"/>
    <cellStyle name="Comma 2 2 2 2 2 2 2 2 2 2 2 2 2 12" xfId="4142" xr:uid="{00000000-0005-0000-0000-00002B100000}"/>
    <cellStyle name="Comma 2 2 2 2 2 2 2 2 2 2 2 2 2 12 2" xfId="4143" xr:uid="{00000000-0005-0000-0000-00002C100000}"/>
    <cellStyle name="Comma 2 2 2 2 2 2 2 2 2 2 2 2 2 12 2 2" xfId="4144" xr:uid="{00000000-0005-0000-0000-00002D100000}"/>
    <cellStyle name="Comma 2 2 2 2 2 2 2 2 2 2 2 2 2 12 3" xfId="4145" xr:uid="{00000000-0005-0000-0000-00002E100000}"/>
    <cellStyle name="Comma 2 2 2 2 2 2 2 2 2 2 2 2 2 13" xfId="4146" xr:uid="{00000000-0005-0000-0000-00002F100000}"/>
    <cellStyle name="Comma 2 2 2 2 2 2 2 2 2 2 2 2 2 13 2" xfId="4147" xr:uid="{00000000-0005-0000-0000-000030100000}"/>
    <cellStyle name="Comma 2 2 2 2 2 2 2 2 2 2 2 2 2 13 2 2" xfId="4148" xr:uid="{00000000-0005-0000-0000-000031100000}"/>
    <cellStyle name="Comma 2 2 2 2 2 2 2 2 2 2 2 2 2 14" xfId="4149" xr:uid="{00000000-0005-0000-0000-000032100000}"/>
    <cellStyle name="Comma 2 2 2 2 2 2 2 2 2 2 2 2 2 14 2" xfId="4150" xr:uid="{00000000-0005-0000-0000-000033100000}"/>
    <cellStyle name="Comma 2 2 2 2 2 2 2 2 2 2 2 2 2 14 2 2" xfId="4151" xr:uid="{00000000-0005-0000-0000-000034100000}"/>
    <cellStyle name="Comma 2 2 2 2 2 2 2 2 2 2 2 2 2 15" xfId="4152" xr:uid="{00000000-0005-0000-0000-000035100000}"/>
    <cellStyle name="Comma 2 2 2 2 2 2 2 2 2 2 2 2 2 16" xfId="4153" xr:uid="{00000000-0005-0000-0000-000036100000}"/>
    <cellStyle name="Comma 2 2 2 2 2 2 2 2 2 2 2 2 2 17" xfId="4154" xr:uid="{00000000-0005-0000-0000-000037100000}"/>
    <cellStyle name="Comma 2 2 2 2 2 2 2 2 2 2 2 2 2 18" xfId="4155" xr:uid="{00000000-0005-0000-0000-000038100000}"/>
    <cellStyle name="Comma 2 2 2 2 2 2 2 2 2 2 2 2 2 19" xfId="4156" xr:uid="{00000000-0005-0000-0000-000039100000}"/>
    <cellStyle name="Comma 2 2 2 2 2 2 2 2 2 2 2 2 2 2" xfId="4157" xr:uid="{00000000-0005-0000-0000-00003A100000}"/>
    <cellStyle name="Comma 2 2 2 2 2 2 2 2 2 2 2 2 2 2 10" xfId="4158" xr:uid="{00000000-0005-0000-0000-00003B100000}"/>
    <cellStyle name="Comma 2 2 2 2 2 2 2 2 2 2 2 2 2 2 10 10" xfId="4159" xr:uid="{00000000-0005-0000-0000-00003C100000}"/>
    <cellStyle name="Comma 2 2 2 2 2 2 2 2 2 2 2 2 2 2 10 11" xfId="4160" xr:uid="{00000000-0005-0000-0000-00003D100000}"/>
    <cellStyle name="Comma 2 2 2 2 2 2 2 2 2 2 2 2 2 2 10 12" xfId="4161" xr:uid="{00000000-0005-0000-0000-00003E100000}"/>
    <cellStyle name="Comma 2 2 2 2 2 2 2 2 2 2 2 2 2 2 10 13" xfId="4162" xr:uid="{00000000-0005-0000-0000-00003F100000}"/>
    <cellStyle name="Comma 2 2 2 2 2 2 2 2 2 2 2 2 2 2 10 2" xfId="4163" xr:uid="{00000000-0005-0000-0000-000040100000}"/>
    <cellStyle name="Comma 2 2 2 2 2 2 2 2 2 2 2 2 2 2 10 3" xfId="4164" xr:uid="{00000000-0005-0000-0000-000041100000}"/>
    <cellStyle name="Comma 2 2 2 2 2 2 2 2 2 2 2 2 2 2 10 4" xfId="4165" xr:uid="{00000000-0005-0000-0000-000042100000}"/>
    <cellStyle name="Comma 2 2 2 2 2 2 2 2 2 2 2 2 2 2 10 5" xfId="4166" xr:uid="{00000000-0005-0000-0000-000043100000}"/>
    <cellStyle name="Comma 2 2 2 2 2 2 2 2 2 2 2 2 2 2 10 6" xfId="4167" xr:uid="{00000000-0005-0000-0000-000044100000}"/>
    <cellStyle name="Comma 2 2 2 2 2 2 2 2 2 2 2 2 2 2 10 7" xfId="4168" xr:uid="{00000000-0005-0000-0000-000045100000}"/>
    <cellStyle name="Comma 2 2 2 2 2 2 2 2 2 2 2 2 2 2 10 7 2" xfId="4169" xr:uid="{00000000-0005-0000-0000-000046100000}"/>
    <cellStyle name="Comma 2 2 2 2 2 2 2 2 2 2 2 2 2 2 10 8" xfId="4170" xr:uid="{00000000-0005-0000-0000-000047100000}"/>
    <cellStyle name="Comma 2 2 2 2 2 2 2 2 2 2 2 2 2 2 10 9" xfId="4171" xr:uid="{00000000-0005-0000-0000-000048100000}"/>
    <cellStyle name="Comma 2 2 2 2 2 2 2 2 2 2 2 2 2 2 11" xfId="4172" xr:uid="{00000000-0005-0000-0000-000049100000}"/>
    <cellStyle name="Comma 2 2 2 2 2 2 2 2 2 2 2 2 2 2 11 2" xfId="4173" xr:uid="{00000000-0005-0000-0000-00004A100000}"/>
    <cellStyle name="Comma 2 2 2 2 2 2 2 2 2 2 2 2 2 2 11 3" xfId="4174" xr:uid="{00000000-0005-0000-0000-00004B100000}"/>
    <cellStyle name="Comma 2 2 2 2 2 2 2 2 2 2 2 2 2 2 11 4" xfId="4175" xr:uid="{00000000-0005-0000-0000-00004C100000}"/>
    <cellStyle name="Comma 2 2 2 2 2 2 2 2 2 2 2 2 2 2 11 5" xfId="4176" xr:uid="{00000000-0005-0000-0000-00004D100000}"/>
    <cellStyle name="Comma 2 2 2 2 2 2 2 2 2 2 2 2 2 2 11 6" xfId="4177" xr:uid="{00000000-0005-0000-0000-00004E100000}"/>
    <cellStyle name="Comma 2 2 2 2 2 2 2 2 2 2 2 2 2 2 11 7" xfId="4178" xr:uid="{00000000-0005-0000-0000-00004F100000}"/>
    <cellStyle name="Comma 2 2 2 2 2 2 2 2 2 2 2 2 2 2 11 8" xfId="4179" xr:uid="{00000000-0005-0000-0000-000050100000}"/>
    <cellStyle name="Comma 2 2 2 2 2 2 2 2 2 2 2 2 2 2 11 9" xfId="4180" xr:uid="{00000000-0005-0000-0000-000051100000}"/>
    <cellStyle name="Comma 2 2 2 2 2 2 2 2 2 2 2 2 2 2 12" xfId="4181" xr:uid="{00000000-0005-0000-0000-000052100000}"/>
    <cellStyle name="Comma 2 2 2 2 2 2 2 2 2 2 2 2 2 2 12 2" xfId="4182" xr:uid="{00000000-0005-0000-0000-000053100000}"/>
    <cellStyle name="Comma 2 2 2 2 2 2 2 2 2 2 2 2 2 2 12 3" xfId="4183" xr:uid="{00000000-0005-0000-0000-000054100000}"/>
    <cellStyle name="Comma 2 2 2 2 2 2 2 2 2 2 2 2 2 2 12 4" xfId="4184" xr:uid="{00000000-0005-0000-0000-000055100000}"/>
    <cellStyle name="Comma 2 2 2 2 2 2 2 2 2 2 2 2 2 2 12 5" xfId="4185" xr:uid="{00000000-0005-0000-0000-000056100000}"/>
    <cellStyle name="Comma 2 2 2 2 2 2 2 2 2 2 2 2 2 2 12 6" xfId="4186" xr:uid="{00000000-0005-0000-0000-000057100000}"/>
    <cellStyle name="Comma 2 2 2 2 2 2 2 2 2 2 2 2 2 2 12 7" xfId="4187" xr:uid="{00000000-0005-0000-0000-000058100000}"/>
    <cellStyle name="Comma 2 2 2 2 2 2 2 2 2 2 2 2 2 2 12 8" xfId="4188" xr:uid="{00000000-0005-0000-0000-000059100000}"/>
    <cellStyle name="Comma 2 2 2 2 2 2 2 2 2 2 2 2 2 2 12 9" xfId="4189" xr:uid="{00000000-0005-0000-0000-00005A100000}"/>
    <cellStyle name="Comma 2 2 2 2 2 2 2 2 2 2 2 2 2 2 13" xfId="4190" xr:uid="{00000000-0005-0000-0000-00005B100000}"/>
    <cellStyle name="Comma 2 2 2 2 2 2 2 2 2 2 2 2 2 2 13 2" xfId="4191" xr:uid="{00000000-0005-0000-0000-00005C100000}"/>
    <cellStyle name="Comma 2 2 2 2 2 2 2 2 2 2 2 2 2 2 13 3" xfId="4192" xr:uid="{00000000-0005-0000-0000-00005D100000}"/>
    <cellStyle name="Comma 2 2 2 2 2 2 2 2 2 2 2 2 2 2 13 4" xfId="4193" xr:uid="{00000000-0005-0000-0000-00005E100000}"/>
    <cellStyle name="Comma 2 2 2 2 2 2 2 2 2 2 2 2 2 2 13 5" xfId="4194" xr:uid="{00000000-0005-0000-0000-00005F100000}"/>
    <cellStyle name="Comma 2 2 2 2 2 2 2 2 2 2 2 2 2 2 13 6" xfId="4195" xr:uid="{00000000-0005-0000-0000-000060100000}"/>
    <cellStyle name="Comma 2 2 2 2 2 2 2 2 2 2 2 2 2 2 13 7" xfId="4196" xr:uid="{00000000-0005-0000-0000-000061100000}"/>
    <cellStyle name="Comma 2 2 2 2 2 2 2 2 2 2 2 2 2 2 13 8" xfId="4197" xr:uid="{00000000-0005-0000-0000-000062100000}"/>
    <cellStyle name="Comma 2 2 2 2 2 2 2 2 2 2 2 2 2 2 13 9" xfId="4198" xr:uid="{00000000-0005-0000-0000-000063100000}"/>
    <cellStyle name="Comma 2 2 2 2 2 2 2 2 2 2 2 2 2 2 14" xfId="4199" xr:uid="{00000000-0005-0000-0000-000064100000}"/>
    <cellStyle name="Comma 2 2 2 2 2 2 2 2 2 2 2 2 2 2 14 2" xfId="4200" xr:uid="{00000000-0005-0000-0000-000065100000}"/>
    <cellStyle name="Comma 2 2 2 2 2 2 2 2 2 2 2 2 2 2 14 3" xfId="4201" xr:uid="{00000000-0005-0000-0000-000066100000}"/>
    <cellStyle name="Comma 2 2 2 2 2 2 2 2 2 2 2 2 2 2 14 4" xfId="4202" xr:uid="{00000000-0005-0000-0000-000067100000}"/>
    <cellStyle name="Comma 2 2 2 2 2 2 2 2 2 2 2 2 2 2 14 5" xfId="4203" xr:uid="{00000000-0005-0000-0000-000068100000}"/>
    <cellStyle name="Comma 2 2 2 2 2 2 2 2 2 2 2 2 2 2 14 6" xfId="4204" xr:uid="{00000000-0005-0000-0000-000069100000}"/>
    <cellStyle name="Comma 2 2 2 2 2 2 2 2 2 2 2 2 2 2 14 7" xfId="4205" xr:uid="{00000000-0005-0000-0000-00006A100000}"/>
    <cellStyle name="Comma 2 2 2 2 2 2 2 2 2 2 2 2 2 2 14 8" xfId="4206" xr:uid="{00000000-0005-0000-0000-00006B100000}"/>
    <cellStyle name="Comma 2 2 2 2 2 2 2 2 2 2 2 2 2 2 15" xfId="4207" xr:uid="{00000000-0005-0000-0000-00006C100000}"/>
    <cellStyle name="Comma 2 2 2 2 2 2 2 2 2 2 2 2 2 2 15 2" xfId="4208" xr:uid="{00000000-0005-0000-0000-00006D100000}"/>
    <cellStyle name="Comma 2 2 2 2 2 2 2 2 2 2 2 2 2 2 15 3" xfId="4209" xr:uid="{00000000-0005-0000-0000-00006E100000}"/>
    <cellStyle name="Comma 2 2 2 2 2 2 2 2 2 2 2 2 2 2 15 4" xfId="4210" xr:uid="{00000000-0005-0000-0000-00006F100000}"/>
    <cellStyle name="Comma 2 2 2 2 2 2 2 2 2 2 2 2 2 2 15 5" xfId="4211" xr:uid="{00000000-0005-0000-0000-000070100000}"/>
    <cellStyle name="Comma 2 2 2 2 2 2 2 2 2 2 2 2 2 2 15 6" xfId="4212" xr:uid="{00000000-0005-0000-0000-000071100000}"/>
    <cellStyle name="Comma 2 2 2 2 2 2 2 2 2 2 2 2 2 2 15 7" xfId="4213" xr:uid="{00000000-0005-0000-0000-000072100000}"/>
    <cellStyle name="Comma 2 2 2 2 2 2 2 2 2 2 2 2 2 2 15 8" xfId="4214" xr:uid="{00000000-0005-0000-0000-000073100000}"/>
    <cellStyle name="Comma 2 2 2 2 2 2 2 2 2 2 2 2 2 2 16" xfId="4215" xr:uid="{00000000-0005-0000-0000-000074100000}"/>
    <cellStyle name="Comma 2 2 2 2 2 2 2 2 2 2 2 2 2 2 16 2" xfId="4216" xr:uid="{00000000-0005-0000-0000-000075100000}"/>
    <cellStyle name="Comma 2 2 2 2 2 2 2 2 2 2 2 2 2 2 16 3" xfId="4217" xr:uid="{00000000-0005-0000-0000-000076100000}"/>
    <cellStyle name="Comma 2 2 2 2 2 2 2 2 2 2 2 2 2 2 16 4" xfId="4218" xr:uid="{00000000-0005-0000-0000-000077100000}"/>
    <cellStyle name="Comma 2 2 2 2 2 2 2 2 2 2 2 2 2 2 16 5" xfId="4219" xr:uid="{00000000-0005-0000-0000-000078100000}"/>
    <cellStyle name="Comma 2 2 2 2 2 2 2 2 2 2 2 2 2 2 16 6" xfId="4220" xr:uid="{00000000-0005-0000-0000-000079100000}"/>
    <cellStyle name="Comma 2 2 2 2 2 2 2 2 2 2 2 2 2 2 16 7" xfId="4221" xr:uid="{00000000-0005-0000-0000-00007A100000}"/>
    <cellStyle name="Comma 2 2 2 2 2 2 2 2 2 2 2 2 2 2 16 8" xfId="4222" xr:uid="{00000000-0005-0000-0000-00007B100000}"/>
    <cellStyle name="Comma 2 2 2 2 2 2 2 2 2 2 2 2 2 2 17" xfId="4223" xr:uid="{00000000-0005-0000-0000-00007C100000}"/>
    <cellStyle name="Comma 2 2 2 2 2 2 2 2 2 2 2 2 2 2 17 2" xfId="4224" xr:uid="{00000000-0005-0000-0000-00007D100000}"/>
    <cellStyle name="Comma 2 2 2 2 2 2 2 2 2 2 2 2 2 2 17 3" xfId="4225" xr:uid="{00000000-0005-0000-0000-00007E100000}"/>
    <cellStyle name="Comma 2 2 2 2 2 2 2 2 2 2 2 2 2 2 17 4" xfId="4226" xr:uid="{00000000-0005-0000-0000-00007F100000}"/>
    <cellStyle name="Comma 2 2 2 2 2 2 2 2 2 2 2 2 2 2 17 5" xfId="4227" xr:uid="{00000000-0005-0000-0000-000080100000}"/>
    <cellStyle name="Comma 2 2 2 2 2 2 2 2 2 2 2 2 2 2 17 6" xfId="4228" xr:uid="{00000000-0005-0000-0000-000081100000}"/>
    <cellStyle name="Comma 2 2 2 2 2 2 2 2 2 2 2 2 2 2 17 7" xfId="4229" xr:uid="{00000000-0005-0000-0000-000082100000}"/>
    <cellStyle name="Comma 2 2 2 2 2 2 2 2 2 2 2 2 2 2 17 8" xfId="4230" xr:uid="{00000000-0005-0000-0000-000083100000}"/>
    <cellStyle name="Comma 2 2 2 2 2 2 2 2 2 2 2 2 2 2 18" xfId="4231" xr:uid="{00000000-0005-0000-0000-000084100000}"/>
    <cellStyle name="Comma 2 2 2 2 2 2 2 2 2 2 2 2 2 2 18 2" xfId="4232" xr:uid="{00000000-0005-0000-0000-000085100000}"/>
    <cellStyle name="Comma 2 2 2 2 2 2 2 2 2 2 2 2 2 2 18 3" xfId="4233" xr:uid="{00000000-0005-0000-0000-000086100000}"/>
    <cellStyle name="Comma 2 2 2 2 2 2 2 2 2 2 2 2 2 2 18 4" xfId="4234" xr:uid="{00000000-0005-0000-0000-000087100000}"/>
    <cellStyle name="Comma 2 2 2 2 2 2 2 2 2 2 2 2 2 2 18 5" xfId="4235" xr:uid="{00000000-0005-0000-0000-000088100000}"/>
    <cellStyle name="Comma 2 2 2 2 2 2 2 2 2 2 2 2 2 2 18 6" xfId="4236" xr:uid="{00000000-0005-0000-0000-000089100000}"/>
    <cellStyle name="Comma 2 2 2 2 2 2 2 2 2 2 2 2 2 2 18 7" xfId="4237" xr:uid="{00000000-0005-0000-0000-00008A100000}"/>
    <cellStyle name="Comma 2 2 2 2 2 2 2 2 2 2 2 2 2 2 18 8" xfId="4238" xr:uid="{00000000-0005-0000-0000-00008B100000}"/>
    <cellStyle name="Comma 2 2 2 2 2 2 2 2 2 2 2 2 2 2 19" xfId="4239" xr:uid="{00000000-0005-0000-0000-00008C100000}"/>
    <cellStyle name="Comma 2 2 2 2 2 2 2 2 2 2 2 2 2 2 19 2" xfId="4240" xr:uid="{00000000-0005-0000-0000-00008D100000}"/>
    <cellStyle name="Comma 2 2 2 2 2 2 2 2 2 2 2 2 2 2 2" xfId="4241" xr:uid="{00000000-0005-0000-0000-00008E100000}"/>
    <cellStyle name="Comma 2 2 2 2 2 2 2 2 2 2 2 2 2 2 2 10" xfId="4242" xr:uid="{00000000-0005-0000-0000-00008F100000}"/>
    <cellStyle name="Comma 2 2 2 2 2 2 2 2 2 2 2 2 2 2 2 10 2" xfId="4243" xr:uid="{00000000-0005-0000-0000-000090100000}"/>
    <cellStyle name="Comma 2 2 2 2 2 2 2 2 2 2 2 2 2 2 2 10 2 10" xfId="4244" xr:uid="{00000000-0005-0000-0000-000091100000}"/>
    <cellStyle name="Comma 2 2 2 2 2 2 2 2 2 2 2 2 2 2 2 10 2 11" xfId="4245" xr:uid="{00000000-0005-0000-0000-000092100000}"/>
    <cellStyle name="Comma 2 2 2 2 2 2 2 2 2 2 2 2 2 2 2 10 2 12" xfId="4246" xr:uid="{00000000-0005-0000-0000-000093100000}"/>
    <cellStyle name="Comma 2 2 2 2 2 2 2 2 2 2 2 2 2 2 2 10 2 2" xfId="4247" xr:uid="{00000000-0005-0000-0000-000094100000}"/>
    <cellStyle name="Comma 2 2 2 2 2 2 2 2 2 2 2 2 2 2 2 10 2 3" xfId="4248" xr:uid="{00000000-0005-0000-0000-000095100000}"/>
    <cellStyle name="Comma 2 2 2 2 2 2 2 2 2 2 2 2 2 2 2 10 2 4" xfId="4249" xr:uid="{00000000-0005-0000-0000-000096100000}"/>
    <cellStyle name="Comma 2 2 2 2 2 2 2 2 2 2 2 2 2 2 2 10 2 5" xfId="4250" xr:uid="{00000000-0005-0000-0000-000097100000}"/>
    <cellStyle name="Comma 2 2 2 2 2 2 2 2 2 2 2 2 2 2 2 10 2 6" xfId="4251" xr:uid="{00000000-0005-0000-0000-000098100000}"/>
    <cellStyle name="Comma 2 2 2 2 2 2 2 2 2 2 2 2 2 2 2 10 2 6 2" xfId="4252" xr:uid="{00000000-0005-0000-0000-000099100000}"/>
    <cellStyle name="Comma 2 2 2 2 2 2 2 2 2 2 2 2 2 2 2 10 2 7" xfId="4253" xr:uid="{00000000-0005-0000-0000-00009A100000}"/>
    <cellStyle name="Comma 2 2 2 2 2 2 2 2 2 2 2 2 2 2 2 10 2 8" xfId="4254" xr:uid="{00000000-0005-0000-0000-00009B100000}"/>
    <cellStyle name="Comma 2 2 2 2 2 2 2 2 2 2 2 2 2 2 2 10 2 9" xfId="4255" xr:uid="{00000000-0005-0000-0000-00009C100000}"/>
    <cellStyle name="Comma 2 2 2 2 2 2 2 2 2 2 2 2 2 2 2 11" xfId="4256" xr:uid="{00000000-0005-0000-0000-00009D100000}"/>
    <cellStyle name="Comma 2 2 2 2 2 2 2 2 2 2 2 2 2 2 2 11 2" xfId="4257" xr:uid="{00000000-0005-0000-0000-00009E100000}"/>
    <cellStyle name="Comma 2 2 2 2 2 2 2 2 2 2 2 2 2 2 2 11 2 2" xfId="4258" xr:uid="{00000000-0005-0000-0000-00009F100000}"/>
    <cellStyle name="Comma 2 2 2 2 2 2 2 2 2 2 2 2 2 2 2 11 3" xfId="4259" xr:uid="{00000000-0005-0000-0000-0000A0100000}"/>
    <cellStyle name="Comma 2 2 2 2 2 2 2 2 2 2 2 2 2 2 2 12" xfId="4260" xr:uid="{00000000-0005-0000-0000-0000A1100000}"/>
    <cellStyle name="Comma 2 2 2 2 2 2 2 2 2 2 2 2 2 2 2 12 2" xfId="4261" xr:uid="{00000000-0005-0000-0000-0000A2100000}"/>
    <cellStyle name="Comma 2 2 2 2 2 2 2 2 2 2 2 2 2 2 2 12 2 2" xfId="4262" xr:uid="{00000000-0005-0000-0000-0000A3100000}"/>
    <cellStyle name="Comma 2 2 2 2 2 2 2 2 2 2 2 2 2 2 2 13" xfId="4263" xr:uid="{00000000-0005-0000-0000-0000A4100000}"/>
    <cellStyle name="Comma 2 2 2 2 2 2 2 2 2 2 2 2 2 2 2 13 2" xfId="4264" xr:uid="{00000000-0005-0000-0000-0000A5100000}"/>
    <cellStyle name="Comma 2 2 2 2 2 2 2 2 2 2 2 2 2 2 2 13 2 2" xfId="4265" xr:uid="{00000000-0005-0000-0000-0000A6100000}"/>
    <cellStyle name="Comma 2 2 2 2 2 2 2 2 2 2 2 2 2 2 2 14" xfId="4266" xr:uid="{00000000-0005-0000-0000-0000A7100000}"/>
    <cellStyle name="Comma 2 2 2 2 2 2 2 2 2 2 2 2 2 2 2 15" xfId="4267" xr:uid="{00000000-0005-0000-0000-0000A8100000}"/>
    <cellStyle name="Comma 2 2 2 2 2 2 2 2 2 2 2 2 2 2 2 16" xfId="4268" xr:uid="{00000000-0005-0000-0000-0000A9100000}"/>
    <cellStyle name="Comma 2 2 2 2 2 2 2 2 2 2 2 2 2 2 2 17" xfId="4269" xr:uid="{00000000-0005-0000-0000-0000AA100000}"/>
    <cellStyle name="Comma 2 2 2 2 2 2 2 2 2 2 2 2 2 2 2 18" xfId="4270" xr:uid="{00000000-0005-0000-0000-0000AB100000}"/>
    <cellStyle name="Comma 2 2 2 2 2 2 2 2 2 2 2 2 2 2 2 19" xfId="4271" xr:uid="{00000000-0005-0000-0000-0000AC100000}"/>
    <cellStyle name="Comma 2 2 2 2 2 2 2 2 2 2 2 2 2 2 2 2" xfId="4272" xr:uid="{00000000-0005-0000-0000-0000AD100000}"/>
    <cellStyle name="Comma 2 2 2 2 2 2 2 2 2 2 2 2 2 2 2 2 10" xfId="4273" xr:uid="{00000000-0005-0000-0000-0000AE100000}"/>
    <cellStyle name="Comma 2 2 2 2 2 2 2 2 2 2 2 2 2 2 2 2 10 2" xfId="4274" xr:uid="{00000000-0005-0000-0000-0000AF100000}"/>
    <cellStyle name="Comma 2 2 2 2 2 2 2 2 2 2 2 2 2 2 2 2 10 3" xfId="4275" xr:uid="{00000000-0005-0000-0000-0000B0100000}"/>
    <cellStyle name="Comma 2 2 2 2 2 2 2 2 2 2 2 2 2 2 2 2 10 4" xfId="4276" xr:uid="{00000000-0005-0000-0000-0000B1100000}"/>
    <cellStyle name="Comma 2 2 2 2 2 2 2 2 2 2 2 2 2 2 2 2 10 5" xfId="4277" xr:uid="{00000000-0005-0000-0000-0000B2100000}"/>
    <cellStyle name="Comma 2 2 2 2 2 2 2 2 2 2 2 2 2 2 2 2 10 6" xfId="4278" xr:uid="{00000000-0005-0000-0000-0000B3100000}"/>
    <cellStyle name="Comma 2 2 2 2 2 2 2 2 2 2 2 2 2 2 2 2 10 7" xfId="4279" xr:uid="{00000000-0005-0000-0000-0000B4100000}"/>
    <cellStyle name="Comma 2 2 2 2 2 2 2 2 2 2 2 2 2 2 2 2 10 8" xfId="4280" xr:uid="{00000000-0005-0000-0000-0000B5100000}"/>
    <cellStyle name="Comma 2 2 2 2 2 2 2 2 2 2 2 2 2 2 2 2 10 9" xfId="4281" xr:uid="{00000000-0005-0000-0000-0000B6100000}"/>
    <cellStyle name="Comma 2 2 2 2 2 2 2 2 2 2 2 2 2 2 2 2 11" xfId="4282" xr:uid="{00000000-0005-0000-0000-0000B7100000}"/>
    <cellStyle name="Comma 2 2 2 2 2 2 2 2 2 2 2 2 2 2 2 2 11 2" xfId="4283" xr:uid="{00000000-0005-0000-0000-0000B8100000}"/>
    <cellStyle name="Comma 2 2 2 2 2 2 2 2 2 2 2 2 2 2 2 2 11 3" xfId="4284" xr:uid="{00000000-0005-0000-0000-0000B9100000}"/>
    <cellStyle name="Comma 2 2 2 2 2 2 2 2 2 2 2 2 2 2 2 2 11 4" xfId="4285" xr:uid="{00000000-0005-0000-0000-0000BA100000}"/>
    <cellStyle name="Comma 2 2 2 2 2 2 2 2 2 2 2 2 2 2 2 2 11 5" xfId="4286" xr:uid="{00000000-0005-0000-0000-0000BB100000}"/>
    <cellStyle name="Comma 2 2 2 2 2 2 2 2 2 2 2 2 2 2 2 2 11 6" xfId="4287" xr:uid="{00000000-0005-0000-0000-0000BC100000}"/>
    <cellStyle name="Comma 2 2 2 2 2 2 2 2 2 2 2 2 2 2 2 2 11 7" xfId="4288" xr:uid="{00000000-0005-0000-0000-0000BD100000}"/>
    <cellStyle name="Comma 2 2 2 2 2 2 2 2 2 2 2 2 2 2 2 2 11 8" xfId="4289" xr:uid="{00000000-0005-0000-0000-0000BE100000}"/>
    <cellStyle name="Comma 2 2 2 2 2 2 2 2 2 2 2 2 2 2 2 2 11 9" xfId="4290" xr:uid="{00000000-0005-0000-0000-0000BF100000}"/>
    <cellStyle name="Comma 2 2 2 2 2 2 2 2 2 2 2 2 2 2 2 2 12" xfId="4291" xr:uid="{00000000-0005-0000-0000-0000C0100000}"/>
    <cellStyle name="Comma 2 2 2 2 2 2 2 2 2 2 2 2 2 2 2 2 12 2" xfId="4292" xr:uid="{00000000-0005-0000-0000-0000C1100000}"/>
    <cellStyle name="Comma 2 2 2 2 2 2 2 2 2 2 2 2 2 2 2 2 12 3" xfId="4293" xr:uid="{00000000-0005-0000-0000-0000C2100000}"/>
    <cellStyle name="Comma 2 2 2 2 2 2 2 2 2 2 2 2 2 2 2 2 12 4" xfId="4294" xr:uid="{00000000-0005-0000-0000-0000C3100000}"/>
    <cellStyle name="Comma 2 2 2 2 2 2 2 2 2 2 2 2 2 2 2 2 12 5" xfId="4295" xr:uid="{00000000-0005-0000-0000-0000C4100000}"/>
    <cellStyle name="Comma 2 2 2 2 2 2 2 2 2 2 2 2 2 2 2 2 12 6" xfId="4296" xr:uid="{00000000-0005-0000-0000-0000C5100000}"/>
    <cellStyle name="Comma 2 2 2 2 2 2 2 2 2 2 2 2 2 2 2 2 12 7" xfId="4297" xr:uid="{00000000-0005-0000-0000-0000C6100000}"/>
    <cellStyle name="Comma 2 2 2 2 2 2 2 2 2 2 2 2 2 2 2 2 12 8" xfId="4298" xr:uid="{00000000-0005-0000-0000-0000C7100000}"/>
    <cellStyle name="Comma 2 2 2 2 2 2 2 2 2 2 2 2 2 2 2 2 12 9" xfId="4299" xr:uid="{00000000-0005-0000-0000-0000C8100000}"/>
    <cellStyle name="Comma 2 2 2 2 2 2 2 2 2 2 2 2 2 2 2 2 13" xfId="4300" xr:uid="{00000000-0005-0000-0000-0000C9100000}"/>
    <cellStyle name="Comma 2 2 2 2 2 2 2 2 2 2 2 2 2 2 2 2 13 2" xfId="4301" xr:uid="{00000000-0005-0000-0000-0000CA100000}"/>
    <cellStyle name="Comma 2 2 2 2 2 2 2 2 2 2 2 2 2 2 2 2 13 3" xfId="4302" xr:uid="{00000000-0005-0000-0000-0000CB100000}"/>
    <cellStyle name="Comma 2 2 2 2 2 2 2 2 2 2 2 2 2 2 2 2 13 4" xfId="4303" xr:uid="{00000000-0005-0000-0000-0000CC100000}"/>
    <cellStyle name="Comma 2 2 2 2 2 2 2 2 2 2 2 2 2 2 2 2 13 5" xfId="4304" xr:uid="{00000000-0005-0000-0000-0000CD100000}"/>
    <cellStyle name="Comma 2 2 2 2 2 2 2 2 2 2 2 2 2 2 2 2 13 6" xfId="4305" xr:uid="{00000000-0005-0000-0000-0000CE100000}"/>
    <cellStyle name="Comma 2 2 2 2 2 2 2 2 2 2 2 2 2 2 2 2 13 7" xfId="4306" xr:uid="{00000000-0005-0000-0000-0000CF100000}"/>
    <cellStyle name="Comma 2 2 2 2 2 2 2 2 2 2 2 2 2 2 2 2 13 8" xfId="4307" xr:uid="{00000000-0005-0000-0000-0000D0100000}"/>
    <cellStyle name="Comma 2 2 2 2 2 2 2 2 2 2 2 2 2 2 2 2 14" xfId="4308" xr:uid="{00000000-0005-0000-0000-0000D1100000}"/>
    <cellStyle name="Comma 2 2 2 2 2 2 2 2 2 2 2 2 2 2 2 2 14 2" xfId="4309" xr:uid="{00000000-0005-0000-0000-0000D2100000}"/>
    <cellStyle name="Comma 2 2 2 2 2 2 2 2 2 2 2 2 2 2 2 2 14 3" xfId="4310" xr:uid="{00000000-0005-0000-0000-0000D3100000}"/>
    <cellStyle name="Comma 2 2 2 2 2 2 2 2 2 2 2 2 2 2 2 2 14 4" xfId="4311" xr:uid="{00000000-0005-0000-0000-0000D4100000}"/>
    <cellStyle name="Comma 2 2 2 2 2 2 2 2 2 2 2 2 2 2 2 2 14 5" xfId="4312" xr:uid="{00000000-0005-0000-0000-0000D5100000}"/>
    <cellStyle name="Comma 2 2 2 2 2 2 2 2 2 2 2 2 2 2 2 2 14 6" xfId="4313" xr:uid="{00000000-0005-0000-0000-0000D6100000}"/>
    <cellStyle name="Comma 2 2 2 2 2 2 2 2 2 2 2 2 2 2 2 2 14 7" xfId="4314" xr:uid="{00000000-0005-0000-0000-0000D7100000}"/>
    <cellStyle name="Comma 2 2 2 2 2 2 2 2 2 2 2 2 2 2 2 2 14 8" xfId="4315" xr:uid="{00000000-0005-0000-0000-0000D8100000}"/>
    <cellStyle name="Comma 2 2 2 2 2 2 2 2 2 2 2 2 2 2 2 2 15" xfId="4316" xr:uid="{00000000-0005-0000-0000-0000D9100000}"/>
    <cellStyle name="Comma 2 2 2 2 2 2 2 2 2 2 2 2 2 2 2 2 15 2" xfId="4317" xr:uid="{00000000-0005-0000-0000-0000DA100000}"/>
    <cellStyle name="Comma 2 2 2 2 2 2 2 2 2 2 2 2 2 2 2 2 15 3" xfId="4318" xr:uid="{00000000-0005-0000-0000-0000DB100000}"/>
    <cellStyle name="Comma 2 2 2 2 2 2 2 2 2 2 2 2 2 2 2 2 15 4" xfId="4319" xr:uid="{00000000-0005-0000-0000-0000DC100000}"/>
    <cellStyle name="Comma 2 2 2 2 2 2 2 2 2 2 2 2 2 2 2 2 15 5" xfId="4320" xr:uid="{00000000-0005-0000-0000-0000DD100000}"/>
    <cellStyle name="Comma 2 2 2 2 2 2 2 2 2 2 2 2 2 2 2 2 15 6" xfId="4321" xr:uid="{00000000-0005-0000-0000-0000DE100000}"/>
    <cellStyle name="Comma 2 2 2 2 2 2 2 2 2 2 2 2 2 2 2 2 15 7" xfId="4322" xr:uid="{00000000-0005-0000-0000-0000DF100000}"/>
    <cellStyle name="Comma 2 2 2 2 2 2 2 2 2 2 2 2 2 2 2 2 15 8" xfId="4323" xr:uid="{00000000-0005-0000-0000-0000E0100000}"/>
    <cellStyle name="Comma 2 2 2 2 2 2 2 2 2 2 2 2 2 2 2 2 16" xfId="4324" xr:uid="{00000000-0005-0000-0000-0000E1100000}"/>
    <cellStyle name="Comma 2 2 2 2 2 2 2 2 2 2 2 2 2 2 2 2 16 2" xfId="4325" xr:uid="{00000000-0005-0000-0000-0000E2100000}"/>
    <cellStyle name="Comma 2 2 2 2 2 2 2 2 2 2 2 2 2 2 2 2 16 3" xfId="4326" xr:uid="{00000000-0005-0000-0000-0000E3100000}"/>
    <cellStyle name="Comma 2 2 2 2 2 2 2 2 2 2 2 2 2 2 2 2 16 4" xfId="4327" xr:uid="{00000000-0005-0000-0000-0000E4100000}"/>
    <cellStyle name="Comma 2 2 2 2 2 2 2 2 2 2 2 2 2 2 2 2 16 5" xfId="4328" xr:uid="{00000000-0005-0000-0000-0000E5100000}"/>
    <cellStyle name="Comma 2 2 2 2 2 2 2 2 2 2 2 2 2 2 2 2 16 6" xfId="4329" xr:uid="{00000000-0005-0000-0000-0000E6100000}"/>
    <cellStyle name="Comma 2 2 2 2 2 2 2 2 2 2 2 2 2 2 2 2 16 7" xfId="4330" xr:uid="{00000000-0005-0000-0000-0000E7100000}"/>
    <cellStyle name="Comma 2 2 2 2 2 2 2 2 2 2 2 2 2 2 2 2 16 8" xfId="4331" xr:uid="{00000000-0005-0000-0000-0000E8100000}"/>
    <cellStyle name="Comma 2 2 2 2 2 2 2 2 2 2 2 2 2 2 2 2 17" xfId="4332" xr:uid="{00000000-0005-0000-0000-0000E9100000}"/>
    <cellStyle name="Comma 2 2 2 2 2 2 2 2 2 2 2 2 2 2 2 2 17 2" xfId="4333" xr:uid="{00000000-0005-0000-0000-0000EA100000}"/>
    <cellStyle name="Comma 2 2 2 2 2 2 2 2 2 2 2 2 2 2 2 2 17 3" xfId="4334" xr:uid="{00000000-0005-0000-0000-0000EB100000}"/>
    <cellStyle name="Comma 2 2 2 2 2 2 2 2 2 2 2 2 2 2 2 2 17 4" xfId="4335" xr:uid="{00000000-0005-0000-0000-0000EC100000}"/>
    <cellStyle name="Comma 2 2 2 2 2 2 2 2 2 2 2 2 2 2 2 2 17 5" xfId="4336" xr:uid="{00000000-0005-0000-0000-0000ED100000}"/>
    <cellStyle name="Comma 2 2 2 2 2 2 2 2 2 2 2 2 2 2 2 2 17 6" xfId="4337" xr:uid="{00000000-0005-0000-0000-0000EE100000}"/>
    <cellStyle name="Comma 2 2 2 2 2 2 2 2 2 2 2 2 2 2 2 2 17 7" xfId="4338" xr:uid="{00000000-0005-0000-0000-0000EF100000}"/>
    <cellStyle name="Comma 2 2 2 2 2 2 2 2 2 2 2 2 2 2 2 2 17 8" xfId="4339" xr:uid="{00000000-0005-0000-0000-0000F0100000}"/>
    <cellStyle name="Comma 2 2 2 2 2 2 2 2 2 2 2 2 2 2 2 2 18" xfId="4340" xr:uid="{00000000-0005-0000-0000-0000F1100000}"/>
    <cellStyle name="Comma 2 2 2 2 2 2 2 2 2 2 2 2 2 2 2 2 18 2" xfId="4341" xr:uid="{00000000-0005-0000-0000-0000F2100000}"/>
    <cellStyle name="Comma 2 2 2 2 2 2 2 2 2 2 2 2 2 2 2 2 19" xfId="4342" xr:uid="{00000000-0005-0000-0000-0000F3100000}"/>
    <cellStyle name="Comma 2 2 2 2 2 2 2 2 2 2 2 2 2 2 2 2 2" xfId="4343" xr:uid="{00000000-0005-0000-0000-0000F4100000}"/>
    <cellStyle name="Comma 2 2 2 2 2 2 2 2 2 2 2 2 2 2 2 2 2 10" xfId="4344" xr:uid="{00000000-0005-0000-0000-0000F5100000}"/>
    <cellStyle name="Comma 2 2 2 2 2 2 2 2 2 2 2 2 2 2 2 2 2 10 2" xfId="4345" xr:uid="{00000000-0005-0000-0000-0000F6100000}"/>
    <cellStyle name="Comma 2 2 2 2 2 2 2 2 2 2 2 2 2 2 2 2 2 10 2 2" xfId="4346" xr:uid="{00000000-0005-0000-0000-0000F7100000}"/>
    <cellStyle name="Comma 2 2 2 2 2 2 2 2 2 2 2 2 2 2 2 2 2 10 3" xfId="4347" xr:uid="{00000000-0005-0000-0000-0000F8100000}"/>
    <cellStyle name="Comma 2 2 2 2 2 2 2 2 2 2 2 2 2 2 2 2 2 11" xfId="4348" xr:uid="{00000000-0005-0000-0000-0000F9100000}"/>
    <cellStyle name="Comma 2 2 2 2 2 2 2 2 2 2 2 2 2 2 2 2 2 11 2" xfId="4349" xr:uid="{00000000-0005-0000-0000-0000FA100000}"/>
    <cellStyle name="Comma 2 2 2 2 2 2 2 2 2 2 2 2 2 2 2 2 2 11 2 2" xfId="4350" xr:uid="{00000000-0005-0000-0000-0000FB100000}"/>
    <cellStyle name="Comma 2 2 2 2 2 2 2 2 2 2 2 2 2 2 2 2 2 12" xfId="4351" xr:uid="{00000000-0005-0000-0000-0000FC100000}"/>
    <cellStyle name="Comma 2 2 2 2 2 2 2 2 2 2 2 2 2 2 2 2 2 12 2" xfId="4352" xr:uid="{00000000-0005-0000-0000-0000FD100000}"/>
    <cellStyle name="Comma 2 2 2 2 2 2 2 2 2 2 2 2 2 2 2 2 2 12 2 2" xfId="4353" xr:uid="{00000000-0005-0000-0000-0000FE100000}"/>
    <cellStyle name="Comma 2 2 2 2 2 2 2 2 2 2 2 2 2 2 2 2 2 13" xfId="4354" xr:uid="{00000000-0005-0000-0000-0000FF100000}"/>
    <cellStyle name="Comma 2 2 2 2 2 2 2 2 2 2 2 2 2 2 2 2 2 14" xfId="4355" xr:uid="{00000000-0005-0000-0000-000000110000}"/>
    <cellStyle name="Comma 2 2 2 2 2 2 2 2 2 2 2 2 2 2 2 2 2 15" xfId="4356" xr:uid="{00000000-0005-0000-0000-000001110000}"/>
    <cellStyle name="Comma 2 2 2 2 2 2 2 2 2 2 2 2 2 2 2 2 2 16" xfId="4357" xr:uid="{00000000-0005-0000-0000-000002110000}"/>
    <cellStyle name="Comma 2 2 2 2 2 2 2 2 2 2 2 2 2 2 2 2 2 17" xfId="4358" xr:uid="{00000000-0005-0000-0000-000003110000}"/>
    <cellStyle name="Comma 2 2 2 2 2 2 2 2 2 2 2 2 2 2 2 2 2 18" xfId="4359" xr:uid="{00000000-0005-0000-0000-000004110000}"/>
    <cellStyle name="Comma 2 2 2 2 2 2 2 2 2 2 2 2 2 2 2 2 2 19" xfId="4360" xr:uid="{00000000-0005-0000-0000-000005110000}"/>
    <cellStyle name="Comma 2 2 2 2 2 2 2 2 2 2 2 2 2 2 2 2 2 2" xfId="4361" xr:uid="{00000000-0005-0000-0000-000006110000}"/>
    <cellStyle name="Comma 2 2 2 2 2 2 2 2 2 2 2 2 2 2 2 2 2 2 10" xfId="4362" xr:uid="{00000000-0005-0000-0000-000007110000}"/>
    <cellStyle name="Comma 2 2 2 2 2 2 2 2 2 2 2 2 2 2 2 2 2 2 10 2" xfId="4363" xr:uid="{00000000-0005-0000-0000-000008110000}"/>
    <cellStyle name="Comma 2 2 2 2 2 2 2 2 2 2 2 2 2 2 2 2 2 2 10 3" xfId="4364" xr:uid="{00000000-0005-0000-0000-000009110000}"/>
    <cellStyle name="Comma 2 2 2 2 2 2 2 2 2 2 2 2 2 2 2 2 2 2 10 4" xfId="4365" xr:uid="{00000000-0005-0000-0000-00000A110000}"/>
    <cellStyle name="Comma 2 2 2 2 2 2 2 2 2 2 2 2 2 2 2 2 2 2 10 5" xfId="4366" xr:uid="{00000000-0005-0000-0000-00000B110000}"/>
    <cellStyle name="Comma 2 2 2 2 2 2 2 2 2 2 2 2 2 2 2 2 2 2 10 6" xfId="4367" xr:uid="{00000000-0005-0000-0000-00000C110000}"/>
    <cellStyle name="Comma 2 2 2 2 2 2 2 2 2 2 2 2 2 2 2 2 2 2 10 7" xfId="4368" xr:uid="{00000000-0005-0000-0000-00000D110000}"/>
    <cellStyle name="Comma 2 2 2 2 2 2 2 2 2 2 2 2 2 2 2 2 2 2 10 8" xfId="4369" xr:uid="{00000000-0005-0000-0000-00000E110000}"/>
    <cellStyle name="Comma 2 2 2 2 2 2 2 2 2 2 2 2 2 2 2 2 2 2 10 9" xfId="4370" xr:uid="{00000000-0005-0000-0000-00000F110000}"/>
    <cellStyle name="Comma 2 2 2 2 2 2 2 2 2 2 2 2 2 2 2 2 2 2 11" xfId="4371" xr:uid="{00000000-0005-0000-0000-000010110000}"/>
    <cellStyle name="Comma 2 2 2 2 2 2 2 2 2 2 2 2 2 2 2 2 2 2 11 2" xfId="4372" xr:uid="{00000000-0005-0000-0000-000011110000}"/>
    <cellStyle name="Comma 2 2 2 2 2 2 2 2 2 2 2 2 2 2 2 2 2 2 11 3" xfId="4373" xr:uid="{00000000-0005-0000-0000-000012110000}"/>
    <cellStyle name="Comma 2 2 2 2 2 2 2 2 2 2 2 2 2 2 2 2 2 2 11 4" xfId="4374" xr:uid="{00000000-0005-0000-0000-000013110000}"/>
    <cellStyle name="Comma 2 2 2 2 2 2 2 2 2 2 2 2 2 2 2 2 2 2 11 5" xfId="4375" xr:uid="{00000000-0005-0000-0000-000014110000}"/>
    <cellStyle name="Comma 2 2 2 2 2 2 2 2 2 2 2 2 2 2 2 2 2 2 11 6" xfId="4376" xr:uid="{00000000-0005-0000-0000-000015110000}"/>
    <cellStyle name="Comma 2 2 2 2 2 2 2 2 2 2 2 2 2 2 2 2 2 2 11 7" xfId="4377" xr:uid="{00000000-0005-0000-0000-000016110000}"/>
    <cellStyle name="Comma 2 2 2 2 2 2 2 2 2 2 2 2 2 2 2 2 2 2 11 8" xfId="4378" xr:uid="{00000000-0005-0000-0000-000017110000}"/>
    <cellStyle name="Comma 2 2 2 2 2 2 2 2 2 2 2 2 2 2 2 2 2 2 11 9" xfId="4379" xr:uid="{00000000-0005-0000-0000-000018110000}"/>
    <cellStyle name="Comma 2 2 2 2 2 2 2 2 2 2 2 2 2 2 2 2 2 2 12" xfId="4380" xr:uid="{00000000-0005-0000-0000-000019110000}"/>
    <cellStyle name="Comma 2 2 2 2 2 2 2 2 2 2 2 2 2 2 2 2 2 2 12 2" xfId="4381" xr:uid="{00000000-0005-0000-0000-00001A110000}"/>
    <cellStyle name="Comma 2 2 2 2 2 2 2 2 2 2 2 2 2 2 2 2 2 2 12 3" xfId="4382" xr:uid="{00000000-0005-0000-0000-00001B110000}"/>
    <cellStyle name="Comma 2 2 2 2 2 2 2 2 2 2 2 2 2 2 2 2 2 2 12 4" xfId="4383" xr:uid="{00000000-0005-0000-0000-00001C110000}"/>
    <cellStyle name="Comma 2 2 2 2 2 2 2 2 2 2 2 2 2 2 2 2 2 2 12 5" xfId="4384" xr:uid="{00000000-0005-0000-0000-00001D110000}"/>
    <cellStyle name="Comma 2 2 2 2 2 2 2 2 2 2 2 2 2 2 2 2 2 2 12 6" xfId="4385" xr:uid="{00000000-0005-0000-0000-00001E110000}"/>
    <cellStyle name="Comma 2 2 2 2 2 2 2 2 2 2 2 2 2 2 2 2 2 2 12 7" xfId="4386" xr:uid="{00000000-0005-0000-0000-00001F110000}"/>
    <cellStyle name="Comma 2 2 2 2 2 2 2 2 2 2 2 2 2 2 2 2 2 2 12 8" xfId="4387" xr:uid="{00000000-0005-0000-0000-000020110000}"/>
    <cellStyle name="Comma 2 2 2 2 2 2 2 2 2 2 2 2 2 2 2 2 2 2 13" xfId="4388" xr:uid="{00000000-0005-0000-0000-000021110000}"/>
    <cellStyle name="Comma 2 2 2 2 2 2 2 2 2 2 2 2 2 2 2 2 2 2 13 2" xfId="4389" xr:uid="{00000000-0005-0000-0000-000022110000}"/>
    <cellStyle name="Comma 2 2 2 2 2 2 2 2 2 2 2 2 2 2 2 2 2 2 13 3" xfId="4390" xr:uid="{00000000-0005-0000-0000-000023110000}"/>
    <cellStyle name="Comma 2 2 2 2 2 2 2 2 2 2 2 2 2 2 2 2 2 2 13 4" xfId="4391" xr:uid="{00000000-0005-0000-0000-000024110000}"/>
    <cellStyle name="Comma 2 2 2 2 2 2 2 2 2 2 2 2 2 2 2 2 2 2 13 5" xfId="4392" xr:uid="{00000000-0005-0000-0000-000025110000}"/>
    <cellStyle name="Comma 2 2 2 2 2 2 2 2 2 2 2 2 2 2 2 2 2 2 13 6" xfId="4393" xr:uid="{00000000-0005-0000-0000-000026110000}"/>
    <cellStyle name="Comma 2 2 2 2 2 2 2 2 2 2 2 2 2 2 2 2 2 2 13 7" xfId="4394" xr:uid="{00000000-0005-0000-0000-000027110000}"/>
    <cellStyle name="Comma 2 2 2 2 2 2 2 2 2 2 2 2 2 2 2 2 2 2 13 8" xfId="4395" xr:uid="{00000000-0005-0000-0000-000028110000}"/>
    <cellStyle name="Comma 2 2 2 2 2 2 2 2 2 2 2 2 2 2 2 2 2 2 14" xfId="4396" xr:uid="{00000000-0005-0000-0000-000029110000}"/>
    <cellStyle name="Comma 2 2 2 2 2 2 2 2 2 2 2 2 2 2 2 2 2 2 14 2" xfId="4397" xr:uid="{00000000-0005-0000-0000-00002A110000}"/>
    <cellStyle name="Comma 2 2 2 2 2 2 2 2 2 2 2 2 2 2 2 2 2 2 14 3" xfId="4398" xr:uid="{00000000-0005-0000-0000-00002B110000}"/>
    <cellStyle name="Comma 2 2 2 2 2 2 2 2 2 2 2 2 2 2 2 2 2 2 14 4" xfId="4399" xr:uid="{00000000-0005-0000-0000-00002C110000}"/>
    <cellStyle name="Comma 2 2 2 2 2 2 2 2 2 2 2 2 2 2 2 2 2 2 14 5" xfId="4400" xr:uid="{00000000-0005-0000-0000-00002D110000}"/>
    <cellStyle name="Comma 2 2 2 2 2 2 2 2 2 2 2 2 2 2 2 2 2 2 14 6" xfId="4401" xr:uid="{00000000-0005-0000-0000-00002E110000}"/>
    <cellStyle name="Comma 2 2 2 2 2 2 2 2 2 2 2 2 2 2 2 2 2 2 14 7" xfId="4402" xr:uid="{00000000-0005-0000-0000-00002F110000}"/>
    <cellStyle name="Comma 2 2 2 2 2 2 2 2 2 2 2 2 2 2 2 2 2 2 14 8" xfId="4403" xr:uid="{00000000-0005-0000-0000-000030110000}"/>
    <cellStyle name="Comma 2 2 2 2 2 2 2 2 2 2 2 2 2 2 2 2 2 2 15" xfId="4404" xr:uid="{00000000-0005-0000-0000-000031110000}"/>
    <cellStyle name="Comma 2 2 2 2 2 2 2 2 2 2 2 2 2 2 2 2 2 2 15 2" xfId="4405" xr:uid="{00000000-0005-0000-0000-000032110000}"/>
    <cellStyle name="Comma 2 2 2 2 2 2 2 2 2 2 2 2 2 2 2 2 2 2 15 3" xfId="4406" xr:uid="{00000000-0005-0000-0000-000033110000}"/>
    <cellStyle name="Comma 2 2 2 2 2 2 2 2 2 2 2 2 2 2 2 2 2 2 15 4" xfId="4407" xr:uid="{00000000-0005-0000-0000-000034110000}"/>
    <cellStyle name="Comma 2 2 2 2 2 2 2 2 2 2 2 2 2 2 2 2 2 2 15 5" xfId="4408" xr:uid="{00000000-0005-0000-0000-000035110000}"/>
    <cellStyle name="Comma 2 2 2 2 2 2 2 2 2 2 2 2 2 2 2 2 2 2 15 6" xfId="4409" xr:uid="{00000000-0005-0000-0000-000036110000}"/>
    <cellStyle name="Comma 2 2 2 2 2 2 2 2 2 2 2 2 2 2 2 2 2 2 15 7" xfId="4410" xr:uid="{00000000-0005-0000-0000-000037110000}"/>
    <cellStyle name="Comma 2 2 2 2 2 2 2 2 2 2 2 2 2 2 2 2 2 2 15 8" xfId="4411" xr:uid="{00000000-0005-0000-0000-000038110000}"/>
    <cellStyle name="Comma 2 2 2 2 2 2 2 2 2 2 2 2 2 2 2 2 2 2 16" xfId="4412" xr:uid="{00000000-0005-0000-0000-000039110000}"/>
    <cellStyle name="Comma 2 2 2 2 2 2 2 2 2 2 2 2 2 2 2 2 2 2 16 2" xfId="4413" xr:uid="{00000000-0005-0000-0000-00003A110000}"/>
    <cellStyle name="Comma 2 2 2 2 2 2 2 2 2 2 2 2 2 2 2 2 2 2 16 3" xfId="4414" xr:uid="{00000000-0005-0000-0000-00003B110000}"/>
    <cellStyle name="Comma 2 2 2 2 2 2 2 2 2 2 2 2 2 2 2 2 2 2 16 4" xfId="4415" xr:uid="{00000000-0005-0000-0000-00003C110000}"/>
    <cellStyle name="Comma 2 2 2 2 2 2 2 2 2 2 2 2 2 2 2 2 2 2 16 5" xfId="4416" xr:uid="{00000000-0005-0000-0000-00003D110000}"/>
    <cellStyle name="Comma 2 2 2 2 2 2 2 2 2 2 2 2 2 2 2 2 2 2 16 6" xfId="4417" xr:uid="{00000000-0005-0000-0000-00003E110000}"/>
    <cellStyle name="Comma 2 2 2 2 2 2 2 2 2 2 2 2 2 2 2 2 2 2 16 7" xfId="4418" xr:uid="{00000000-0005-0000-0000-00003F110000}"/>
    <cellStyle name="Comma 2 2 2 2 2 2 2 2 2 2 2 2 2 2 2 2 2 2 16 8" xfId="4419" xr:uid="{00000000-0005-0000-0000-000040110000}"/>
    <cellStyle name="Comma 2 2 2 2 2 2 2 2 2 2 2 2 2 2 2 2 2 2 17" xfId="4420" xr:uid="{00000000-0005-0000-0000-000041110000}"/>
    <cellStyle name="Comma 2 2 2 2 2 2 2 2 2 2 2 2 2 2 2 2 2 2 17 2" xfId="4421" xr:uid="{00000000-0005-0000-0000-000042110000}"/>
    <cellStyle name="Comma 2 2 2 2 2 2 2 2 2 2 2 2 2 2 2 2 2 2 18" xfId="4422" xr:uid="{00000000-0005-0000-0000-000043110000}"/>
    <cellStyle name="Comma 2 2 2 2 2 2 2 2 2 2 2 2 2 2 2 2 2 2 2" xfId="4423" xr:uid="{00000000-0005-0000-0000-000044110000}"/>
    <cellStyle name="Comma 2 2 2 2 2 2 2 2 2 2 2 2 2 2 2 2 2 2 2 10" xfId="4424" xr:uid="{00000000-0005-0000-0000-000045110000}"/>
    <cellStyle name="Comma 2 2 2 2 2 2 2 2 2 2 2 2 2 2 2 2 2 2 2 10 2" xfId="4425" xr:uid="{00000000-0005-0000-0000-000046110000}"/>
    <cellStyle name="Comma 2 2 2 2 2 2 2 2 2 2 2 2 2 2 2 2 2 2 2 10 2 2" xfId="4426" xr:uid="{00000000-0005-0000-0000-000047110000}"/>
    <cellStyle name="Comma 2 2 2 2 2 2 2 2 2 2 2 2 2 2 2 2 2 2 2 11" xfId="4427" xr:uid="{00000000-0005-0000-0000-000048110000}"/>
    <cellStyle name="Comma 2 2 2 2 2 2 2 2 2 2 2 2 2 2 2 2 2 2 2 11 2" xfId="4428" xr:uid="{00000000-0005-0000-0000-000049110000}"/>
    <cellStyle name="Comma 2 2 2 2 2 2 2 2 2 2 2 2 2 2 2 2 2 2 2 11 2 2" xfId="4429" xr:uid="{00000000-0005-0000-0000-00004A110000}"/>
    <cellStyle name="Comma 2 2 2 2 2 2 2 2 2 2 2 2 2 2 2 2 2 2 2 12" xfId="4430" xr:uid="{00000000-0005-0000-0000-00004B110000}"/>
    <cellStyle name="Comma 2 2 2 2 2 2 2 2 2 2 2 2 2 2 2 2 2 2 2 13" xfId="4431" xr:uid="{00000000-0005-0000-0000-00004C110000}"/>
    <cellStyle name="Comma 2 2 2 2 2 2 2 2 2 2 2 2 2 2 2 2 2 2 2 14" xfId="4432" xr:uid="{00000000-0005-0000-0000-00004D110000}"/>
    <cellStyle name="Comma 2 2 2 2 2 2 2 2 2 2 2 2 2 2 2 2 2 2 2 15" xfId="4433" xr:uid="{00000000-0005-0000-0000-00004E110000}"/>
    <cellStyle name="Comma 2 2 2 2 2 2 2 2 2 2 2 2 2 2 2 2 2 2 2 16" xfId="4434" xr:uid="{00000000-0005-0000-0000-00004F110000}"/>
    <cellStyle name="Comma 2 2 2 2 2 2 2 2 2 2 2 2 2 2 2 2 2 2 2 17" xfId="4435" xr:uid="{00000000-0005-0000-0000-000050110000}"/>
    <cellStyle name="Comma 2 2 2 2 2 2 2 2 2 2 2 2 2 2 2 2 2 2 2 18" xfId="4436" xr:uid="{00000000-0005-0000-0000-000051110000}"/>
    <cellStyle name="Comma 2 2 2 2 2 2 2 2 2 2 2 2 2 2 2 2 2 2 2 19" xfId="4437" xr:uid="{00000000-0005-0000-0000-000052110000}"/>
    <cellStyle name="Comma 2 2 2 2 2 2 2 2 2 2 2 2 2 2 2 2 2 2 2 2" xfId="4438" xr:uid="{00000000-0005-0000-0000-000053110000}"/>
    <cellStyle name="Comma 2 2 2 2 2 2 2 2 2 2 2 2 2 2 2 2 2 2 2 2 10" xfId="4439" xr:uid="{00000000-0005-0000-0000-000054110000}"/>
    <cellStyle name="Comma 2 2 2 2 2 2 2 2 2 2 2 2 2 2 2 2 2 2 2 2 10 2" xfId="4440" xr:uid="{00000000-0005-0000-0000-000055110000}"/>
    <cellStyle name="Comma 2 2 2 2 2 2 2 2 2 2 2 2 2 2 2 2 2 2 2 2 10 3" xfId="4441" xr:uid="{00000000-0005-0000-0000-000056110000}"/>
    <cellStyle name="Comma 2 2 2 2 2 2 2 2 2 2 2 2 2 2 2 2 2 2 2 2 10 4" xfId="4442" xr:uid="{00000000-0005-0000-0000-000057110000}"/>
    <cellStyle name="Comma 2 2 2 2 2 2 2 2 2 2 2 2 2 2 2 2 2 2 2 2 10 5" xfId="4443" xr:uid="{00000000-0005-0000-0000-000058110000}"/>
    <cellStyle name="Comma 2 2 2 2 2 2 2 2 2 2 2 2 2 2 2 2 2 2 2 2 10 6" xfId="4444" xr:uid="{00000000-0005-0000-0000-000059110000}"/>
    <cellStyle name="Comma 2 2 2 2 2 2 2 2 2 2 2 2 2 2 2 2 2 2 2 2 10 7" xfId="4445" xr:uid="{00000000-0005-0000-0000-00005A110000}"/>
    <cellStyle name="Comma 2 2 2 2 2 2 2 2 2 2 2 2 2 2 2 2 2 2 2 2 10 8" xfId="4446" xr:uid="{00000000-0005-0000-0000-00005B110000}"/>
    <cellStyle name="Comma 2 2 2 2 2 2 2 2 2 2 2 2 2 2 2 2 2 2 2 2 10 9" xfId="4447" xr:uid="{00000000-0005-0000-0000-00005C110000}"/>
    <cellStyle name="Comma 2 2 2 2 2 2 2 2 2 2 2 2 2 2 2 2 2 2 2 2 11" xfId="4448" xr:uid="{00000000-0005-0000-0000-00005D110000}"/>
    <cellStyle name="Comma 2 2 2 2 2 2 2 2 2 2 2 2 2 2 2 2 2 2 2 2 11 2" xfId="4449" xr:uid="{00000000-0005-0000-0000-00005E110000}"/>
    <cellStyle name="Comma 2 2 2 2 2 2 2 2 2 2 2 2 2 2 2 2 2 2 2 2 11 3" xfId="4450" xr:uid="{00000000-0005-0000-0000-00005F110000}"/>
    <cellStyle name="Comma 2 2 2 2 2 2 2 2 2 2 2 2 2 2 2 2 2 2 2 2 11 4" xfId="4451" xr:uid="{00000000-0005-0000-0000-000060110000}"/>
    <cellStyle name="Comma 2 2 2 2 2 2 2 2 2 2 2 2 2 2 2 2 2 2 2 2 11 5" xfId="4452" xr:uid="{00000000-0005-0000-0000-000061110000}"/>
    <cellStyle name="Comma 2 2 2 2 2 2 2 2 2 2 2 2 2 2 2 2 2 2 2 2 11 6" xfId="4453" xr:uid="{00000000-0005-0000-0000-000062110000}"/>
    <cellStyle name="Comma 2 2 2 2 2 2 2 2 2 2 2 2 2 2 2 2 2 2 2 2 11 7" xfId="4454" xr:uid="{00000000-0005-0000-0000-000063110000}"/>
    <cellStyle name="Comma 2 2 2 2 2 2 2 2 2 2 2 2 2 2 2 2 2 2 2 2 11 8" xfId="4455" xr:uid="{00000000-0005-0000-0000-000064110000}"/>
    <cellStyle name="Comma 2 2 2 2 2 2 2 2 2 2 2 2 2 2 2 2 2 2 2 2 11 9" xfId="4456" xr:uid="{00000000-0005-0000-0000-000065110000}"/>
    <cellStyle name="Comma 2 2 2 2 2 2 2 2 2 2 2 2 2 2 2 2 2 2 2 2 12" xfId="4457" xr:uid="{00000000-0005-0000-0000-000066110000}"/>
    <cellStyle name="Comma 2 2 2 2 2 2 2 2 2 2 2 2 2 2 2 2 2 2 2 2 12 2" xfId="4458" xr:uid="{00000000-0005-0000-0000-000067110000}"/>
    <cellStyle name="Comma 2 2 2 2 2 2 2 2 2 2 2 2 2 2 2 2 2 2 2 2 12 3" xfId="4459" xr:uid="{00000000-0005-0000-0000-000068110000}"/>
    <cellStyle name="Comma 2 2 2 2 2 2 2 2 2 2 2 2 2 2 2 2 2 2 2 2 12 4" xfId="4460" xr:uid="{00000000-0005-0000-0000-000069110000}"/>
    <cellStyle name="Comma 2 2 2 2 2 2 2 2 2 2 2 2 2 2 2 2 2 2 2 2 12 5" xfId="4461" xr:uid="{00000000-0005-0000-0000-00006A110000}"/>
    <cellStyle name="Comma 2 2 2 2 2 2 2 2 2 2 2 2 2 2 2 2 2 2 2 2 12 6" xfId="4462" xr:uid="{00000000-0005-0000-0000-00006B110000}"/>
    <cellStyle name="Comma 2 2 2 2 2 2 2 2 2 2 2 2 2 2 2 2 2 2 2 2 12 7" xfId="4463" xr:uid="{00000000-0005-0000-0000-00006C110000}"/>
    <cellStyle name="Comma 2 2 2 2 2 2 2 2 2 2 2 2 2 2 2 2 2 2 2 2 12 8" xfId="4464" xr:uid="{00000000-0005-0000-0000-00006D110000}"/>
    <cellStyle name="Comma 2 2 2 2 2 2 2 2 2 2 2 2 2 2 2 2 2 2 2 2 13" xfId="4465" xr:uid="{00000000-0005-0000-0000-00006E110000}"/>
    <cellStyle name="Comma 2 2 2 2 2 2 2 2 2 2 2 2 2 2 2 2 2 2 2 2 13 2" xfId="4466" xr:uid="{00000000-0005-0000-0000-00006F110000}"/>
    <cellStyle name="Comma 2 2 2 2 2 2 2 2 2 2 2 2 2 2 2 2 2 2 2 2 13 3" xfId="4467" xr:uid="{00000000-0005-0000-0000-000070110000}"/>
    <cellStyle name="Comma 2 2 2 2 2 2 2 2 2 2 2 2 2 2 2 2 2 2 2 2 13 4" xfId="4468" xr:uid="{00000000-0005-0000-0000-000071110000}"/>
    <cellStyle name="Comma 2 2 2 2 2 2 2 2 2 2 2 2 2 2 2 2 2 2 2 2 13 5" xfId="4469" xr:uid="{00000000-0005-0000-0000-000072110000}"/>
    <cellStyle name="Comma 2 2 2 2 2 2 2 2 2 2 2 2 2 2 2 2 2 2 2 2 13 6" xfId="4470" xr:uid="{00000000-0005-0000-0000-000073110000}"/>
    <cellStyle name="Comma 2 2 2 2 2 2 2 2 2 2 2 2 2 2 2 2 2 2 2 2 13 7" xfId="4471" xr:uid="{00000000-0005-0000-0000-000074110000}"/>
    <cellStyle name="Comma 2 2 2 2 2 2 2 2 2 2 2 2 2 2 2 2 2 2 2 2 13 8" xfId="4472" xr:uid="{00000000-0005-0000-0000-000075110000}"/>
    <cellStyle name="Comma 2 2 2 2 2 2 2 2 2 2 2 2 2 2 2 2 2 2 2 2 14" xfId="4473" xr:uid="{00000000-0005-0000-0000-000076110000}"/>
    <cellStyle name="Comma 2 2 2 2 2 2 2 2 2 2 2 2 2 2 2 2 2 2 2 2 14 2" xfId="4474" xr:uid="{00000000-0005-0000-0000-000077110000}"/>
    <cellStyle name="Comma 2 2 2 2 2 2 2 2 2 2 2 2 2 2 2 2 2 2 2 2 14 3" xfId="4475" xr:uid="{00000000-0005-0000-0000-000078110000}"/>
    <cellStyle name="Comma 2 2 2 2 2 2 2 2 2 2 2 2 2 2 2 2 2 2 2 2 14 4" xfId="4476" xr:uid="{00000000-0005-0000-0000-000079110000}"/>
    <cellStyle name="Comma 2 2 2 2 2 2 2 2 2 2 2 2 2 2 2 2 2 2 2 2 14 5" xfId="4477" xr:uid="{00000000-0005-0000-0000-00007A110000}"/>
    <cellStyle name="Comma 2 2 2 2 2 2 2 2 2 2 2 2 2 2 2 2 2 2 2 2 14 6" xfId="4478" xr:uid="{00000000-0005-0000-0000-00007B110000}"/>
    <cellStyle name="Comma 2 2 2 2 2 2 2 2 2 2 2 2 2 2 2 2 2 2 2 2 14 7" xfId="4479" xr:uid="{00000000-0005-0000-0000-00007C110000}"/>
    <cellStyle name="Comma 2 2 2 2 2 2 2 2 2 2 2 2 2 2 2 2 2 2 2 2 14 8" xfId="4480" xr:uid="{00000000-0005-0000-0000-00007D110000}"/>
    <cellStyle name="Comma 2 2 2 2 2 2 2 2 2 2 2 2 2 2 2 2 2 2 2 2 15" xfId="4481" xr:uid="{00000000-0005-0000-0000-00007E110000}"/>
    <cellStyle name="Comma 2 2 2 2 2 2 2 2 2 2 2 2 2 2 2 2 2 2 2 2 15 2" xfId="4482" xr:uid="{00000000-0005-0000-0000-00007F110000}"/>
    <cellStyle name="Comma 2 2 2 2 2 2 2 2 2 2 2 2 2 2 2 2 2 2 2 2 15 3" xfId="4483" xr:uid="{00000000-0005-0000-0000-000080110000}"/>
    <cellStyle name="Comma 2 2 2 2 2 2 2 2 2 2 2 2 2 2 2 2 2 2 2 2 15 4" xfId="4484" xr:uid="{00000000-0005-0000-0000-000081110000}"/>
    <cellStyle name="Comma 2 2 2 2 2 2 2 2 2 2 2 2 2 2 2 2 2 2 2 2 15 5" xfId="4485" xr:uid="{00000000-0005-0000-0000-000082110000}"/>
    <cellStyle name="Comma 2 2 2 2 2 2 2 2 2 2 2 2 2 2 2 2 2 2 2 2 15 6" xfId="4486" xr:uid="{00000000-0005-0000-0000-000083110000}"/>
    <cellStyle name="Comma 2 2 2 2 2 2 2 2 2 2 2 2 2 2 2 2 2 2 2 2 15 7" xfId="4487" xr:uid="{00000000-0005-0000-0000-000084110000}"/>
    <cellStyle name="Comma 2 2 2 2 2 2 2 2 2 2 2 2 2 2 2 2 2 2 2 2 15 8" xfId="4488" xr:uid="{00000000-0005-0000-0000-000085110000}"/>
    <cellStyle name="Comma 2 2 2 2 2 2 2 2 2 2 2 2 2 2 2 2 2 2 2 2 16" xfId="4489" xr:uid="{00000000-0005-0000-0000-000086110000}"/>
    <cellStyle name="Comma 2 2 2 2 2 2 2 2 2 2 2 2 2 2 2 2 2 2 2 2 16 2" xfId="4490" xr:uid="{00000000-0005-0000-0000-000087110000}"/>
    <cellStyle name="Comma 2 2 2 2 2 2 2 2 2 2 2 2 2 2 2 2 2 2 2 2 16 3" xfId="4491" xr:uid="{00000000-0005-0000-0000-000088110000}"/>
    <cellStyle name="Comma 2 2 2 2 2 2 2 2 2 2 2 2 2 2 2 2 2 2 2 2 16 4" xfId="4492" xr:uid="{00000000-0005-0000-0000-000089110000}"/>
    <cellStyle name="Comma 2 2 2 2 2 2 2 2 2 2 2 2 2 2 2 2 2 2 2 2 16 5" xfId="4493" xr:uid="{00000000-0005-0000-0000-00008A110000}"/>
    <cellStyle name="Comma 2 2 2 2 2 2 2 2 2 2 2 2 2 2 2 2 2 2 2 2 16 6" xfId="4494" xr:uid="{00000000-0005-0000-0000-00008B110000}"/>
    <cellStyle name="Comma 2 2 2 2 2 2 2 2 2 2 2 2 2 2 2 2 2 2 2 2 16 7" xfId="4495" xr:uid="{00000000-0005-0000-0000-00008C110000}"/>
    <cellStyle name="Comma 2 2 2 2 2 2 2 2 2 2 2 2 2 2 2 2 2 2 2 2 16 8" xfId="4496" xr:uid="{00000000-0005-0000-0000-00008D110000}"/>
    <cellStyle name="Comma 2 2 2 2 2 2 2 2 2 2 2 2 2 2 2 2 2 2 2 2 17" xfId="4497" xr:uid="{00000000-0005-0000-0000-00008E110000}"/>
    <cellStyle name="Comma 2 2 2 2 2 2 2 2 2 2 2 2 2 2 2 2 2 2 2 2 17 2" xfId="4498" xr:uid="{00000000-0005-0000-0000-00008F110000}"/>
    <cellStyle name="Comma 2 2 2 2 2 2 2 2 2 2 2 2 2 2 2 2 2 2 2 2 18" xfId="4499" xr:uid="{00000000-0005-0000-0000-000090110000}"/>
    <cellStyle name="Comma 2 2 2 2 2 2 2 2 2 2 2 2 2 2 2 2 2 2 2 2 2" xfId="4500" xr:uid="{00000000-0005-0000-0000-000091110000}"/>
    <cellStyle name="Comma 2 2 2 2 2 2 2 2 2 2 2 2 2 2 2 2 2 2 2 2 2 10" xfId="4501" xr:uid="{00000000-0005-0000-0000-000092110000}"/>
    <cellStyle name="Comma 2 2 2 2 2 2 2 2 2 2 2 2 2 2 2 2 2 2 2 2 2 10 2" xfId="4502" xr:uid="{00000000-0005-0000-0000-000093110000}"/>
    <cellStyle name="Comma 2 2 2 2 2 2 2 2 2 2 2 2 2 2 2 2 2 2 2 2 2 10 2 2" xfId="4503" xr:uid="{00000000-0005-0000-0000-000094110000}"/>
    <cellStyle name="Comma 2 2 2 2 2 2 2 2 2 2 2 2 2 2 2 2 2 2 2 2 2 11" xfId="4504" xr:uid="{00000000-0005-0000-0000-000095110000}"/>
    <cellStyle name="Comma 2 2 2 2 2 2 2 2 2 2 2 2 2 2 2 2 2 2 2 2 2 11 2" xfId="4505" xr:uid="{00000000-0005-0000-0000-000096110000}"/>
    <cellStyle name="Comma 2 2 2 2 2 2 2 2 2 2 2 2 2 2 2 2 2 2 2 2 2 11 2 2" xfId="4506" xr:uid="{00000000-0005-0000-0000-000097110000}"/>
    <cellStyle name="Comma 2 2 2 2 2 2 2 2 2 2 2 2 2 2 2 2 2 2 2 2 2 12" xfId="4507" xr:uid="{00000000-0005-0000-0000-000098110000}"/>
    <cellStyle name="Comma 2 2 2 2 2 2 2 2 2 2 2 2 2 2 2 2 2 2 2 2 2 13" xfId="4508" xr:uid="{00000000-0005-0000-0000-000099110000}"/>
    <cellStyle name="Comma 2 2 2 2 2 2 2 2 2 2 2 2 2 2 2 2 2 2 2 2 2 14" xfId="4509" xr:uid="{00000000-0005-0000-0000-00009A110000}"/>
    <cellStyle name="Comma 2 2 2 2 2 2 2 2 2 2 2 2 2 2 2 2 2 2 2 2 2 15" xfId="4510" xr:uid="{00000000-0005-0000-0000-00009B110000}"/>
    <cellStyle name="Comma 2 2 2 2 2 2 2 2 2 2 2 2 2 2 2 2 2 2 2 2 2 16" xfId="4511" xr:uid="{00000000-0005-0000-0000-00009C110000}"/>
    <cellStyle name="Comma 2 2 2 2 2 2 2 2 2 2 2 2 2 2 2 2 2 2 2 2 2 17" xfId="4512" xr:uid="{00000000-0005-0000-0000-00009D110000}"/>
    <cellStyle name="Comma 2 2 2 2 2 2 2 2 2 2 2 2 2 2 2 2 2 2 2 2 2 18" xfId="4513" xr:uid="{00000000-0005-0000-0000-00009E110000}"/>
    <cellStyle name="Comma 2 2 2 2 2 2 2 2 2 2 2 2 2 2 2 2 2 2 2 2 2 19" xfId="4514" xr:uid="{00000000-0005-0000-0000-00009F110000}"/>
    <cellStyle name="Comma 2 2 2 2 2 2 2 2 2 2 2 2 2 2 2 2 2 2 2 2 2 2" xfId="4515" xr:uid="{00000000-0005-0000-0000-0000A0110000}"/>
    <cellStyle name="Comma 2 2 2 2 2 2 2 2 2 2 2 2 2 2 2 2 2 2 2 2 2 2 10" xfId="4516" xr:uid="{00000000-0005-0000-0000-0000A1110000}"/>
    <cellStyle name="Comma 2 2 2 2 2 2 2 2 2 2 2 2 2 2 2 2 2 2 2 2 2 2 11" xfId="4517" xr:uid="{00000000-0005-0000-0000-0000A2110000}"/>
    <cellStyle name="Comma 2 2 2 2 2 2 2 2 2 2 2 2 2 2 2 2 2 2 2 2 2 2 2" xfId="4518" xr:uid="{00000000-0005-0000-0000-0000A3110000}"/>
    <cellStyle name="Comma 2 2 2 2 2 2 2 2 2 2 2 2 2 2 2 2 2 2 2 2 2 2 2 10" xfId="4519" xr:uid="{00000000-0005-0000-0000-0000A4110000}"/>
    <cellStyle name="Comma 2 2 2 2 2 2 2 2 2 2 2 2 2 2 2 2 2 2 2 2 2 2 2 11" xfId="4520" xr:uid="{00000000-0005-0000-0000-0000A5110000}"/>
    <cellStyle name="Comma 2 2 2 2 2 2 2 2 2 2 2 2 2 2 2 2 2 2 2 2 2 2 2 12" xfId="4521" xr:uid="{00000000-0005-0000-0000-0000A6110000}"/>
    <cellStyle name="Comma 2 2 2 2 2 2 2 2 2 2 2 2 2 2 2 2 2 2 2 2 2 2 2 12 2" xfId="4522" xr:uid="{00000000-0005-0000-0000-0000A7110000}"/>
    <cellStyle name="Comma 2 2 2 2 2 2 2 2 2 2 2 2 2 2 2 2 2 2 2 2 2 2 2 13" xfId="4523" xr:uid="{00000000-0005-0000-0000-0000A8110000}"/>
    <cellStyle name="Comma 2 2 2 2 2 2 2 2 2 2 2 2 2 2 2 2 2 2 2 2 2 2 2 14" xfId="4524" xr:uid="{00000000-0005-0000-0000-0000A9110000}"/>
    <cellStyle name="Comma 2 2 2 2 2 2 2 2 2 2 2 2 2 2 2 2 2 2 2 2 2 2 2 15" xfId="4525" xr:uid="{00000000-0005-0000-0000-0000AA110000}"/>
    <cellStyle name="Comma 2 2 2 2 2 2 2 2 2 2 2 2 2 2 2 2 2 2 2 2 2 2 2 16" xfId="4526" xr:uid="{00000000-0005-0000-0000-0000AB110000}"/>
    <cellStyle name="Comma 2 2 2 2 2 2 2 2 2 2 2 2 2 2 2 2 2 2 2 2 2 2 2 17" xfId="4527" xr:uid="{00000000-0005-0000-0000-0000AC110000}"/>
    <cellStyle name="Comma 2 2 2 2 2 2 2 2 2 2 2 2 2 2 2 2 2 2 2 2 2 2 2 2" xfId="4528" xr:uid="{00000000-0005-0000-0000-0000AD110000}"/>
    <cellStyle name="Comma 2 2 2 2 2 2 2 2 2 2 2 2 2 2 2 2 2 2 2 2 2 2 2 2 2" xfId="4529" xr:uid="{00000000-0005-0000-0000-0000AE110000}"/>
    <cellStyle name="Comma 2 2 2 2 2 2 2 2 2 2 2 2 2 2 2 2 2 2 2 2 2 2 2 2 2 2" xfId="4530" xr:uid="{00000000-0005-0000-0000-0000AF110000}"/>
    <cellStyle name="Comma 2 2 2 2 2 2 2 2 2 2 2 2 2 2 2 2 2 2 2 2 2 2 2 2 2 2 2" xfId="4531" xr:uid="{00000000-0005-0000-0000-0000B0110000}"/>
    <cellStyle name="Comma 2 2 2 2 2 2 2 2 2 2 2 2 2 2 2 2 2 2 2 2 2 2 2 2 2 2 2 2" xfId="4532" xr:uid="{00000000-0005-0000-0000-0000B1110000}"/>
    <cellStyle name="Comma 2 2 2 2 2 2 2 2 2 2 2 2 2 2 2 2 2 2 2 2 2 2 2 2 2 2 2 2 2" xfId="4533" xr:uid="{00000000-0005-0000-0000-0000B2110000}"/>
    <cellStyle name="Comma 2 2 2 2 2 2 2 2 2 2 2 2 2 2 2 2 2 2 2 2 2 2 2 2 2 2 2 2 2 2" xfId="4534" xr:uid="{00000000-0005-0000-0000-0000B3110000}"/>
    <cellStyle name="Comma 2 2 2 2 2 2 2 2 2 2 2 2 2 2 2 2 2 2 2 2 2 2 2 2 2 2 2 3" xfId="4535" xr:uid="{00000000-0005-0000-0000-0000B4110000}"/>
    <cellStyle name="Comma 2 2 2 2 2 2 2 2 2 2 2 2 2 2 2 2 2 2 2 2 2 2 2 2 2 2 2 4" xfId="4536" xr:uid="{00000000-0005-0000-0000-0000B5110000}"/>
    <cellStyle name="Comma 2 2 2 2 2 2 2 2 2 2 2 2 2 2 2 2 2 2 2 2 2 2 2 2 2 2 2 5" xfId="4537" xr:uid="{00000000-0005-0000-0000-0000B6110000}"/>
    <cellStyle name="Comma 2 2 2 2 2 2 2 2 2 2 2 2 2 2 2 2 2 2 2 2 2 2 2 2 2 2 3" xfId="4538" xr:uid="{00000000-0005-0000-0000-0000B7110000}"/>
    <cellStyle name="Comma 2 2 2 2 2 2 2 2 2 2 2 2 2 2 2 2 2 2 2 2 2 2 2 2 2 2 3 2" xfId="4539" xr:uid="{00000000-0005-0000-0000-0000B8110000}"/>
    <cellStyle name="Comma 2 2 2 2 2 2 2 2 2 2 2 2 2 2 2 2 2 2 2 2 2 2 2 2 2 2 4" xfId="4540" xr:uid="{00000000-0005-0000-0000-0000B9110000}"/>
    <cellStyle name="Comma 2 2 2 2 2 2 2 2 2 2 2 2 2 2 2 2 2 2 2 2 2 2 2 2 2 2 4 2" xfId="4541" xr:uid="{00000000-0005-0000-0000-0000BA110000}"/>
    <cellStyle name="Comma 2 2 2 2 2 2 2 2 2 2 2 2 2 2 2 2 2 2 2 2 2 2 2 2 2 2 5" xfId="4542" xr:uid="{00000000-0005-0000-0000-0000BB110000}"/>
    <cellStyle name="Comma 2 2 2 2 2 2 2 2 2 2 2 2 2 2 2 2 2 2 2 2 2 2 2 2 2 3" xfId="4543" xr:uid="{00000000-0005-0000-0000-0000BC110000}"/>
    <cellStyle name="Comma 2 2 2 2 2 2 2 2 2 2 2 2 2 2 2 2 2 2 2 2 2 2 2 2 2 4" xfId="4544" xr:uid="{00000000-0005-0000-0000-0000BD110000}"/>
    <cellStyle name="Comma 2 2 2 2 2 2 2 2 2 2 2 2 2 2 2 2 2 2 2 2 2 2 2 2 2 5" xfId="4545" xr:uid="{00000000-0005-0000-0000-0000BE110000}"/>
    <cellStyle name="Comma 2 2 2 2 2 2 2 2 2 2 2 2 2 2 2 2 2 2 2 2 2 2 2 2 2 6" xfId="4546" xr:uid="{00000000-0005-0000-0000-0000BF110000}"/>
    <cellStyle name="Comma 2 2 2 2 2 2 2 2 2 2 2 2 2 2 2 2 2 2 2 2 2 2 2 2 2 7" xfId="4547" xr:uid="{00000000-0005-0000-0000-0000C0110000}"/>
    <cellStyle name="Comma 2 2 2 2 2 2 2 2 2 2 2 2 2 2 2 2 2 2 2 2 2 2 2 2 2 8" xfId="4548" xr:uid="{00000000-0005-0000-0000-0000C1110000}"/>
    <cellStyle name="Comma 2 2 2 2 2 2 2 2 2 2 2 2 2 2 2 2 2 2 2 2 2 2 2 2 2 9" xfId="4549" xr:uid="{00000000-0005-0000-0000-0000C2110000}"/>
    <cellStyle name="Comma 2 2 2 2 2 2 2 2 2 2 2 2 2 2 2 2 2 2 2 2 2 2 2 2 3" xfId="4550" xr:uid="{00000000-0005-0000-0000-0000C3110000}"/>
    <cellStyle name="Comma 2 2 2 2 2 2 2 2 2 2 2 2 2 2 2 2 2 2 2 2 2 2 2 2 3 2" xfId="4551" xr:uid="{00000000-0005-0000-0000-0000C4110000}"/>
    <cellStyle name="Comma 2 2 2 2 2 2 2 2 2 2 2 2 2 2 2 2 2 2 2 2 2 2 2 2 3 3" xfId="4552" xr:uid="{00000000-0005-0000-0000-0000C5110000}"/>
    <cellStyle name="Comma 2 2 2 2 2 2 2 2 2 2 2 2 2 2 2 2 2 2 2 2 2 2 2 2 3 4" xfId="4553" xr:uid="{00000000-0005-0000-0000-0000C6110000}"/>
    <cellStyle name="Comma 2 2 2 2 2 2 2 2 2 2 2 2 2 2 2 2 2 2 2 2 2 2 2 2 3 5" xfId="4554" xr:uid="{00000000-0005-0000-0000-0000C7110000}"/>
    <cellStyle name="Comma 2 2 2 2 2 2 2 2 2 2 2 2 2 2 2 2 2 2 2 2 2 2 2 2 3 6" xfId="4555" xr:uid="{00000000-0005-0000-0000-0000C8110000}"/>
    <cellStyle name="Comma 2 2 2 2 2 2 2 2 2 2 2 2 2 2 2 2 2 2 2 2 2 2 2 2 3 7" xfId="4556" xr:uid="{00000000-0005-0000-0000-0000C9110000}"/>
    <cellStyle name="Comma 2 2 2 2 2 2 2 2 2 2 2 2 2 2 2 2 2 2 2 2 2 2 2 2 4" xfId="4557" xr:uid="{00000000-0005-0000-0000-0000CA110000}"/>
    <cellStyle name="Comma 2 2 2 2 2 2 2 2 2 2 2 2 2 2 2 2 2 2 2 2 2 2 2 2 4 2" xfId="4558" xr:uid="{00000000-0005-0000-0000-0000CB110000}"/>
    <cellStyle name="Comma 2 2 2 2 2 2 2 2 2 2 2 2 2 2 2 2 2 2 2 2 2 2 2 2 4 3" xfId="4559" xr:uid="{00000000-0005-0000-0000-0000CC110000}"/>
    <cellStyle name="Comma 2 2 2 2 2 2 2 2 2 2 2 2 2 2 2 2 2 2 2 2 2 2 2 2 4 4" xfId="4560" xr:uid="{00000000-0005-0000-0000-0000CD110000}"/>
    <cellStyle name="Comma 2 2 2 2 2 2 2 2 2 2 2 2 2 2 2 2 2 2 2 2 2 2 2 2 4 5" xfId="4561" xr:uid="{00000000-0005-0000-0000-0000CE110000}"/>
    <cellStyle name="Comma 2 2 2 2 2 2 2 2 2 2 2 2 2 2 2 2 2 2 2 2 2 2 2 2 4 6" xfId="4562" xr:uid="{00000000-0005-0000-0000-0000CF110000}"/>
    <cellStyle name="Comma 2 2 2 2 2 2 2 2 2 2 2 2 2 2 2 2 2 2 2 2 2 2 2 2 5" xfId="4563" xr:uid="{00000000-0005-0000-0000-0000D0110000}"/>
    <cellStyle name="Comma 2 2 2 2 2 2 2 2 2 2 2 2 2 2 2 2 2 2 2 2 2 2 2 2 5 2" xfId="4564" xr:uid="{00000000-0005-0000-0000-0000D1110000}"/>
    <cellStyle name="Comma 2 2 2 2 2 2 2 2 2 2 2 2 2 2 2 2 2 2 2 2 2 2 2 2 5 3" xfId="4565" xr:uid="{00000000-0005-0000-0000-0000D2110000}"/>
    <cellStyle name="Comma 2 2 2 2 2 2 2 2 2 2 2 2 2 2 2 2 2 2 2 2 2 2 2 2 5 4" xfId="4566" xr:uid="{00000000-0005-0000-0000-0000D3110000}"/>
    <cellStyle name="Comma 2 2 2 2 2 2 2 2 2 2 2 2 2 2 2 2 2 2 2 2 2 2 2 2 5 5" xfId="4567" xr:uid="{00000000-0005-0000-0000-0000D4110000}"/>
    <cellStyle name="Comma 2 2 2 2 2 2 2 2 2 2 2 2 2 2 2 2 2 2 2 2 2 2 2 2 6" xfId="4568" xr:uid="{00000000-0005-0000-0000-0000D5110000}"/>
    <cellStyle name="Comma 2 2 2 2 2 2 2 2 2 2 2 2 2 2 2 2 2 2 2 2 2 2 2 2 6 2" xfId="4569" xr:uid="{00000000-0005-0000-0000-0000D6110000}"/>
    <cellStyle name="Comma 2 2 2 2 2 2 2 2 2 2 2 2 2 2 2 2 2 2 2 2 2 2 2 2 6 3" xfId="4570" xr:uid="{00000000-0005-0000-0000-0000D7110000}"/>
    <cellStyle name="Comma 2 2 2 2 2 2 2 2 2 2 2 2 2 2 2 2 2 2 2 2 2 2 2 2 6 4" xfId="4571" xr:uid="{00000000-0005-0000-0000-0000D8110000}"/>
    <cellStyle name="Comma 2 2 2 2 2 2 2 2 2 2 2 2 2 2 2 2 2 2 2 2 2 2 2 2 7" xfId="4572" xr:uid="{00000000-0005-0000-0000-0000D9110000}"/>
    <cellStyle name="Comma 2 2 2 2 2 2 2 2 2 2 2 2 2 2 2 2 2 2 2 2 2 2 2 2 7 2" xfId="4573" xr:uid="{00000000-0005-0000-0000-0000DA110000}"/>
    <cellStyle name="Comma 2 2 2 2 2 2 2 2 2 2 2 2 2 2 2 2 2 2 2 2 2 2 2 2 7 3" xfId="4574" xr:uid="{00000000-0005-0000-0000-0000DB110000}"/>
    <cellStyle name="Comma 2 2 2 2 2 2 2 2 2 2 2 2 2 2 2 2 2 2 2 2 2 2 2 2 8" xfId="4575" xr:uid="{00000000-0005-0000-0000-0000DC110000}"/>
    <cellStyle name="Comma 2 2 2 2 2 2 2 2 2 2 2 2 2 2 2 2 2 2 2 2 2 2 2 3" xfId="4576" xr:uid="{00000000-0005-0000-0000-0000DD110000}"/>
    <cellStyle name="Comma 2 2 2 2 2 2 2 2 2 2 2 2 2 2 2 2 2 2 2 2 2 2 2 3 2" xfId="4577" xr:uid="{00000000-0005-0000-0000-0000DE110000}"/>
    <cellStyle name="Comma 2 2 2 2 2 2 2 2 2 2 2 2 2 2 2 2 2 2 2 2 2 2 2 3 2 2" xfId="4578" xr:uid="{00000000-0005-0000-0000-0000DF110000}"/>
    <cellStyle name="Comma 2 2 2 2 2 2 2 2 2 2 2 2 2 2 2 2 2 2 2 2 2 2 2 3 2 2 2" xfId="4579" xr:uid="{00000000-0005-0000-0000-0000E0110000}"/>
    <cellStyle name="Comma 2 2 2 2 2 2 2 2 2 2 2 2 2 2 2 2 2 2 2 2 2 2 2 3 2 2 2 2" xfId="4580" xr:uid="{00000000-0005-0000-0000-0000E1110000}"/>
    <cellStyle name="Comma 2 2 2 2 2 2 2 2 2 2 2 2 2 2 2 2 2 2 2 2 2 2 2 3 2 2 3" xfId="4581" xr:uid="{00000000-0005-0000-0000-0000E2110000}"/>
    <cellStyle name="Comma 2 2 2 2 2 2 2 2 2 2 2 2 2 2 2 2 2 2 2 2 2 2 2 3 2 2 3 2" xfId="4582" xr:uid="{00000000-0005-0000-0000-0000E3110000}"/>
    <cellStyle name="Comma 2 2 2 2 2 2 2 2 2 2 2 2 2 2 2 2 2 2 2 2 2 2 2 3 2 2 4" xfId="4583" xr:uid="{00000000-0005-0000-0000-0000E4110000}"/>
    <cellStyle name="Comma 2 2 2 2 2 2 2 2 2 2 2 2 2 2 2 2 2 2 2 2 2 2 2 3 2 2 4 2" xfId="4584" xr:uid="{00000000-0005-0000-0000-0000E5110000}"/>
    <cellStyle name="Comma 2 2 2 2 2 2 2 2 2 2 2 2 2 2 2 2 2 2 2 2 2 2 2 3 2 3" xfId="4585" xr:uid="{00000000-0005-0000-0000-0000E6110000}"/>
    <cellStyle name="Comma 2 2 2 2 2 2 2 2 2 2 2 2 2 2 2 2 2 2 2 2 2 2 2 3 2 4" xfId="4586" xr:uid="{00000000-0005-0000-0000-0000E7110000}"/>
    <cellStyle name="Comma 2 2 2 2 2 2 2 2 2 2 2 2 2 2 2 2 2 2 2 2 2 2 2 3 2 5" xfId="4587" xr:uid="{00000000-0005-0000-0000-0000E8110000}"/>
    <cellStyle name="Comma 2 2 2 2 2 2 2 2 2 2 2 2 2 2 2 2 2 2 2 2 2 2 2 3 3" xfId="4588" xr:uid="{00000000-0005-0000-0000-0000E9110000}"/>
    <cellStyle name="Comma 2 2 2 2 2 2 2 2 2 2 2 2 2 2 2 2 2 2 2 2 2 2 2 3 3 2" xfId="4589" xr:uid="{00000000-0005-0000-0000-0000EA110000}"/>
    <cellStyle name="Comma 2 2 2 2 2 2 2 2 2 2 2 2 2 2 2 2 2 2 2 2 2 2 2 3 3 3" xfId="4590" xr:uid="{00000000-0005-0000-0000-0000EB110000}"/>
    <cellStyle name="Comma 2 2 2 2 2 2 2 2 2 2 2 2 2 2 2 2 2 2 2 2 2 2 2 3 3 4" xfId="4591" xr:uid="{00000000-0005-0000-0000-0000EC110000}"/>
    <cellStyle name="Comma 2 2 2 2 2 2 2 2 2 2 2 2 2 2 2 2 2 2 2 2 2 2 2 3 4" xfId="4592" xr:uid="{00000000-0005-0000-0000-0000ED110000}"/>
    <cellStyle name="Comma 2 2 2 2 2 2 2 2 2 2 2 2 2 2 2 2 2 2 2 2 2 2 2 3 4 2" xfId="4593" xr:uid="{00000000-0005-0000-0000-0000EE110000}"/>
    <cellStyle name="Comma 2 2 2 2 2 2 2 2 2 2 2 2 2 2 2 2 2 2 2 2 2 2 2 3 4 3" xfId="4594" xr:uid="{00000000-0005-0000-0000-0000EF110000}"/>
    <cellStyle name="Comma 2 2 2 2 2 2 2 2 2 2 2 2 2 2 2 2 2 2 2 2 2 2 2 3 5" xfId="4595" xr:uid="{00000000-0005-0000-0000-0000F0110000}"/>
    <cellStyle name="Comma 2 2 2 2 2 2 2 2 2 2 2 2 2 2 2 2 2 2 2 2 2 2 2 3 5 2" xfId="4596" xr:uid="{00000000-0005-0000-0000-0000F1110000}"/>
    <cellStyle name="Comma 2 2 2 2 2 2 2 2 2 2 2 2 2 2 2 2 2 2 2 2 2 2 2 3 6" xfId="4597" xr:uid="{00000000-0005-0000-0000-0000F2110000}"/>
    <cellStyle name="Comma 2 2 2 2 2 2 2 2 2 2 2 2 2 2 2 2 2 2 2 2 2 2 2 3 6 2" xfId="4598" xr:uid="{00000000-0005-0000-0000-0000F3110000}"/>
    <cellStyle name="Comma 2 2 2 2 2 2 2 2 2 2 2 2 2 2 2 2 2 2 2 2 2 2 2 4" xfId="4599" xr:uid="{00000000-0005-0000-0000-0000F4110000}"/>
    <cellStyle name="Comma 2 2 2 2 2 2 2 2 2 2 2 2 2 2 2 2 2 2 2 2 2 2 2 4 2" xfId="4600" xr:uid="{00000000-0005-0000-0000-0000F5110000}"/>
    <cellStyle name="Comma 2 2 2 2 2 2 2 2 2 2 2 2 2 2 2 2 2 2 2 2 2 2 2 4 2 2" xfId="4601" xr:uid="{00000000-0005-0000-0000-0000F6110000}"/>
    <cellStyle name="Comma 2 2 2 2 2 2 2 2 2 2 2 2 2 2 2 2 2 2 2 2 2 2 2 4 2 3" xfId="4602" xr:uid="{00000000-0005-0000-0000-0000F7110000}"/>
    <cellStyle name="Comma 2 2 2 2 2 2 2 2 2 2 2 2 2 2 2 2 2 2 2 2 2 2 2 4 2 4" xfId="4603" xr:uid="{00000000-0005-0000-0000-0000F8110000}"/>
    <cellStyle name="Comma 2 2 2 2 2 2 2 2 2 2 2 2 2 2 2 2 2 2 2 2 2 2 2 4 3" xfId="4604" xr:uid="{00000000-0005-0000-0000-0000F9110000}"/>
    <cellStyle name="Comma 2 2 2 2 2 2 2 2 2 2 2 2 2 2 2 2 2 2 2 2 2 2 2 4 3 2" xfId="4605" xr:uid="{00000000-0005-0000-0000-0000FA110000}"/>
    <cellStyle name="Comma 2 2 2 2 2 2 2 2 2 2 2 2 2 2 2 2 2 2 2 2 2 2 2 4 3 3" xfId="4606" xr:uid="{00000000-0005-0000-0000-0000FB110000}"/>
    <cellStyle name="Comma 2 2 2 2 2 2 2 2 2 2 2 2 2 2 2 2 2 2 2 2 2 2 2 4 4" xfId="4607" xr:uid="{00000000-0005-0000-0000-0000FC110000}"/>
    <cellStyle name="Comma 2 2 2 2 2 2 2 2 2 2 2 2 2 2 2 2 2 2 2 2 2 2 2 4 4 2" xfId="4608" xr:uid="{00000000-0005-0000-0000-0000FD110000}"/>
    <cellStyle name="Comma 2 2 2 2 2 2 2 2 2 2 2 2 2 2 2 2 2 2 2 2 2 2 2 4 5" xfId="4609" xr:uid="{00000000-0005-0000-0000-0000FE110000}"/>
    <cellStyle name="Comma 2 2 2 2 2 2 2 2 2 2 2 2 2 2 2 2 2 2 2 2 2 2 2 4 5 2" xfId="4610" xr:uid="{00000000-0005-0000-0000-0000FF110000}"/>
    <cellStyle name="Comma 2 2 2 2 2 2 2 2 2 2 2 2 2 2 2 2 2 2 2 2 2 2 2 5" xfId="4611" xr:uid="{00000000-0005-0000-0000-000000120000}"/>
    <cellStyle name="Comma 2 2 2 2 2 2 2 2 2 2 2 2 2 2 2 2 2 2 2 2 2 2 2 5 2" xfId="4612" xr:uid="{00000000-0005-0000-0000-000001120000}"/>
    <cellStyle name="Comma 2 2 2 2 2 2 2 2 2 2 2 2 2 2 2 2 2 2 2 2 2 2 2 5 2 2" xfId="4613" xr:uid="{00000000-0005-0000-0000-000002120000}"/>
    <cellStyle name="Comma 2 2 2 2 2 2 2 2 2 2 2 2 2 2 2 2 2 2 2 2 2 2 2 5 2 3" xfId="4614" xr:uid="{00000000-0005-0000-0000-000003120000}"/>
    <cellStyle name="Comma 2 2 2 2 2 2 2 2 2 2 2 2 2 2 2 2 2 2 2 2 2 2 2 5 2 4" xfId="4615" xr:uid="{00000000-0005-0000-0000-000004120000}"/>
    <cellStyle name="Comma 2 2 2 2 2 2 2 2 2 2 2 2 2 2 2 2 2 2 2 2 2 2 2 5 3" xfId="4616" xr:uid="{00000000-0005-0000-0000-000005120000}"/>
    <cellStyle name="Comma 2 2 2 2 2 2 2 2 2 2 2 2 2 2 2 2 2 2 2 2 2 2 2 5 3 2" xfId="4617" xr:uid="{00000000-0005-0000-0000-000006120000}"/>
    <cellStyle name="Comma 2 2 2 2 2 2 2 2 2 2 2 2 2 2 2 2 2 2 2 2 2 2 2 5 3 3" xfId="4618" xr:uid="{00000000-0005-0000-0000-000007120000}"/>
    <cellStyle name="Comma 2 2 2 2 2 2 2 2 2 2 2 2 2 2 2 2 2 2 2 2 2 2 2 5 4" xfId="4619" xr:uid="{00000000-0005-0000-0000-000008120000}"/>
    <cellStyle name="Comma 2 2 2 2 2 2 2 2 2 2 2 2 2 2 2 2 2 2 2 2 2 2 2 5 4 2" xfId="4620" xr:uid="{00000000-0005-0000-0000-000009120000}"/>
    <cellStyle name="Comma 2 2 2 2 2 2 2 2 2 2 2 2 2 2 2 2 2 2 2 2 2 2 2 6" xfId="4621" xr:uid="{00000000-0005-0000-0000-00000A120000}"/>
    <cellStyle name="Comma 2 2 2 2 2 2 2 2 2 2 2 2 2 2 2 2 2 2 2 2 2 2 2 6 2" xfId="4622" xr:uid="{00000000-0005-0000-0000-00000B120000}"/>
    <cellStyle name="Comma 2 2 2 2 2 2 2 2 2 2 2 2 2 2 2 2 2 2 2 2 2 2 2 6 2 2" xfId="4623" xr:uid="{00000000-0005-0000-0000-00000C120000}"/>
    <cellStyle name="Comma 2 2 2 2 2 2 2 2 2 2 2 2 2 2 2 2 2 2 2 2 2 2 2 6 2 3" xfId="4624" xr:uid="{00000000-0005-0000-0000-00000D120000}"/>
    <cellStyle name="Comma 2 2 2 2 2 2 2 2 2 2 2 2 2 2 2 2 2 2 2 2 2 2 2 6 3" xfId="4625" xr:uid="{00000000-0005-0000-0000-00000E120000}"/>
    <cellStyle name="Comma 2 2 2 2 2 2 2 2 2 2 2 2 2 2 2 2 2 2 2 2 2 2 2 6 3 2" xfId="4626" xr:uid="{00000000-0005-0000-0000-00000F120000}"/>
    <cellStyle name="Comma 2 2 2 2 2 2 2 2 2 2 2 2 2 2 2 2 2 2 2 2 2 2 2 7" xfId="4627" xr:uid="{00000000-0005-0000-0000-000010120000}"/>
    <cellStyle name="Comma 2 2 2 2 2 2 2 2 2 2 2 2 2 2 2 2 2 2 2 2 2 2 2 7 2" xfId="4628" xr:uid="{00000000-0005-0000-0000-000011120000}"/>
    <cellStyle name="Comma 2 2 2 2 2 2 2 2 2 2 2 2 2 2 2 2 2 2 2 2 2 2 2 7 2 2" xfId="4629" xr:uid="{00000000-0005-0000-0000-000012120000}"/>
    <cellStyle name="Comma 2 2 2 2 2 2 2 2 2 2 2 2 2 2 2 2 2 2 2 2 2 2 2 7 3" xfId="4630" xr:uid="{00000000-0005-0000-0000-000013120000}"/>
    <cellStyle name="Comma 2 2 2 2 2 2 2 2 2 2 2 2 2 2 2 2 2 2 2 2 2 2 2 8" xfId="4631" xr:uid="{00000000-0005-0000-0000-000014120000}"/>
    <cellStyle name="Comma 2 2 2 2 2 2 2 2 2 2 2 2 2 2 2 2 2 2 2 2 2 2 2 8 2" xfId="4632" xr:uid="{00000000-0005-0000-0000-000015120000}"/>
    <cellStyle name="Comma 2 2 2 2 2 2 2 2 2 2 2 2 2 2 2 2 2 2 2 2 2 2 2 8 2 2" xfId="4633" xr:uid="{00000000-0005-0000-0000-000016120000}"/>
    <cellStyle name="Comma 2 2 2 2 2 2 2 2 2 2 2 2 2 2 2 2 2 2 2 2 2 2 2 9" xfId="4634" xr:uid="{00000000-0005-0000-0000-000017120000}"/>
    <cellStyle name="Comma 2 2 2 2 2 2 2 2 2 2 2 2 2 2 2 2 2 2 2 2 2 2 2 9 2" xfId="4635" xr:uid="{00000000-0005-0000-0000-000018120000}"/>
    <cellStyle name="Comma 2 2 2 2 2 2 2 2 2 2 2 2 2 2 2 2 2 2 2 2 2 2 2 9 2 2" xfId="4636" xr:uid="{00000000-0005-0000-0000-000019120000}"/>
    <cellStyle name="Comma 2 2 2 2 2 2 2 2 2 2 2 2 2 2 2 2 2 2 2 2 2 2 3" xfId="4637" xr:uid="{00000000-0005-0000-0000-00001A120000}"/>
    <cellStyle name="Comma 2 2 2 2 2 2 2 2 2 2 2 2 2 2 2 2 2 2 2 2 2 2 3 10" xfId="4638" xr:uid="{00000000-0005-0000-0000-00001B120000}"/>
    <cellStyle name="Comma 2 2 2 2 2 2 2 2 2 2 2 2 2 2 2 2 2 2 2 2 2 2 3 10 2" xfId="4639" xr:uid="{00000000-0005-0000-0000-00001C120000}"/>
    <cellStyle name="Comma 2 2 2 2 2 2 2 2 2 2 2 2 2 2 2 2 2 2 2 2 2 2 3 11" xfId="4640" xr:uid="{00000000-0005-0000-0000-00001D120000}"/>
    <cellStyle name="Comma 2 2 2 2 2 2 2 2 2 2 2 2 2 2 2 2 2 2 2 2 2 2 3 12" xfId="4641" xr:uid="{00000000-0005-0000-0000-00001E120000}"/>
    <cellStyle name="Comma 2 2 2 2 2 2 2 2 2 2 2 2 2 2 2 2 2 2 2 2 2 2 3 13" xfId="4642" xr:uid="{00000000-0005-0000-0000-00001F120000}"/>
    <cellStyle name="Comma 2 2 2 2 2 2 2 2 2 2 2 2 2 2 2 2 2 2 2 2 2 2 3 14" xfId="4643" xr:uid="{00000000-0005-0000-0000-000020120000}"/>
    <cellStyle name="Comma 2 2 2 2 2 2 2 2 2 2 2 2 2 2 2 2 2 2 2 2 2 2 3 15" xfId="4644" xr:uid="{00000000-0005-0000-0000-000021120000}"/>
    <cellStyle name="Comma 2 2 2 2 2 2 2 2 2 2 2 2 2 2 2 2 2 2 2 2 2 2 3 16" xfId="4645" xr:uid="{00000000-0005-0000-0000-000022120000}"/>
    <cellStyle name="Comma 2 2 2 2 2 2 2 2 2 2 2 2 2 2 2 2 2 2 2 2 2 2 3 2" xfId="4646" xr:uid="{00000000-0005-0000-0000-000023120000}"/>
    <cellStyle name="Comma 2 2 2 2 2 2 2 2 2 2 2 2 2 2 2 2 2 2 2 2 2 2 3 2 2" xfId="4647" xr:uid="{00000000-0005-0000-0000-000024120000}"/>
    <cellStyle name="Comma 2 2 2 2 2 2 2 2 2 2 2 2 2 2 2 2 2 2 2 2 2 2 3 2 2 2" xfId="4648" xr:uid="{00000000-0005-0000-0000-000025120000}"/>
    <cellStyle name="Comma 2 2 2 2 2 2 2 2 2 2 2 2 2 2 2 2 2 2 2 2 2 2 3 2 2 3" xfId="4649" xr:uid="{00000000-0005-0000-0000-000026120000}"/>
    <cellStyle name="Comma 2 2 2 2 2 2 2 2 2 2 2 2 2 2 2 2 2 2 2 2 2 2 3 2 2 4" xfId="4650" xr:uid="{00000000-0005-0000-0000-000027120000}"/>
    <cellStyle name="Comma 2 2 2 2 2 2 2 2 2 2 2 2 2 2 2 2 2 2 2 2 2 2 3 2 2 5" xfId="4651" xr:uid="{00000000-0005-0000-0000-000028120000}"/>
    <cellStyle name="Comma 2 2 2 2 2 2 2 2 2 2 2 2 2 2 2 2 2 2 2 2 2 2 3 2 3" xfId="4652" xr:uid="{00000000-0005-0000-0000-000029120000}"/>
    <cellStyle name="Comma 2 2 2 2 2 2 2 2 2 2 2 2 2 2 2 2 2 2 2 2 2 2 3 2 3 2" xfId="4653" xr:uid="{00000000-0005-0000-0000-00002A120000}"/>
    <cellStyle name="Comma 2 2 2 2 2 2 2 2 2 2 2 2 2 2 2 2 2 2 2 2 2 2 3 2 3 3" xfId="4654" xr:uid="{00000000-0005-0000-0000-00002B120000}"/>
    <cellStyle name="Comma 2 2 2 2 2 2 2 2 2 2 2 2 2 2 2 2 2 2 2 2 2 2 3 2 3 4" xfId="4655" xr:uid="{00000000-0005-0000-0000-00002C120000}"/>
    <cellStyle name="Comma 2 2 2 2 2 2 2 2 2 2 2 2 2 2 2 2 2 2 2 2 2 2 3 2 4" xfId="4656" xr:uid="{00000000-0005-0000-0000-00002D120000}"/>
    <cellStyle name="Comma 2 2 2 2 2 2 2 2 2 2 2 2 2 2 2 2 2 2 2 2 2 2 3 2 4 2" xfId="4657" xr:uid="{00000000-0005-0000-0000-00002E120000}"/>
    <cellStyle name="Comma 2 2 2 2 2 2 2 2 2 2 2 2 2 2 2 2 2 2 2 2 2 2 3 2 4 3" xfId="4658" xr:uid="{00000000-0005-0000-0000-00002F120000}"/>
    <cellStyle name="Comma 2 2 2 2 2 2 2 2 2 2 2 2 2 2 2 2 2 2 2 2 2 2 3 3" xfId="4659" xr:uid="{00000000-0005-0000-0000-000030120000}"/>
    <cellStyle name="Comma 2 2 2 2 2 2 2 2 2 2 2 2 2 2 2 2 2 2 2 2 2 2 3 3 2" xfId="4660" xr:uid="{00000000-0005-0000-0000-000031120000}"/>
    <cellStyle name="Comma 2 2 2 2 2 2 2 2 2 2 2 2 2 2 2 2 2 2 2 2 2 2 3 3 2 2" xfId="4661" xr:uid="{00000000-0005-0000-0000-000032120000}"/>
    <cellStyle name="Comma 2 2 2 2 2 2 2 2 2 2 2 2 2 2 2 2 2 2 2 2 2 2 3 3 2 3" xfId="4662" xr:uid="{00000000-0005-0000-0000-000033120000}"/>
    <cellStyle name="Comma 2 2 2 2 2 2 2 2 2 2 2 2 2 2 2 2 2 2 2 2 2 2 3 3 3" xfId="4663" xr:uid="{00000000-0005-0000-0000-000034120000}"/>
    <cellStyle name="Comma 2 2 2 2 2 2 2 2 2 2 2 2 2 2 2 2 2 2 2 2 2 2 3 3 3 2" xfId="4664" xr:uid="{00000000-0005-0000-0000-000035120000}"/>
    <cellStyle name="Comma 2 2 2 2 2 2 2 2 2 2 2 2 2 2 2 2 2 2 2 2 2 2 3 4" xfId="4665" xr:uid="{00000000-0005-0000-0000-000036120000}"/>
    <cellStyle name="Comma 2 2 2 2 2 2 2 2 2 2 2 2 2 2 2 2 2 2 2 2 2 2 3 5" xfId="4666" xr:uid="{00000000-0005-0000-0000-000037120000}"/>
    <cellStyle name="Comma 2 2 2 2 2 2 2 2 2 2 2 2 2 2 2 2 2 2 2 2 2 2 3 6" xfId="4667" xr:uid="{00000000-0005-0000-0000-000038120000}"/>
    <cellStyle name="Comma 2 2 2 2 2 2 2 2 2 2 2 2 2 2 2 2 2 2 2 2 2 2 3 6 2" xfId="4668" xr:uid="{00000000-0005-0000-0000-000039120000}"/>
    <cellStyle name="Comma 2 2 2 2 2 2 2 2 2 2 2 2 2 2 2 2 2 2 2 2 2 2 3 6 3" xfId="4669" xr:uid="{00000000-0005-0000-0000-00003A120000}"/>
    <cellStyle name="Comma 2 2 2 2 2 2 2 2 2 2 2 2 2 2 2 2 2 2 2 2 2 2 3 7" xfId="4670" xr:uid="{00000000-0005-0000-0000-00003B120000}"/>
    <cellStyle name="Comma 2 2 2 2 2 2 2 2 2 2 2 2 2 2 2 2 2 2 2 2 2 2 3 8" xfId="4671" xr:uid="{00000000-0005-0000-0000-00003C120000}"/>
    <cellStyle name="Comma 2 2 2 2 2 2 2 2 2 2 2 2 2 2 2 2 2 2 2 2 2 2 3 9" xfId="4672" xr:uid="{00000000-0005-0000-0000-00003D120000}"/>
    <cellStyle name="Comma 2 2 2 2 2 2 2 2 2 2 2 2 2 2 2 2 2 2 2 2 2 2 4" xfId="4673" xr:uid="{00000000-0005-0000-0000-00003E120000}"/>
    <cellStyle name="Comma 2 2 2 2 2 2 2 2 2 2 2 2 2 2 2 2 2 2 2 2 2 2 4 10" xfId="4674" xr:uid="{00000000-0005-0000-0000-00003F120000}"/>
    <cellStyle name="Comma 2 2 2 2 2 2 2 2 2 2 2 2 2 2 2 2 2 2 2 2 2 2 4 11" xfId="4675" xr:uid="{00000000-0005-0000-0000-000040120000}"/>
    <cellStyle name="Comma 2 2 2 2 2 2 2 2 2 2 2 2 2 2 2 2 2 2 2 2 2 2 4 12" xfId="4676" xr:uid="{00000000-0005-0000-0000-000041120000}"/>
    <cellStyle name="Comma 2 2 2 2 2 2 2 2 2 2 2 2 2 2 2 2 2 2 2 2 2 2 4 13" xfId="4677" xr:uid="{00000000-0005-0000-0000-000042120000}"/>
    <cellStyle name="Comma 2 2 2 2 2 2 2 2 2 2 2 2 2 2 2 2 2 2 2 2 2 2 4 14" xfId="4678" xr:uid="{00000000-0005-0000-0000-000043120000}"/>
    <cellStyle name="Comma 2 2 2 2 2 2 2 2 2 2 2 2 2 2 2 2 2 2 2 2 2 2 4 15" xfId="4679" xr:uid="{00000000-0005-0000-0000-000044120000}"/>
    <cellStyle name="Comma 2 2 2 2 2 2 2 2 2 2 2 2 2 2 2 2 2 2 2 2 2 2 4 2" xfId="4680" xr:uid="{00000000-0005-0000-0000-000045120000}"/>
    <cellStyle name="Comma 2 2 2 2 2 2 2 2 2 2 2 2 2 2 2 2 2 2 2 2 2 2 4 2 2" xfId="4681" xr:uid="{00000000-0005-0000-0000-000046120000}"/>
    <cellStyle name="Comma 2 2 2 2 2 2 2 2 2 2 2 2 2 2 2 2 2 2 2 2 2 2 4 2 2 2" xfId="4682" xr:uid="{00000000-0005-0000-0000-000047120000}"/>
    <cellStyle name="Comma 2 2 2 2 2 2 2 2 2 2 2 2 2 2 2 2 2 2 2 2 2 2 4 2 2 3" xfId="4683" xr:uid="{00000000-0005-0000-0000-000048120000}"/>
    <cellStyle name="Comma 2 2 2 2 2 2 2 2 2 2 2 2 2 2 2 2 2 2 2 2 2 2 4 2 3" xfId="4684" xr:uid="{00000000-0005-0000-0000-000049120000}"/>
    <cellStyle name="Comma 2 2 2 2 2 2 2 2 2 2 2 2 2 2 2 2 2 2 2 2 2 2 4 2 3 2" xfId="4685" xr:uid="{00000000-0005-0000-0000-00004A120000}"/>
    <cellStyle name="Comma 2 2 2 2 2 2 2 2 2 2 2 2 2 2 2 2 2 2 2 2 2 2 4 3" xfId="4686" xr:uid="{00000000-0005-0000-0000-00004B120000}"/>
    <cellStyle name="Comma 2 2 2 2 2 2 2 2 2 2 2 2 2 2 2 2 2 2 2 2 2 2 4 4" xfId="4687" xr:uid="{00000000-0005-0000-0000-00004C120000}"/>
    <cellStyle name="Comma 2 2 2 2 2 2 2 2 2 2 2 2 2 2 2 2 2 2 2 2 2 2 4 5" xfId="4688" xr:uid="{00000000-0005-0000-0000-00004D120000}"/>
    <cellStyle name="Comma 2 2 2 2 2 2 2 2 2 2 2 2 2 2 2 2 2 2 2 2 2 2 4 5 2" xfId="4689" xr:uid="{00000000-0005-0000-0000-00004E120000}"/>
    <cellStyle name="Comma 2 2 2 2 2 2 2 2 2 2 2 2 2 2 2 2 2 2 2 2 2 2 4 5 3" xfId="4690" xr:uid="{00000000-0005-0000-0000-00004F120000}"/>
    <cellStyle name="Comma 2 2 2 2 2 2 2 2 2 2 2 2 2 2 2 2 2 2 2 2 2 2 4 6" xfId="4691" xr:uid="{00000000-0005-0000-0000-000050120000}"/>
    <cellStyle name="Comma 2 2 2 2 2 2 2 2 2 2 2 2 2 2 2 2 2 2 2 2 2 2 4 7" xfId="4692" xr:uid="{00000000-0005-0000-0000-000051120000}"/>
    <cellStyle name="Comma 2 2 2 2 2 2 2 2 2 2 2 2 2 2 2 2 2 2 2 2 2 2 4 8" xfId="4693" xr:uid="{00000000-0005-0000-0000-000052120000}"/>
    <cellStyle name="Comma 2 2 2 2 2 2 2 2 2 2 2 2 2 2 2 2 2 2 2 2 2 2 4 9" xfId="4694" xr:uid="{00000000-0005-0000-0000-000053120000}"/>
    <cellStyle name="Comma 2 2 2 2 2 2 2 2 2 2 2 2 2 2 2 2 2 2 2 2 2 2 4 9 2" xfId="4695" xr:uid="{00000000-0005-0000-0000-000054120000}"/>
    <cellStyle name="Comma 2 2 2 2 2 2 2 2 2 2 2 2 2 2 2 2 2 2 2 2 2 2 5" xfId="4696" xr:uid="{00000000-0005-0000-0000-000055120000}"/>
    <cellStyle name="Comma 2 2 2 2 2 2 2 2 2 2 2 2 2 2 2 2 2 2 2 2 2 2 5 10" xfId="4697" xr:uid="{00000000-0005-0000-0000-000056120000}"/>
    <cellStyle name="Comma 2 2 2 2 2 2 2 2 2 2 2 2 2 2 2 2 2 2 2 2 2 2 5 11" xfId="4698" xr:uid="{00000000-0005-0000-0000-000057120000}"/>
    <cellStyle name="Comma 2 2 2 2 2 2 2 2 2 2 2 2 2 2 2 2 2 2 2 2 2 2 5 12" xfId="4699" xr:uid="{00000000-0005-0000-0000-000058120000}"/>
    <cellStyle name="Comma 2 2 2 2 2 2 2 2 2 2 2 2 2 2 2 2 2 2 2 2 2 2 5 13" xfId="4700" xr:uid="{00000000-0005-0000-0000-000059120000}"/>
    <cellStyle name="Comma 2 2 2 2 2 2 2 2 2 2 2 2 2 2 2 2 2 2 2 2 2 2 5 14" xfId="4701" xr:uid="{00000000-0005-0000-0000-00005A120000}"/>
    <cellStyle name="Comma 2 2 2 2 2 2 2 2 2 2 2 2 2 2 2 2 2 2 2 2 2 2 5 2" xfId="4702" xr:uid="{00000000-0005-0000-0000-00005B120000}"/>
    <cellStyle name="Comma 2 2 2 2 2 2 2 2 2 2 2 2 2 2 2 2 2 2 2 2 2 2 5 2 2" xfId="4703" xr:uid="{00000000-0005-0000-0000-00005C120000}"/>
    <cellStyle name="Comma 2 2 2 2 2 2 2 2 2 2 2 2 2 2 2 2 2 2 2 2 2 2 5 2 2 2" xfId="4704" xr:uid="{00000000-0005-0000-0000-00005D120000}"/>
    <cellStyle name="Comma 2 2 2 2 2 2 2 2 2 2 2 2 2 2 2 2 2 2 2 2 2 2 5 2 2 3" xfId="4705" xr:uid="{00000000-0005-0000-0000-00005E120000}"/>
    <cellStyle name="Comma 2 2 2 2 2 2 2 2 2 2 2 2 2 2 2 2 2 2 2 2 2 2 5 2 3" xfId="4706" xr:uid="{00000000-0005-0000-0000-00005F120000}"/>
    <cellStyle name="Comma 2 2 2 2 2 2 2 2 2 2 2 2 2 2 2 2 2 2 2 2 2 2 5 2 3 2" xfId="4707" xr:uid="{00000000-0005-0000-0000-000060120000}"/>
    <cellStyle name="Comma 2 2 2 2 2 2 2 2 2 2 2 2 2 2 2 2 2 2 2 2 2 2 5 3" xfId="4708" xr:uid="{00000000-0005-0000-0000-000061120000}"/>
    <cellStyle name="Comma 2 2 2 2 2 2 2 2 2 2 2 2 2 2 2 2 2 2 2 2 2 2 5 4" xfId="4709" xr:uid="{00000000-0005-0000-0000-000062120000}"/>
    <cellStyle name="Comma 2 2 2 2 2 2 2 2 2 2 2 2 2 2 2 2 2 2 2 2 2 2 5 4 2" xfId="4710" xr:uid="{00000000-0005-0000-0000-000063120000}"/>
    <cellStyle name="Comma 2 2 2 2 2 2 2 2 2 2 2 2 2 2 2 2 2 2 2 2 2 2 5 4 3" xfId="4711" xr:uid="{00000000-0005-0000-0000-000064120000}"/>
    <cellStyle name="Comma 2 2 2 2 2 2 2 2 2 2 2 2 2 2 2 2 2 2 2 2 2 2 5 5" xfId="4712" xr:uid="{00000000-0005-0000-0000-000065120000}"/>
    <cellStyle name="Comma 2 2 2 2 2 2 2 2 2 2 2 2 2 2 2 2 2 2 2 2 2 2 5 6" xfId="4713" xr:uid="{00000000-0005-0000-0000-000066120000}"/>
    <cellStyle name="Comma 2 2 2 2 2 2 2 2 2 2 2 2 2 2 2 2 2 2 2 2 2 2 5 7" xfId="4714" xr:uid="{00000000-0005-0000-0000-000067120000}"/>
    <cellStyle name="Comma 2 2 2 2 2 2 2 2 2 2 2 2 2 2 2 2 2 2 2 2 2 2 5 8" xfId="4715" xr:uid="{00000000-0005-0000-0000-000068120000}"/>
    <cellStyle name="Comma 2 2 2 2 2 2 2 2 2 2 2 2 2 2 2 2 2 2 2 2 2 2 5 8 2" xfId="4716" xr:uid="{00000000-0005-0000-0000-000069120000}"/>
    <cellStyle name="Comma 2 2 2 2 2 2 2 2 2 2 2 2 2 2 2 2 2 2 2 2 2 2 5 9" xfId="4717" xr:uid="{00000000-0005-0000-0000-00006A120000}"/>
    <cellStyle name="Comma 2 2 2 2 2 2 2 2 2 2 2 2 2 2 2 2 2 2 2 2 2 2 6" xfId="4718" xr:uid="{00000000-0005-0000-0000-00006B120000}"/>
    <cellStyle name="Comma 2 2 2 2 2 2 2 2 2 2 2 2 2 2 2 2 2 2 2 2 2 2 6 10" xfId="4719" xr:uid="{00000000-0005-0000-0000-00006C120000}"/>
    <cellStyle name="Comma 2 2 2 2 2 2 2 2 2 2 2 2 2 2 2 2 2 2 2 2 2 2 6 11" xfId="4720" xr:uid="{00000000-0005-0000-0000-00006D120000}"/>
    <cellStyle name="Comma 2 2 2 2 2 2 2 2 2 2 2 2 2 2 2 2 2 2 2 2 2 2 6 12" xfId="4721" xr:uid="{00000000-0005-0000-0000-00006E120000}"/>
    <cellStyle name="Comma 2 2 2 2 2 2 2 2 2 2 2 2 2 2 2 2 2 2 2 2 2 2 6 13" xfId="4722" xr:uid="{00000000-0005-0000-0000-00006F120000}"/>
    <cellStyle name="Comma 2 2 2 2 2 2 2 2 2 2 2 2 2 2 2 2 2 2 2 2 2 2 6 2" xfId="4723" xr:uid="{00000000-0005-0000-0000-000070120000}"/>
    <cellStyle name="Comma 2 2 2 2 2 2 2 2 2 2 2 2 2 2 2 2 2 2 2 2 2 2 6 2 2" xfId="4724" xr:uid="{00000000-0005-0000-0000-000071120000}"/>
    <cellStyle name="Comma 2 2 2 2 2 2 2 2 2 2 2 2 2 2 2 2 2 2 2 2 2 2 6 2 2 2" xfId="4725" xr:uid="{00000000-0005-0000-0000-000072120000}"/>
    <cellStyle name="Comma 2 2 2 2 2 2 2 2 2 2 2 2 2 2 2 2 2 2 2 2 2 2 6 2 2 3" xfId="4726" xr:uid="{00000000-0005-0000-0000-000073120000}"/>
    <cellStyle name="Comma 2 2 2 2 2 2 2 2 2 2 2 2 2 2 2 2 2 2 2 2 2 2 6 2 3" xfId="4727" xr:uid="{00000000-0005-0000-0000-000074120000}"/>
    <cellStyle name="Comma 2 2 2 2 2 2 2 2 2 2 2 2 2 2 2 2 2 2 2 2 2 2 6 2 3 2" xfId="4728" xr:uid="{00000000-0005-0000-0000-000075120000}"/>
    <cellStyle name="Comma 2 2 2 2 2 2 2 2 2 2 2 2 2 2 2 2 2 2 2 2 2 2 6 3" xfId="4729" xr:uid="{00000000-0005-0000-0000-000076120000}"/>
    <cellStyle name="Comma 2 2 2 2 2 2 2 2 2 2 2 2 2 2 2 2 2 2 2 2 2 2 6 3 2" xfId="4730" xr:uid="{00000000-0005-0000-0000-000077120000}"/>
    <cellStyle name="Comma 2 2 2 2 2 2 2 2 2 2 2 2 2 2 2 2 2 2 2 2 2 2 6 3 3" xfId="4731" xr:uid="{00000000-0005-0000-0000-000078120000}"/>
    <cellStyle name="Comma 2 2 2 2 2 2 2 2 2 2 2 2 2 2 2 2 2 2 2 2 2 2 6 4" xfId="4732" xr:uid="{00000000-0005-0000-0000-000079120000}"/>
    <cellStyle name="Comma 2 2 2 2 2 2 2 2 2 2 2 2 2 2 2 2 2 2 2 2 2 2 6 5" xfId="4733" xr:uid="{00000000-0005-0000-0000-00007A120000}"/>
    <cellStyle name="Comma 2 2 2 2 2 2 2 2 2 2 2 2 2 2 2 2 2 2 2 2 2 2 6 6" xfId="4734" xr:uid="{00000000-0005-0000-0000-00007B120000}"/>
    <cellStyle name="Comma 2 2 2 2 2 2 2 2 2 2 2 2 2 2 2 2 2 2 2 2 2 2 6 7" xfId="4735" xr:uid="{00000000-0005-0000-0000-00007C120000}"/>
    <cellStyle name="Comma 2 2 2 2 2 2 2 2 2 2 2 2 2 2 2 2 2 2 2 2 2 2 6 7 2" xfId="4736" xr:uid="{00000000-0005-0000-0000-00007D120000}"/>
    <cellStyle name="Comma 2 2 2 2 2 2 2 2 2 2 2 2 2 2 2 2 2 2 2 2 2 2 6 8" xfId="4737" xr:uid="{00000000-0005-0000-0000-00007E120000}"/>
    <cellStyle name="Comma 2 2 2 2 2 2 2 2 2 2 2 2 2 2 2 2 2 2 2 2 2 2 6 9" xfId="4738" xr:uid="{00000000-0005-0000-0000-00007F120000}"/>
    <cellStyle name="Comma 2 2 2 2 2 2 2 2 2 2 2 2 2 2 2 2 2 2 2 2 2 2 7" xfId="4739" xr:uid="{00000000-0005-0000-0000-000080120000}"/>
    <cellStyle name="Comma 2 2 2 2 2 2 2 2 2 2 2 2 2 2 2 2 2 2 2 2 2 2 8" xfId="4740" xr:uid="{00000000-0005-0000-0000-000081120000}"/>
    <cellStyle name="Comma 2 2 2 2 2 2 2 2 2 2 2 2 2 2 2 2 2 2 2 2 2 2 8 2" xfId="4741" xr:uid="{00000000-0005-0000-0000-000082120000}"/>
    <cellStyle name="Comma 2 2 2 2 2 2 2 2 2 2 2 2 2 2 2 2 2 2 2 2 2 2 8 3" xfId="4742" xr:uid="{00000000-0005-0000-0000-000083120000}"/>
    <cellStyle name="Comma 2 2 2 2 2 2 2 2 2 2 2 2 2 2 2 2 2 2 2 2 2 2 8 4" xfId="4743" xr:uid="{00000000-0005-0000-0000-000084120000}"/>
    <cellStyle name="Comma 2 2 2 2 2 2 2 2 2 2 2 2 2 2 2 2 2 2 2 2 2 2 9" xfId="4744" xr:uid="{00000000-0005-0000-0000-000085120000}"/>
    <cellStyle name="Comma 2 2 2 2 2 2 2 2 2 2 2 2 2 2 2 2 2 2 2 2 2 20" xfId="4745" xr:uid="{00000000-0005-0000-0000-000086120000}"/>
    <cellStyle name="Comma 2 2 2 2 2 2 2 2 2 2 2 2 2 2 2 2 2 2 2 2 2 21" xfId="4746" xr:uid="{00000000-0005-0000-0000-000087120000}"/>
    <cellStyle name="Comma 2 2 2 2 2 2 2 2 2 2 2 2 2 2 2 2 2 2 2 2 2 21 2" xfId="4747" xr:uid="{00000000-0005-0000-0000-000088120000}"/>
    <cellStyle name="Comma 2 2 2 2 2 2 2 2 2 2 2 2 2 2 2 2 2 2 2 2 2 21 3" xfId="4748" xr:uid="{00000000-0005-0000-0000-000089120000}"/>
    <cellStyle name="Comma 2 2 2 2 2 2 2 2 2 2 2 2 2 2 2 2 2 2 2 2 2 22" xfId="4749" xr:uid="{00000000-0005-0000-0000-00008A120000}"/>
    <cellStyle name="Comma 2 2 2 2 2 2 2 2 2 2 2 2 2 2 2 2 2 2 2 2 2 23" xfId="4750" xr:uid="{00000000-0005-0000-0000-00008B120000}"/>
    <cellStyle name="Comma 2 2 2 2 2 2 2 2 2 2 2 2 2 2 2 2 2 2 2 2 2 24" xfId="4751" xr:uid="{00000000-0005-0000-0000-00008C120000}"/>
    <cellStyle name="Comma 2 2 2 2 2 2 2 2 2 2 2 2 2 2 2 2 2 2 2 2 2 24 2" xfId="4752" xr:uid="{00000000-0005-0000-0000-00008D120000}"/>
    <cellStyle name="Comma 2 2 2 2 2 2 2 2 2 2 2 2 2 2 2 2 2 2 2 2 2 25" xfId="4753" xr:uid="{00000000-0005-0000-0000-00008E120000}"/>
    <cellStyle name="Comma 2 2 2 2 2 2 2 2 2 2 2 2 2 2 2 2 2 2 2 2 2 26" xfId="4754" xr:uid="{00000000-0005-0000-0000-00008F120000}"/>
    <cellStyle name="Comma 2 2 2 2 2 2 2 2 2 2 2 2 2 2 2 2 2 2 2 2 2 27" xfId="4755" xr:uid="{00000000-0005-0000-0000-000090120000}"/>
    <cellStyle name="Comma 2 2 2 2 2 2 2 2 2 2 2 2 2 2 2 2 2 2 2 2 2 28" xfId="4756" xr:uid="{00000000-0005-0000-0000-000091120000}"/>
    <cellStyle name="Comma 2 2 2 2 2 2 2 2 2 2 2 2 2 2 2 2 2 2 2 2 2 29" xfId="4757" xr:uid="{00000000-0005-0000-0000-000092120000}"/>
    <cellStyle name="Comma 2 2 2 2 2 2 2 2 2 2 2 2 2 2 2 2 2 2 2 2 2 3" xfId="4758" xr:uid="{00000000-0005-0000-0000-000093120000}"/>
    <cellStyle name="Comma 2 2 2 2 2 2 2 2 2 2 2 2 2 2 2 2 2 2 2 2 2 3 2" xfId="4759" xr:uid="{00000000-0005-0000-0000-000094120000}"/>
    <cellStyle name="Comma 2 2 2 2 2 2 2 2 2 2 2 2 2 2 2 2 2 2 2 2 2 3 2 10" xfId="4760" xr:uid="{00000000-0005-0000-0000-000095120000}"/>
    <cellStyle name="Comma 2 2 2 2 2 2 2 2 2 2 2 2 2 2 2 2 2 2 2 2 2 3 2 11" xfId="4761" xr:uid="{00000000-0005-0000-0000-000096120000}"/>
    <cellStyle name="Comma 2 2 2 2 2 2 2 2 2 2 2 2 2 2 2 2 2 2 2 2 2 3 2 12" xfId="4762" xr:uid="{00000000-0005-0000-0000-000097120000}"/>
    <cellStyle name="Comma 2 2 2 2 2 2 2 2 2 2 2 2 2 2 2 2 2 2 2 2 2 3 2 13" xfId="4763" xr:uid="{00000000-0005-0000-0000-000098120000}"/>
    <cellStyle name="Comma 2 2 2 2 2 2 2 2 2 2 2 2 2 2 2 2 2 2 2 2 2 3 2 2" xfId="4764" xr:uid="{00000000-0005-0000-0000-000099120000}"/>
    <cellStyle name="Comma 2 2 2 2 2 2 2 2 2 2 2 2 2 2 2 2 2 2 2 2 2 3 2 3" xfId="4765" xr:uid="{00000000-0005-0000-0000-00009A120000}"/>
    <cellStyle name="Comma 2 2 2 2 2 2 2 2 2 2 2 2 2 2 2 2 2 2 2 2 2 3 2 4" xfId="4766" xr:uid="{00000000-0005-0000-0000-00009B120000}"/>
    <cellStyle name="Comma 2 2 2 2 2 2 2 2 2 2 2 2 2 2 2 2 2 2 2 2 2 3 2 5" xfId="4767" xr:uid="{00000000-0005-0000-0000-00009C120000}"/>
    <cellStyle name="Comma 2 2 2 2 2 2 2 2 2 2 2 2 2 2 2 2 2 2 2 2 2 3 2 6" xfId="4768" xr:uid="{00000000-0005-0000-0000-00009D120000}"/>
    <cellStyle name="Comma 2 2 2 2 2 2 2 2 2 2 2 2 2 2 2 2 2 2 2 2 2 3 2 7" xfId="4769" xr:uid="{00000000-0005-0000-0000-00009E120000}"/>
    <cellStyle name="Comma 2 2 2 2 2 2 2 2 2 2 2 2 2 2 2 2 2 2 2 2 2 3 2 7 2" xfId="4770" xr:uid="{00000000-0005-0000-0000-00009F120000}"/>
    <cellStyle name="Comma 2 2 2 2 2 2 2 2 2 2 2 2 2 2 2 2 2 2 2 2 2 3 2 8" xfId="4771" xr:uid="{00000000-0005-0000-0000-0000A0120000}"/>
    <cellStyle name="Comma 2 2 2 2 2 2 2 2 2 2 2 2 2 2 2 2 2 2 2 2 2 3 2 9" xfId="4772" xr:uid="{00000000-0005-0000-0000-0000A1120000}"/>
    <cellStyle name="Comma 2 2 2 2 2 2 2 2 2 2 2 2 2 2 2 2 2 2 2 2 2 3 3" xfId="4773" xr:uid="{00000000-0005-0000-0000-0000A2120000}"/>
    <cellStyle name="Comma 2 2 2 2 2 2 2 2 2 2 2 2 2 2 2 2 2 2 2 2 2 3 3 10" xfId="4774" xr:uid="{00000000-0005-0000-0000-0000A3120000}"/>
    <cellStyle name="Comma 2 2 2 2 2 2 2 2 2 2 2 2 2 2 2 2 2 2 2 2 2 3 3 11" xfId="4775" xr:uid="{00000000-0005-0000-0000-0000A4120000}"/>
    <cellStyle name="Comma 2 2 2 2 2 2 2 2 2 2 2 2 2 2 2 2 2 2 2 2 2 3 3 12" xfId="4776" xr:uid="{00000000-0005-0000-0000-0000A5120000}"/>
    <cellStyle name="Comma 2 2 2 2 2 2 2 2 2 2 2 2 2 2 2 2 2 2 2 2 2 3 3 2" xfId="4777" xr:uid="{00000000-0005-0000-0000-0000A6120000}"/>
    <cellStyle name="Comma 2 2 2 2 2 2 2 2 2 2 2 2 2 2 2 2 2 2 2 2 2 3 3 3" xfId="4778" xr:uid="{00000000-0005-0000-0000-0000A7120000}"/>
    <cellStyle name="Comma 2 2 2 2 2 2 2 2 2 2 2 2 2 2 2 2 2 2 2 2 2 3 3 4" xfId="4779" xr:uid="{00000000-0005-0000-0000-0000A8120000}"/>
    <cellStyle name="Comma 2 2 2 2 2 2 2 2 2 2 2 2 2 2 2 2 2 2 2 2 2 3 3 5" xfId="4780" xr:uid="{00000000-0005-0000-0000-0000A9120000}"/>
    <cellStyle name="Comma 2 2 2 2 2 2 2 2 2 2 2 2 2 2 2 2 2 2 2 2 2 3 3 6" xfId="4781" xr:uid="{00000000-0005-0000-0000-0000AA120000}"/>
    <cellStyle name="Comma 2 2 2 2 2 2 2 2 2 2 2 2 2 2 2 2 2 2 2 2 2 3 3 6 2" xfId="4782" xr:uid="{00000000-0005-0000-0000-0000AB120000}"/>
    <cellStyle name="Comma 2 2 2 2 2 2 2 2 2 2 2 2 2 2 2 2 2 2 2 2 2 3 3 7" xfId="4783" xr:uid="{00000000-0005-0000-0000-0000AC120000}"/>
    <cellStyle name="Comma 2 2 2 2 2 2 2 2 2 2 2 2 2 2 2 2 2 2 2 2 2 3 3 8" xfId="4784" xr:uid="{00000000-0005-0000-0000-0000AD120000}"/>
    <cellStyle name="Comma 2 2 2 2 2 2 2 2 2 2 2 2 2 2 2 2 2 2 2 2 2 3 3 9" xfId="4785" xr:uid="{00000000-0005-0000-0000-0000AE120000}"/>
    <cellStyle name="Comma 2 2 2 2 2 2 2 2 2 2 2 2 2 2 2 2 2 2 2 2 2 3 4" xfId="4786" xr:uid="{00000000-0005-0000-0000-0000AF120000}"/>
    <cellStyle name="Comma 2 2 2 2 2 2 2 2 2 2 2 2 2 2 2 2 2 2 2 2 2 3 4 10" xfId="4787" xr:uid="{00000000-0005-0000-0000-0000B0120000}"/>
    <cellStyle name="Comma 2 2 2 2 2 2 2 2 2 2 2 2 2 2 2 2 2 2 2 2 2 3 4 11" xfId="4788" xr:uid="{00000000-0005-0000-0000-0000B1120000}"/>
    <cellStyle name="Comma 2 2 2 2 2 2 2 2 2 2 2 2 2 2 2 2 2 2 2 2 2 3 4 12" xfId="4789" xr:uid="{00000000-0005-0000-0000-0000B2120000}"/>
    <cellStyle name="Comma 2 2 2 2 2 2 2 2 2 2 2 2 2 2 2 2 2 2 2 2 2 3 4 2" xfId="4790" xr:uid="{00000000-0005-0000-0000-0000B3120000}"/>
    <cellStyle name="Comma 2 2 2 2 2 2 2 2 2 2 2 2 2 2 2 2 2 2 2 2 2 3 4 3" xfId="4791" xr:uid="{00000000-0005-0000-0000-0000B4120000}"/>
    <cellStyle name="Comma 2 2 2 2 2 2 2 2 2 2 2 2 2 2 2 2 2 2 2 2 2 3 4 4" xfId="4792" xr:uid="{00000000-0005-0000-0000-0000B5120000}"/>
    <cellStyle name="Comma 2 2 2 2 2 2 2 2 2 2 2 2 2 2 2 2 2 2 2 2 2 3 4 5" xfId="4793" xr:uid="{00000000-0005-0000-0000-0000B6120000}"/>
    <cellStyle name="Comma 2 2 2 2 2 2 2 2 2 2 2 2 2 2 2 2 2 2 2 2 2 3 4 6" xfId="4794" xr:uid="{00000000-0005-0000-0000-0000B7120000}"/>
    <cellStyle name="Comma 2 2 2 2 2 2 2 2 2 2 2 2 2 2 2 2 2 2 2 2 2 3 4 6 2" xfId="4795" xr:uid="{00000000-0005-0000-0000-0000B8120000}"/>
    <cellStyle name="Comma 2 2 2 2 2 2 2 2 2 2 2 2 2 2 2 2 2 2 2 2 2 3 4 7" xfId="4796" xr:uid="{00000000-0005-0000-0000-0000B9120000}"/>
    <cellStyle name="Comma 2 2 2 2 2 2 2 2 2 2 2 2 2 2 2 2 2 2 2 2 2 3 4 8" xfId="4797" xr:uid="{00000000-0005-0000-0000-0000BA120000}"/>
    <cellStyle name="Comma 2 2 2 2 2 2 2 2 2 2 2 2 2 2 2 2 2 2 2 2 2 3 4 9" xfId="4798" xr:uid="{00000000-0005-0000-0000-0000BB120000}"/>
    <cellStyle name="Comma 2 2 2 2 2 2 2 2 2 2 2 2 2 2 2 2 2 2 2 2 2 3 5" xfId="4799" xr:uid="{00000000-0005-0000-0000-0000BC120000}"/>
    <cellStyle name="Comma 2 2 2 2 2 2 2 2 2 2 2 2 2 2 2 2 2 2 2 2 2 3 5 10" xfId="4800" xr:uid="{00000000-0005-0000-0000-0000BD120000}"/>
    <cellStyle name="Comma 2 2 2 2 2 2 2 2 2 2 2 2 2 2 2 2 2 2 2 2 2 3 5 11" xfId="4801" xr:uid="{00000000-0005-0000-0000-0000BE120000}"/>
    <cellStyle name="Comma 2 2 2 2 2 2 2 2 2 2 2 2 2 2 2 2 2 2 2 2 2 3 5 12" xfId="4802" xr:uid="{00000000-0005-0000-0000-0000BF120000}"/>
    <cellStyle name="Comma 2 2 2 2 2 2 2 2 2 2 2 2 2 2 2 2 2 2 2 2 2 3 5 2" xfId="4803" xr:uid="{00000000-0005-0000-0000-0000C0120000}"/>
    <cellStyle name="Comma 2 2 2 2 2 2 2 2 2 2 2 2 2 2 2 2 2 2 2 2 2 3 5 3" xfId="4804" xr:uid="{00000000-0005-0000-0000-0000C1120000}"/>
    <cellStyle name="Comma 2 2 2 2 2 2 2 2 2 2 2 2 2 2 2 2 2 2 2 2 2 3 5 4" xfId="4805" xr:uid="{00000000-0005-0000-0000-0000C2120000}"/>
    <cellStyle name="Comma 2 2 2 2 2 2 2 2 2 2 2 2 2 2 2 2 2 2 2 2 2 3 5 5" xfId="4806" xr:uid="{00000000-0005-0000-0000-0000C3120000}"/>
    <cellStyle name="Comma 2 2 2 2 2 2 2 2 2 2 2 2 2 2 2 2 2 2 2 2 2 3 5 6" xfId="4807" xr:uid="{00000000-0005-0000-0000-0000C4120000}"/>
    <cellStyle name="Comma 2 2 2 2 2 2 2 2 2 2 2 2 2 2 2 2 2 2 2 2 2 3 5 6 2" xfId="4808" xr:uid="{00000000-0005-0000-0000-0000C5120000}"/>
    <cellStyle name="Comma 2 2 2 2 2 2 2 2 2 2 2 2 2 2 2 2 2 2 2 2 2 3 5 7" xfId="4809" xr:uid="{00000000-0005-0000-0000-0000C6120000}"/>
    <cellStyle name="Comma 2 2 2 2 2 2 2 2 2 2 2 2 2 2 2 2 2 2 2 2 2 3 5 8" xfId="4810" xr:uid="{00000000-0005-0000-0000-0000C7120000}"/>
    <cellStyle name="Comma 2 2 2 2 2 2 2 2 2 2 2 2 2 2 2 2 2 2 2 2 2 3 5 9" xfId="4811" xr:uid="{00000000-0005-0000-0000-0000C8120000}"/>
    <cellStyle name="Comma 2 2 2 2 2 2 2 2 2 2 2 2 2 2 2 2 2 2 2 2 2 3 6" xfId="4812" xr:uid="{00000000-0005-0000-0000-0000C9120000}"/>
    <cellStyle name="Comma 2 2 2 2 2 2 2 2 2 2 2 2 2 2 2 2 2 2 2 2 2 30" xfId="4813" xr:uid="{00000000-0005-0000-0000-0000CA120000}"/>
    <cellStyle name="Comma 2 2 2 2 2 2 2 2 2 2 2 2 2 2 2 2 2 2 2 2 2 31" xfId="4814" xr:uid="{00000000-0005-0000-0000-0000CB120000}"/>
    <cellStyle name="Comma 2 2 2 2 2 2 2 2 2 2 2 2 2 2 2 2 2 2 2 2 2 32" xfId="4815" xr:uid="{00000000-0005-0000-0000-0000CC120000}"/>
    <cellStyle name="Comma 2 2 2 2 2 2 2 2 2 2 2 2 2 2 2 2 2 2 2 2 2 4" xfId="4816" xr:uid="{00000000-0005-0000-0000-0000CD120000}"/>
    <cellStyle name="Comma 2 2 2 2 2 2 2 2 2 2 2 2 2 2 2 2 2 2 2 2 2 4 2" xfId="4817" xr:uid="{00000000-0005-0000-0000-0000CE120000}"/>
    <cellStyle name="Comma 2 2 2 2 2 2 2 2 2 2 2 2 2 2 2 2 2 2 2 2 2 4 2 10" xfId="4818" xr:uid="{00000000-0005-0000-0000-0000CF120000}"/>
    <cellStyle name="Comma 2 2 2 2 2 2 2 2 2 2 2 2 2 2 2 2 2 2 2 2 2 4 2 11" xfId="4819" xr:uid="{00000000-0005-0000-0000-0000D0120000}"/>
    <cellStyle name="Comma 2 2 2 2 2 2 2 2 2 2 2 2 2 2 2 2 2 2 2 2 2 4 2 12" xfId="4820" xr:uid="{00000000-0005-0000-0000-0000D1120000}"/>
    <cellStyle name="Comma 2 2 2 2 2 2 2 2 2 2 2 2 2 2 2 2 2 2 2 2 2 4 2 2" xfId="4821" xr:uid="{00000000-0005-0000-0000-0000D2120000}"/>
    <cellStyle name="Comma 2 2 2 2 2 2 2 2 2 2 2 2 2 2 2 2 2 2 2 2 2 4 2 2 2" xfId="4822" xr:uid="{00000000-0005-0000-0000-0000D3120000}"/>
    <cellStyle name="Comma 2 2 2 2 2 2 2 2 2 2 2 2 2 2 2 2 2 2 2 2 2 4 2 2 2 2" xfId="4823" xr:uid="{00000000-0005-0000-0000-0000D4120000}"/>
    <cellStyle name="Comma 2 2 2 2 2 2 2 2 2 2 2 2 2 2 2 2 2 2 2 2 2 4 2 2 3" xfId="4824" xr:uid="{00000000-0005-0000-0000-0000D5120000}"/>
    <cellStyle name="Comma 2 2 2 2 2 2 2 2 2 2 2 2 2 2 2 2 2 2 2 2 2 4 2 2 3 2" xfId="4825" xr:uid="{00000000-0005-0000-0000-0000D6120000}"/>
    <cellStyle name="Comma 2 2 2 2 2 2 2 2 2 2 2 2 2 2 2 2 2 2 2 2 2 4 2 2 4" xfId="4826" xr:uid="{00000000-0005-0000-0000-0000D7120000}"/>
    <cellStyle name="Comma 2 2 2 2 2 2 2 2 2 2 2 2 2 2 2 2 2 2 2 2 2 4 2 2 4 2" xfId="4827" xr:uid="{00000000-0005-0000-0000-0000D8120000}"/>
    <cellStyle name="Comma 2 2 2 2 2 2 2 2 2 2 2 2 2 2 2 2 2 2 2 2 2 4 2 2 5" xfId="4828" xr:uid="{00000000-0005-0000-0000-0000D9120000}"/>
    <cellStyle name="Comma 2 2 2 2 2 2 2 2 2 2 2 2 2 2 2 2 2 2 2 2 2 4 2 3" xfId="4829" xr:uid="{00000000-0005-0000-0000-0000DA120000}"/>
    <cellStyle name="Comma 2 2 2 2 2 2 2 2 2 2 2 2 2 2 2 2 2 2 2 2 2 4 2 3 2" xfId="4830" xr:uid="{00000000-0005-0000-0000-0000DB120000}"/>
    <cellStyle name="Comma 2 2 2 2 2 2 2 2 2 2 2 2 2 2 2 2 2 2 2 2 2 4 2 3 3" xfId="4831" xr:uid="{00000000-0005-0000-0000-0000DC120000}"/>
    <cellStyle name="Comma 2 2 2 2 2 2 2 2 2 2 2 2 2 2 2 2 2 2 2 2 2 4 2 4" xfId="4832" xr:uid="{00000000-0005-0000-0000-0000DD120000}"/>
    <cellStyle name="Comma 2 2 2 2 2 2 2 2 2 2 2 2 2 2 2 2 2 2 2 2 2 4 2 4 2" xfId="4833" xr:uid="{00000000-0005-0000-0000-0000DE120000}"/>
    <cellStyle name="Comma 2 2 2 2 2 2 2 2 2 2 2 2 2 2 2 2 2 2 2 2 2 4 2 5" xfId="4834" xr:uid="{00000000-0005-0000-0000-0000DF120000}"/>
    <cellStyle name="Comma 2 2 2 2 2 2 2 2 2 2 2 2 2 2 2 2 2 2 2 2 2 4 2 6" xfId="4835" xr:uid="{00000000-0005-0000-0000-0000E0120000}"/>
    <cellStyle name="Comma 2 2 2 2 2 2 2 2 2 2 2 2 2 2 2 2 2 2 2 2 2 4 2 6 2" xfId="4836" xr:uid="{00000000-0005-0000-0000-0000E1120000}"/>
    <cellStyle name="Comma 2 2 2 2 2 2 2 2 2 2 2 2 2 2 2 2 2 2 2 2 2 4 2 7" xfId="4837" xr:uid="{00000000-0005-0000-0000-0000E2120000}"/>
    <cellStyle name="Comma 2 2 2 2 2 2 2 2 2 2 2 2 2 2 2 2 2 2 2 2 2 4 2 8" xfId="4838" xr:uid="{00000000-0005-0000-0000-0000E3120000}"/>
    <cellStyle name="Comma 2 2 2 2 2 2 2 2 2 2 2 2 2 2 2 2 2 2 2 2 2 4 2 9" xfId="4839" xr:uid="{00000000-0005-0000-0000-0000E4120000}"/>
    <cellStyle name="Comma 2 2 2 2 2 2 2 2 2 2 2 2 2 2 2 2 2 2 2 2 2 4 3" xfId="4840" xr:uid="{00000000-0005-0000-0000-0000E5120000}"/>
    <cellStyle name="Comma 2 2 2 2 2 2 2 2 2 2 2 2 2 2 2 2 2 2 2 2 2 4 3 10" xfId="4841" xr:uid="{00000000-0005-0000-0000-0000E6120000}"/>
    <cellStyle name="Comma 2 2 2 2 2 2 2 2 2 2 2 2 2 2 2 2 2 2 2 2 2 4 3 11" xfId="4842" xr:uid="{00000000-0005-0000-0000-0000E7120000}"/>
    <cellStyle name="Comma 2 2 2 2 2 2 2 2 2 2 2 2 2 2 2 2 2 2 2 2 2 4 3 12" xfId="4843" xr:uid="{00000000-0005-0000-0000-0000E8120000}"/>
    <cellStyle name="Comma 2 2 2 2 2 2 2 2 2 2 2 2 2 2 2 2 2 2 2 2 2 4 3 2" xfId="4844" xr:uid="{00000000-0005-0000-0000-0000E9120000}"/>
    <cellStyle name="Comma 2 2 2 2 2 2 2 2 2 2 2 2 2 2 2 2 2 2 2 2 2 4 3 2 2" xfId="4845" xr:uid="{00000000-0005-0000-0000-0000EA120000}"/>
    <cellStyle name="Comma 2 2 2 2 2 2 2 2 2 2 2 2 2 2 2 2 2 2 2 2 2 4 3 2 3" xfId="4846" xr:uid="{00000000-0005-0000-0000-0000EB120000}"/>
    <cellStyle name="Comma 2 2 2 2 2 2 2 2 2 2 2 2 2 2 2 2 2 2 2 2 2 4 3 2 4" xfId="4847" xr:uid="{00000000-0005-0000-0000-0000EC120000}"/>
    <cellStyle name="Comma 2 2 2 2 2 2 2 2 2 2 2 2 2 2 2 2 2 2 2 2 2 4 3 3" xfId="4848" xr:uid="{00000000-0005-0000-0000-0000ED120000}"/>
    <cellStyle name="Comma 2 2 2 2 2 2 2 2 2 2 2 2 2 2 2 2 2 2 2 2 2 4 3 3 2" xfId="4849" xr:uid="{00000000-0005-0000-0000-0000EE120000}"/>
    <cellStyle name="Comma 2 2 2 2 2 2 2 2 2 2 2 2 2 2 2 2 2 2 2 2 2 4 3 4" xfId="4850" xr:uid="{00000000-0005-0000-0000-0000EF120000}"/>
    <cellStyle name="Comma 2 2 2 2 2 2 2 2 2 2 2 2 2 2 2 2 2 2 2 2 2 4 3 5" xfId="4851" xr:uid="{00000000-0005-0000-0000-0000F0120000}"/>
    <cellStyle name="Comma 2 2 2 2 2 2 2 2 2 2 2 2 2 2 2 2 2 2 2 2 2 4 3 6" xfId="4852" xr:uid="{00000000-0005-0000-0000-0000F1120000}"/>
    <cellStyle name="Comma 2 2 2 2 2 2 2 2 2 2 2 2 2 2 2 2 2 2 2 2 2 4 3 6 2" xfId="4853" xr:uid="{00000000-0005-0000-0000-0000F2120000}"/>
    <cellStyle name="Comma 2 2 2 2 2 2 2 2 2 2 2 2 2 2 2 2 2 2 2 2 2 4 3 7" xfId="4854" xr:uid="{00000000-0005-0000-0000-0000F3120000}"/>
    <cellStyle name="Comma 2 2 2 2 2 2 2 2 2 2 2 2 2 2 2 2 2 2 2 2 2 4 3 8" xfId="4855" xr:uid="{00000000-0005-0000-0000-0000F4120000}"/>
    <cellStyle name="Comma 2 2 2 2 2 2 2 2 2 2 2 2 2 2 2 2 2 2 2 2 2 4 3 9" xfId="4856" xr:uid="{00000000-0005-0000-0000-0000F5120000}"/>
    <cellStyle name="Comma 2 2 2 2 2 2 2 2 2 2 2 2 2 2 2 2 2 2 2 2 2 4 4" xfId="4857" xr:uid="{00000000-0005-0000-0000-0000F6120000}"/>
    <cellStyle name="Comma 2 2 2 2 2 2 2 2 2 2 2 2 2 2 2 2 2 2 2 2 2 4 4 10" xfId="4858" xr:uid="{00000000-0005-0000-0000-0000F7120000}"/>
    <cellStyle name="Comma 2 2 2 2 2 2 2 2 2 2 2 2 2 2 2 2 2 2 2 2 2 4 4 11" xfId="4859" xr:uid="{00000000-0005-0000-0000-0000F8120000}"/>
    <cellStyle name="Comma 2 2 2 2 2 2 2 2 2 2 2 2 2 2 2 2 2 2 2 2 2 4 4 12" xfId="4860" xr:uid="{00000000-0005-0000-0000-0000F9120000}"/>
    <cellStyle name="Comma 2 2 2 2 2 2 2 2 2 2 2 2 2 2 2 2 2 2 2 2 2 4 4 2" xfId="4861" xr:uid="{00000000-0005-0000-0000-0000FA120000}"/>
    <cellStyle name="Comma 2 2 2 2 2 2 2 2 2 2 2 2 2 2 2 2 2 2 2 2 2 4 4 3" xfId="4862" xr:uid="{00000000-0005-0000-0000-0000FB120000}"/>
    <cellStyle name="Comma 2 2 2 2 2 2 2 2 2 2 2 2 2 2 2 2 2 2 2 2 2 4 4 4" xfId="4863" xr:uid="{00000000-0005-0000-0000-0000FC120000}"/>
    <cellStyle name="Comma 2 2 2 2 2 2 2 2 2 2 2 2 2 2 2 2 2 2 2 2 2 4 4 5" xfId="4864" xr:uid="{00000000-0005-0000-0000-0000FD120000}"/>
    <cellStyle name="Comma 2 2 2 2 2 2 2 2 2 2 2 2 2 2 2 2 2 2 2 2 2 4 4 6" xfId="4865" xr:uid="{00000000-0005-0000-0000-0000FE120000}"/>
    <cellStyle name="Comma 2 2 2 2 2 2 2 2 2 2 2 2 2 2 2 2 2 2 2 2 2 4 4 6 2" xfId="4866" xr:uid="{00000000-0005-0000-0000-0000FF120000}"/>
    <cellStyle name="Comma 2 2 2 2 2 2 2 2 2 2 2 2 2 2 2 2 2 2 2 2 2 4 4 7" xfId="4867" xr:uid="{00000000-0005-0000-0000-000000130000}"/>
    <cellStyle name="Comma 2 2 2 2 2 2 2 2 2 2 2 2 2 2 2 2 2 2 2 2 2 4 4 8" xfId="4868" xr:uid="{00000000-0005-0000-0000-000001130000}"/>
    <cellStyle name="Comma 2 2 2 2 2 2 2 2 2 2 2 2 2 2 2 2 2 2 2 2 2 4 4 9" xfId="4869" xr:uid="{00000000-0005-0000-0000-000002130000}"/>
    <cellStyle name="Comma 2 2 2 2 2 2 2 2 2 2 2 2 2 2 2 2 2 2 2 2 2 4 5" xfId="4870" xr:uid="{00000000-0005-0000-0000-000003130000}"/>
    <cellStyle name="Comma 2 2 2 2 2 2 2 2 2 2 2 2 2 2 2 2 2 2 2 2 2 4 5 2" xfId="4871" xr:uid="{00000000-0005-0000-0000-000004130000}"/>
    <cellStyle name="Comma 2 2 2 2 2 2 2 2 2 2 2 2 2 2 2 2 2 2 2 2 2 4 5 3" xfId="4872" xr:uid="{00000000-0005-0000-0000-000005130000}"/>
    <cellStyle name="Comma 2 2 2 2 2 2 2 2 2 2 2 2 2 2 2 2 2 2 2 2 2 4 6" xfId="4873" xr:uid="{00000000-0005-0000-0000-000006130000}"/>
    <cellStyle name="Comma 2 2 2 2 2 2 2 2 2 2 2 2 2 2 2 2 2 2 2 2 2 4 6 2" xfId="4874" xr:uid="{00000000-0005-0000-0000-000007130000}"/>
    <cellStyle name="Comma 2 2 2 2 2 2 2 2 2 2 2 2 2 2 2 2 2 2 2 2 2 5" xfId="4875" xr:uid="{00000000-0005-0000-0000-000008130000}"/>
    <cellStyle name="Comma 2 2 2 2 2 2 2 2 2 2 2 2 2 2 2 2 2 2 2 2 2 5 2" xfId="4876" xr:uid="{00000000-0005-0000-0000-000009130000}"/>
    <cellStyle name="Comma 2 2 2 2 2 2 2 2 2 2 2 2 2 2 2 2 2 2 2 2 2 5 2 10" xfId="4877" xr:uid="{00000000-0005-0000-0000-00000A130000}"/>
    <cellStyle name="Comma 2 2 2 2 2 2 2 2 2 2 2 2 2 2 2 2 2 2 2 2 2 5 2 11" xfId="4878" xr:uid="{00000000-0005-0000-0000-00000B130000}"/>
    <cellStyle name="Comma 2 2 2 2 2 2 2 2 2 2 2 2 2 2 2 2 2 2 2 2 2 5 2 12" xfId="4879" xr:uid="{00000000-0005-0000-0000-00000C130000}"/>
    <cellStyle name="Comma 2 2 2 2 2 2 2 2 2 2 2 2 2 2 2 2 2 2 2 2 2 5 2 2" xfId="4880" xr:uid="{00000000-0005-0000-0000-00000D130000}"/>
    <cellStyle name="Comma 2 2 2 2 2 2 2 2 2 2 2 2 2 2 2 2 2 2 2 2 2 5 2 2 2" xfId="4881" xr:uid="{00000000-0005-0000-0000-00000E130000}"/>
    <cellStyle name="Comma 2 2 2 2 2 2 2 2 2 2 2 2 2 2 2 2 2 2 2 2 2 5 2 2 3" xfId="4882" xr:uid="{00000000-0005-0000-0000-00000F130000}"/>
    <cellStyle name="Comma 2 2 2 2 2 2 2 2 2 2 2 2 2 2 2 2 2 2 2 2 2 5 2 2 4" xfId="4883" xr:uid="{00000000-0005-0000-0000-000010130000}"/>
    <cellStyle name="Comma 2 2 2 2 2 2 2 2 2 2 2 2 2 2 2 2 2 2 2 2 2 5 2 3" xfId="4884" xr:uid="{00000000-0005-0000-0000-000011130000}"/>
    <cellStyle name="Comma 2 2 2 2 2 2 2 2 2 2 2 2 2 2 2 2 2 2 2 2 2 5 2 3 2" xfId="4885" xr:uid="{00000000-0005-0000-0000-000012130000}"/>
    <cellStyle name="Comma 2 2 2 2 2 2 2 2 2 2 2 2 2 2 2 2 2 2 2 2 2 5 2 4" xfId="4886" xr:uid="{00000000-0005-0000-0000-000013130000}"/>
    <cellStyle name="Comma 2 2 2 2 2 2 2 2 2 2 2 2 2 2 2 2 2 2 2 2 2 5 2 5" xfId="4887" xr:uid="{00000000-0005-0000-0000-000014130000}"/>
    <cellStyle name="Comma 2 2 2 2 2 2 2 2 2 2 2 2 2 2 2 2 2 2 2 2 2 5 2 6" xfId="4888" xr:uid="{00000000-0005-0000-0000-000015130000}"/>
    <cellStyle name="Comma 2 2 2 2 2 2 2 2 2 2 2 2 2 2 2 2 2 2 2 2 2 5 2 6 2" xfId="4889" xr:uid="{00000000-0005-0000-0000-000016130000}"/>
    <cellStyle name="Comma 2 2 2 2 2 2 2 2 2 2 2 2 2 2 2 2 2 2 2 2 2 5 2 7" xfId="4890" xr:uid="{00000000-0005-0000-0000-000017130000}"/>
    <cellStyle name="Comma 2 2 2 2 2 2 2 2 2 2 2 2 2 2 2 2 2 2 2 2 2 5 2 8" xfId="4891" xr:uid="{00000000-0005-0000-0000-000018130000}"/>
    <cellStyle name="Comma 2 2 2 2 2 2 2 2 2 2 2 2 2 2 2 2 2 2 2 2 2 5 2 9" xfId="4892" xr:uid="{00000000-0005-0000-0000-000019130000}"/>
    <cellStyle name="Comma 2 2 2 2 2 2 2 2 2 2 2 2 2 2 2 2 2 2 2 2 2 5 3" xfId="4893" xr:uid="{00000000-0005-0000-0000-00001A130000}"/>
    <cellStyle name="Comma 2 2 2 2 2 2 2 2 2 2 2 2 2 2 2 2 2 2 2 2 2 5 3 10" xfId="4894" xr:uid="{00000000-0005-0000-0000-00001B130000}"/>
    <cellStyle name="Comma 2 2 2 2 2 2 2 2 2 2 2 2 2 2 2 2 2 2 2 2 2 5 3 11" xfId="4895" xr:uid="{00000000-0005-0000-0000-00001C130000}"/>
    <cellStyle name="Comma 2 2 2 2 2 2 2 2 2 2 2 2 2 2 2 2 2 2 2 2 2 5 3 12" xfId="4896" xr:uid="{00000000-0005-0000-0000-00001D130000}"/>
    <cellStyle name="Comma 2 2 2 2 2 2 2 2 2 2 2 2 2 2 2 2 2 2 2 2 2 5 3 2" xfId="4897" xr:uid="{00000000-0005-0000-0000-00001E130000}"/>
    <cellStyle name="Comma 2 2 2 2 2 2 2 2 2 2 2 2 2 2 2 2 2 2 2 2 2 5 3 3" xfId="4898" xr:uid="{00000000-0005-0000-0000-00001F130000}"/>
    <cellStyle name="Comma 2 2 2 2 2 2 2 2 2 2 2 2 2 2 2 2 2 2 2 2 2 5 3 4" xfId="4899" xr:uid="{00000000-0005-0000-0000-000020130000}"/>
    <cellStyle name="Comma 2 2 2 2 2 2 2 2 2 2 2 2 2 2 2 2 2 2 2 2 2 5 3 5" xfId="4900" xr:uid="{00000000-0005-0000-0000-000021130000}"/>
    <cellStyle name="Comma 2 2 2 2 2 2 2 2 2 2 2 2 2 2 2 2 2 2 2 2 2 5 3 6" xfId="4901" xr:uid="{00000000-0005-0000-0000-000022130000}"/>
    <cellStyle name="Comma 2 2 2 2 2 2 2 2 2 2 2 2 2 2 2 2 2 2 2 2 2 5 3 6 2" xfId="4902" xr:uid="{00000000-0005-0000-0000-000023130000}"/>
    <cellStyle name="Comma 2 2 2 2 2 2 2 2 2 2 2 2 2 2 2 2 2 2 2 2 2 5 3 7" xfId="4903" xr:uid="{00000000-0005-0000-0000-000024130000}"/>
    <cellStyle name="Comma 2 2 2 2 2 2 2 2 2 2 2 2 2 2 2 2 2 2 2 2 2 5 3 8" xfId="4904" xr:uid="{00000000-0005-0000-0000-000025130000}"/>
    <cellStyle name="Comma 2 2 2 2 2 2 2 2 2 2 2 2 2 2 2 2 2 2 2 2 2 5 3 9" xfId="4905" xr:uid="{00000000-0005-0000-0000-000026130000}"/>
    <cellStyle name="Comma 2 2 2 2 2 2 2 2 2 2 2 2 2 2 2 2 2 2 2 2 2 5 4" xfId="4906" xr:uid="{00000000-0005-0000-0000-000027130000}"/>
    <cellStyle name="Comma 2 2 2 2 2 2 2 2 2 2 2 2 2 2 2 2 2 2 2 2 2 5 4 2" xfId="4907" xr:uid="{00000000-0005-0000-0000-000028130000}"/>
    <cellStyle name="Comma 2 2 2 2 2 2 2 2 2 2 2 2 2 2 2 2 2 2 2 2 2 5 4 3" xfId="4908" xr:uid="{00000000-0005-0000-0000-000029130000}"/>
    <cellStyle name="Comma 2 2 2 2 2 2 2 2 2 2 2 2 2 2 2 2 2 2 2 2 2 5 5" xfId="4909" xr:uid="{00000000-0005-0000-0000-00002A130000}"/>
    <cellStyle name="Comma 2 2 2 2 2 2 2 2 2 2 2 2 2 2 2 2 2 2 2 2 2 5 5 2" xfId="4910" xr:uid="{00000000-0005-0000-0000-00002B130000}"/>
    <cellStyle name="Comma 2 2 2 2 2 2 2 2 2 2 2 2 2 2 2 2 2 2 2 2 2 6" xfId="4911" xr:uid="{00000000-0005-0000-0000-00002C130000}"/>
    <cellStyle name="Comma 2 2 2 2 2 2 2 2 2 2 2 2 2 2 2 2 2 2 2 2 2 6 2" xfId="4912" xr:uid="{00000000-0005-0000-0000-00002D130000}"/>
    <cellStyle name="Comma 2 2 2 2 2 2 2 2 2 2 2 2 2 2 2 2 2 2 2 2 2 6 2 10" xfId="4913" xr:uid="{00000000-0005-0000-0000-00002E130000}"/>
    <cellStyle name="Comma 2 2 2 2 2 2 2 2 2 2 2 2 2 2 2 2 2 2 2 2 2 6 2 11" xfId="4914" xr:uid="{00000000-0005-0000-0000-00002F130000}"/>
    <cellStyle name="Comma 2 2 2 2 2 2 2 2 2 2 2 2 2 2 2 2 2 2 2 2 2 6 2 12" xfId="4915" xr:uid="{00000000-0005-0000-0000-000030130000}"/>
    <cellStyle name="Comma 2 2 2 2 2 2 2 2 2 2 2 2 2 2 2 2 2 2 2 2 2 6 2 13" xfId="4916" xr:uid="{00000000-0005-0000-0000-000031130000}"/>
    <cellStyle name="Comma 2 2 2 2 2 2 2 2 2 2 2 2 2 2 2 2 2 2 2 2 2 6 2 2" xfId="4917" xr:uid="{00000000-0005-0000-0000-000032130000}"/>
    <cellStyle name="Comma 2 2 2 2 2 2 2 2 2 2 2 2 2 2 2 2 2 2 2 2 2 6 2 2 2" xfId="4918" xr:uid="{00000000-0005-0000-0000-000033130000}"/>
    <cellStyle name="Comma 2 2 2 2 2 2 2 2 2 2 2 2 2 2 2 2 2 2 2 2 2 6 2 2 3" xfId="4919" xr:uid="{00000000-0005-0000-0000-000034130000}"/>
    <cellStyle name="Comma 2 2 2 2 2 2 2 2 2 2 2 2 2 2 2 2 2 2 2 2 2 6 2 2 4" xfId="4920" xr:uid="{00000000-0005-0000-0000-000035130000}"/>
    <cellStyle name="Comma 2 2 2 2 2 2 2 2 2 2 2 2 2 2 2 2 2 2 2 2 2 6 2 3" xfId="4921" xr:uid="{00000000-0005-0000-0000-000036130000}"/>
    <cellStyle name="Comma 2 2 2 2 2 2 2 2 2 2 2 2 2 2 2 2 2 2 2 2 2 6 2 3 2" xfId="4922" xr:uid="{00000000-0005-0000-0000-000037130000}"/>
    <cellStyle name="Comma 2 2 2 2 2 2 2 2 2 2 2 2 2 2 2 2 2 2 2 2 2 6 2 4" xfId="4923" xr:uid="{00000000-0005-0000-0000-000038130000}"/>
    <cellStyle name="Comma 2 2 2 2 2 2 2 2 2 2 2 2 2 2 2 2 2 2 2 2 2 6 2 5" xfId="4924" xr:uid="{00000000-0005-0000-0000-000039130000}"/>
    <cellStyle name="Comma 2 2 2 2 2 2 2 2 2 2 2 2 2 2 2 2 2 2 2 2 2 6 2 6" xfId="4925" xr:uid="{00000000-0005-0000-0000-00003A130000}"/>
    <cellStyle name="Comma 2 2 2 2 2 2 2 2 2 2 2 2 2 2 2 2 2 2 2 2 2 6 2 6 2" xfId="4926" xr:uid="{00000000-0005-0000-0000-00003B130000}"/>
    <cellStyle name="Comma 2 2 2 2 2 2 2 2 2 2 2 2 2 2 2 2 2 2 2 2 2 6 2 7" xfId="4927" xr:uid="{00000000-0005-0000-0000-00003C130000}"/>
    <cellStyle name="Comma 2 2 2 2 2 2 2 2 2 2 2 2 2 2 2 2 2 2 2 2 2 6 2 8" xfId="4928" xr:uid="{00000000-0005-0000-0000-00003D130000}"/>
    <cellStyle name="Comma 2 2 2 2 2 2 2 2 2 2 2 2 2 2 2 2 2 2 2 2 2 6 2 9" xfId="4929" xr:uid="{00000000-0005-0000-0000-00003E130000}"/>
    <cellStyle name="Comma 2 2 2 2 2 2 2 2 2 2 2 2 2 2 2 2 2 2 2 2 2 6 3" xfId="4930" xr:uid="{00000000-0005-0000-0000-00003F130000}"/>
    <cellStyle name="Comma 2 2 2 2 2 2 2 2 2 2 2 2 2 2 2 2 2 2 2 2 2 6 3 2" xfId="4931" xr:uid="{00000000-0005-0000-0000-000040130000}"/>
    <cellStyle name="Comma 2 2 2 2 2 2 2 2 2 2 2 2 2 2 2 2 2 2 2 2 2 6 3 3" xfId="4932" xr:uid="{00000000-0005-0000-0000-000041130000}"/>
    <cellStyle name="Comma 2 2 2 2 2 2 2 2 2 2 2 2 2 2 2 2 2 2 2 2 2 6 4" xfId="4933" xr:uid="{00000000-0005-0000-0000-000042130000}"/>
    <cellStyle name="Comma 2 2 2 2 2 2 2 2 2 2 2 2 2 2 2 2 2 2 2 2 2 6 4 2" xfId="4934" xr:uid="{00000000-0005-0000-0000-000043130000}"/>
    <cellStyle name="Comma 2 2 2 2 2 2 2 2 2 2 2 2 2 2 2 2 2 2 2 2 2 6 5" xfId="4935" xr:uid="{00000000-0005-0000-0000-000044130000}"/>
    <cellStyle name="Comma 2 2 2 2 2 2 2 2 2 2 2 2 2 2 2 2 2 2 2 2 2 6 6" xfId="4936" xr:uid="{00000000-0005-0000-0000-000045130000}"/>
    <cellStyle name="Comma 2 2 2 2 2 2 2 2 2 2 2 2 2 2 2 2 2 2 2 2 2 7" xfId="4937" xr:uid="{00000000-0005-0000-0000-000046130000}"/>
    <cellStyle name="Comma 2 2 2 2 2 2 2 2 2 2 2 2 2 2 2 2 2 2 2 2 2 7 2" xfId="4938" xr:uid="{00000000-0005-0000-0000-000047130000}"/>
    <cellStyle name="Comma 2 2 2 2 2 2 2 2 2 2 2 2 2 2 2 2 2 2 2 2 2 7 2 10" xfId="4939" xr:uid="{00000000-0005-0000-0000-000048130000}"/>
    <cellStyle name="Comma 2 2 2 2 2 2 2 2 2 2 2 2 2 2 2 2 2 2 2 2 2 7 2 11" xfId="4940" xr:uid="{00000000-0005-0000-0000-000049130000}"/>
    <cellStyle name="Comma 2 2 2 2 2 2 2 2 2 2 2 2 2 2 2 2 2 2 2 2 2 7 2 12" xfId="4941" xr:uid="{00000000-0005-0000-0000-00004A130000}"/>
    <cellStyle name="Comma 2 2 2 2 2 2 2 2 2 2 2 2 2 2 2 2 2 2 2 2 2 7 2 2" xfId="4942" xr:uid="{00000000-0005-0000-0000-00004B130000}"/>
    <cellStyle name="Comma 2 2 2 2 2 2 2 2 2 2 2 2 2 2 2 2 2 2 2 2 2 7 2 2 2" xfId="4943" xr:uid="{00000000-0005-0000-0000-00004C130000}"/>
    <cellStyle name="Comma 2 2 2 2 2 2 2 2 2 2 2 2 2 2 2 2 2 2 2 2 2 7 2 2 3" xfId="4944" xr:uid="{00000000-0005-0000-0000-00004D130000}"/>
    <cellStyle name="Comma 2 2 2 2 2 2 2 2 2 2 2 2 2 2 2 2 2 2 2 2 2 7 2 2 4" xfId="4945" xr:uid="{00000000-0005-0000-0000-00004E130000}"/>
    <cellStyle name="Comma 2 2 2 2 2 2 2 2 2 2 2 2 2 2 2 2 2 2 2 2 2 7 2 3" xfId="4946" xr:uid="{00000000-0005-0000-0000-00004F130000}"/>
    <cellStyle name="Comma 2 2 2 2 2 2 2 2 2 2 2 2 2 2 2 2 2 2 2 2 2 7 2 3 2" xfId="4947" xr:uid="{00000000-0005-0000-0000-000050130000}"/>
    <cellStyle name="Comma 2 2 2 2 2 2 2 2 2 2 2 2 2 2 2 2 2 2 2 2 2 7 2 4" xfId="4948" xr:uid="{00000000-0005-0000-0000-000051130000}"/>
    <cellStyle name="Comma 2 2 2 2 2 2 2 2 2 2 2 2 2 2 2 2 2 2 2 2 2 7 2 5" xfId="4949" xr:uid="{00000000-0005-0000-0000-000052130000}"/>
    <cellStyle name="Comma 2 2 2 2 2 2 2 2 2 2 2 2 2 2 2 2 2 2 2 2 2 7 2 6" xfId="4950" xr:uid="{00000000-0005-0000-0000-000053130000}"/>
    <cellStyle name="Comma 2 2 2 2 2 2 2 2 2 2 2 2 2 2 2 2 2 2 2 2 2 7 2 6 2" xfId="4951" xr:uid="{00000000-0005-0000-0000-000054130000}"/>
    <cellStyle name="Comma 2 2 2 2 2 2 2 2 2 2 2 2 2 2 2 2 2 2 2 2 2 7 2 7" xfId="4952" xr:uid="{00000000-0005-0000-0000-000055130000}"/>
    <cellStyle name="Comma 2 2 2 2 2 2 2 2 2 2 2 2 2 2 2 2 2 2 2 2 2 7 2 8" xfId="4953" xr:uid="{00000000-0005-0000-0000-000056130000}"/>
    <cellStyle name="Comma 2 2 2 2 2 2 2 2 2 2 2 2 2 2 2 2 2 2 2 2 2 7 2 9" xfId="4954" xr:uid="{00000000-0005-0000-0000-000057130000}"/>
    <cellStyle name="Comma 2 2 2 2 2 2 2 2 2 2 2 2 2 2 2 2 2 2 2 2 2 7 3" xfId="4955" xr:uid="{00000000-0005-0000-0000-000058130000}"/>
    <cellStyle name="Comma 2 2 2 2 2 2 2 2 2 2 2 2 2 2 2 2 2 2 2 2 2 7 3 2" xfId="4956" xr:uid="{00000000-0005-0000-0000-000059130000}"/>
    <cellStyle name="Comma 2 2 2 2 2 2 2 2 2 2 2 2 2 2 2 2 2 2 2 2 2 8" xfId="4957" xr:uid="{00000000-0005-0000-0000-00005A130000}"/>
    <cellStyle name="Comma 2 2 2 2 2 2 2 2 2 2 2 2 2 2 2 2 2 2 2 2 2 9" xfId="4958" xr:uid="{00000000-0005-0000-0000-00005B130000}"/>
    <cellStyle name="Comma 2 2 2 2 2 2 2 2 2 2 2 2 2 2 2 2 2 2 2 2 2 9 2" xfId="4959" xr:uid="{00000000-0005-0000-0000-00005C130000}"/>
    <cellStyle name="Comma 2 2 2 2 2 2 2 2 2 2 2 2 2 2 2 2 2 2 2 2 2 9 2 2" xfId="4960" xr:uid="{00000000-0005-0000-0000-00005D130000}"/>
    <cellStyle name="Comma 2 2 2 2 2 2 2 2 2 2 2 2 2 2 2 2 2 2 2 2 2 9 3" xfId="4961" xr:uid="{00000000-0005-0000-0000-00005E130000}"/>
    <cellStyle name="Comma 2 2 2 2 2 2 2 2 2 2 2 2 2 2 2 2 2 2 2 2 3" xfId="4962" xr:uid="{00000000-0005-0000-0000-00005F130000}"/>
    <cellStyle name="Comma 2 2 2 2 2 2 2 2 2 2 2 2 2 2 2 2 2 2 2 2 3 10" xfId="4963" xr:uid="{00000000-0005-0000-0000-000060130000}"/>
    <cellStyle name="Comma 2 2 2 2 2 2 2 2 2 2 2 2 2 2 2 2 2 2 2 2 3 11" xfId="4964" xr:uid="{00000000-0005-0000-0000-000061130000}"/>
    <cellStyle name="Comma 2 2 2 2 2 2 2 2 2 2 2 2 2 2 2 2 2 2 2 2 3 12" xfId="4965" xr:uid="{00000000-0005-0000-0000-000062130000}"/>
    <cellStyle name="Comma 2 2 2 2 2 2 2 2 2 2 2 2 2 2 2 2 2 2 2 2 3 13" xfId="4966" xr:uid="{00000000-0005-0000-0000-000063130000}"/>
    <cellStyle name="Comma 2 2 2 2 2 2 2 2 2 2 2 2 2 2 2 2 2 2 2 2 3 14" xfId="4967" xr:uid="{00000000-0005-0000-0000-000064130000}"/>
    <cellStyle name="Comma 2 2 2 2 2 2 2 2 2 2 2 2 2 2 2 2 2 2 2 2 3 15" xfId="4968" xr:uid="{00000000-0005-0000-0000-000065130000}"/>
    <cellStyle name="Comma 2 2 2 2 2 2 2 2 2 2 2 2 2 2 2 2 2 2 2 2 3 16" xfId="4969" xr:uid="{00000000-0005-0000-0000-000066130000}"/>
    <cellStyle name="Comma 2 2 2 2 2 2 2 2 2 2 2 2 2 2 2 2 2 2 2 2 3 16 2" xfId="4970" xr:uid="{00000000-0005-0000-0000-000067130000}"/>
    <cellStyle name="Comma 2 2 2 2 2 2 2 2 2 2 2 2 2 2 2 2 2 2 2 2 3 17" xfId="4971" xr:uid="{00000000-0005-0000-0000-000068130000}"/>
    <cellStyle name="Comma 2 2 2 2 2 2 2 2 2 2 2 2 2 2 2 2 2 2 2 2 3 18" xfId="4972" xr:uid="{00000000-0005-0000-0000-000069130000}"/>
    <cellStyle name="Comma 2 2 2 2 2 2 2 2 2 2 2 2 2 2 2 2 2 2 2 2 3 19" xfId="4973" xr:uid="{00000000-0005-0000-0000-00006A130000}"/>
    <cellStyle name="Comma 2 2 2 2 2 2 2 2 2 2 2 2 2 2 2 2 2 2 2 2 3 2" xfId="4974" xr:uid="{00000000-0005-0000-0000-00006B130000}"/>
    <cellStyle name="Comma 2 2 2 2 2 2 2 2 2 2 2 2 2 2 2 2 2 2 2 2 3 2 2" xfId="4975" xr:uid="{00000000-0005-0000-0000-00006C130000}"/>
    <cellStyle name="Comma 2 2 2 2 2 2 2 2 2 2 2 2 2 2 2 2 2 2 2 2 3 2 2 2" xfId="4976" xr:uid="{00000000-0005-0000-0000-00006D130000}"/>
    <cellStyle name="Comma 2 2 2 2 2 2 2 2 2 2 2 2 2 2 2 2 2 2 2 2 3 2 2 3" xfId="4977" xr:uid="{00000000-0005-0000-0000-00006E130000}"/>
    <cellStyle name="Comma 2 2 2 2 2 2 2 2 2 2 2 2 2 2 2 2 2 2 2 2 3 2 2 4" xfId="4978" xr:uid="{00000000-0005-0000-0000-00006F130000}"/>
    <cellStyle name="Comma 2 2 2 2 2 2 2 2 2 2 2 2 2 2 2 2 2 2 2 2 3 2 3" xfId="4979" xr:uid="{00000000-0005-0000-0000-000070130000}"/>
    <cellStyle name="Comma 2 2 2 2 2 2 2 2 2 2 2 2 2 2 2 2 2 2 2 2 3 2 4" xfId="4980" xr:uid="{00000000-0005-0000-0000-000071130000}"/>
    <cellStyle name="Comma 2 2 2 2 2 2 2 2 2 2 2 2 2 2 2 2 2 2 2 2 3 20" xfId="4981" xr:uid="{00000000-0005-0000-0000-000072130000}"/>
    <cellStyle name="Comma 2 2 2 2 2 2 2 2 2 2 2 2 2 2 2 2 2 2 2 2 3 21" xfId="4982" xr:uid="{00000000-0005-0000-0000-000073130000}"/>
    <cellStyle name="Comma 2 2 2 2 2 2 2 2 2 2 2 2 2 2 2 2 2 2 2 2 3 22" xfId="4983" xr:uid="{00000000-0005-0000-0000-000074130000}"/>
    <cellStyle name="Comma 2 2 2 2 2 2 2 2 2 2 2 2 2 2 2 2 2 2 2 2 3 3" xfId="4984" xr:uid="{00000000-0005-0000-0000-000075130000}"/>
    <cellStyle name="Comma 2 2 2 2 2 2 2 2 2 2 2 2 2 2 2 2 2 2 2 2 3 3 2" xfId="4985" xr:uid="{00000000-0005-0000-0000-000076130000}"/>
    <cellStyle name="Comma 2 2 2 2 2 2 2 2 2 2 2 2 2 2 2 2 2 2 2 2 3 3 2 2" xfId="4986" xr:uid="{00000000-0005-0000-0000-000077130000}"/>
    <cellStyle name="Comma 2 2 2 2 2 2 2 2 2 2 2 2 2 2 2 2 2 2 2 2 3 3 2 3" xfId="4987" xr:uid="{00000000-0005-0000-0000-000078130000}"/>
    <cellStyle name="Comma 2 2 2 2 2 2 2 2 2 2 2 2 2 2 2 2 2 2 2 2 3 4" xfId="4988" xr:uid="{00000000-0005-0000-0000-000079130000}"/>
    <cellStyle name="Comma 2 2 2 2 2 2 2 2 2 2 2 2 2 2 2 2 2 2 2 2 3 5" xfId="4989" xr:uid="{00000000-0005-0000-0000-00007A130000}"/>
    <cellStyle name="Comma 2 2 2 2 2 2 2 2 2 2 2 2 2 2 2 2 2 2 2 2 3 6" xfId="4990" xr:uid="{00000000-0005-0000-0000-00007B130000}"/>
    <cellStyle name="Comma 2 2 2 2 2 2 2 2 2 2 2 2 2 2 2 2 2 2 2 2 3 7" xfId="4991" xr:uid="{00000000-0005-0000-0000-00007C130000}"/>
    <cellStyle name="Comma 2 2 2 2 2 2 2 2 2 2 2 2 2 2 2 2 2 2 2 2 3 8" xfId="4992" xr:uid="{00000000-0005-0000-0000-00007D130000}"/>
    <cellStyle name="Comma 2 2 2 2 2 2 2 2 2 2 2 2 2 2 2 2 2 2 2 2 3 9" xfId="4993" xr:uid="{00000000-0005-0000-0000-00007E130000}"/>
    <cellStyle name="Comma 2 2 2 2 2 2 2 2 2 2 2 2 2 2 2 2 2 2 2 2 4" xfId="4994" xr:uid="{00000000-0005-0000-0000-00007F130000}"/>
    <cellStyle name="Comma 2 2 2 2 2 2 2 2 2 2 2 2 2 2 2 2 2 2 2 2 4 10" xfId="4995" xr:uid="{00000000-0005-0000-0000-000080130000}"/>
    <cellStyle name="Comma 2 2 2 2 2 2 2 2 2 2 2 2 2 2 2 2 2 2 2 2 4 11" xfId="4996" xr:uid="{00000000-0005-0000-0000-000081130000}"/>
    <cellStyle name="Comma 2 2 2 2 2 2 2 2 2 2 2 2 2 2 2 2 2 2 2 2 4 12" xfId="4997" xr:uid="{00000000-0005-0000-0000-000082130000}"/>
    <cellStyle name="Comma 2 2 2 2 2 2 2 2 2 2 2 2 2 2 2 2 2 2 2 2 4 13" xfId="4998" xr:uid="{00000000-0005-0000-0000-000083130000}"/>
    <cellStyle name="Comma 2 2 2 2 2 2 2 2 2 2 2 2 2 2 2 2 2 2 2 2 4 14" xfId="4999" xr:uid="{00000000-0005-0000-0000-000084130000}"/>
    <cellStyle name="Comma 2 2 2 2 2 2 2 2 2 2 2 2 2 2 2 2 2 2 2 2 4 14 2" xfId="5000" xr:uid="{00000000-0005-0000-0000-000085130000}"/>
    <cellStyle name="Comma 2 2 2 2 2 2 2 2 2 2 2 2 2 2 2 2 2 2 2 2 4 15" xfId="5001" xr:uid="{00000000-0005-0000-0000-000086130000}"/>
    <cellStyle name="Comma 2 2 2 2 2 2 2 2 2 2 2 2 2 2 2 2 2 2 2 2 4 15 2" xfId="5002" xr:uid="{00000000-0005-0000-0000-000087130000}"/>
    <cellStyle name="Comma 2 2 2 2 2 2 2 2 2 2 2 2 2 2 2 2 2 2 2 2 4 16" xfId="5003" xr:uid="{00000000-0005-0000-0000-000088130000}"/>
    <cellStyle name="Comma 2 2 2 2 2 2 2 2 2 2 2 2 2 2 2 2 2 2 2 2 4 17" xfId="5004" xr:uid="{00000000-0005-0000-0000-000089130000}"/>
    <cellStyle name="Comma 2 2 2 2 2 2 2 2 2 2 2 2 2 2 2 2 2 2 2 2 4 18" xfId="5005" xr:uid="{00000000-0005-0000-0000-00008A130000}"/>
    <cellStyle name="Comma 2 2 2 2 2 2 2 2 2 2 2 2 2 2 2 2 2 2 2 2 4 19" xfId="5006" xr:uid="{00000000-0005-0000-0000-00008B130000}"/>
    <cellStyle name="Comma 2 2 2 2 2 2 2 2 2 2 2 2 2 2 2 2 2 2 2 2 4 2" xfId="5007" xr:uid="{00000000-0005-0000-0000-00008C130000}"/>
    <cellStyle name="Comma 2 2 2 2 2 2 2 2 2 2 2 2 2 2 2 2 2 2 2 2 4 2 2" xfId="5008" xr:uid="{00000000-0005-0000-0000-00008D130000}"/>
    <cellStyle name="Comma 2 2 2 2 2 2 2 2 2 2 2 2 2 2 2 2 2 2 2 2 4 2 2 2" xfId="5009" xr:uid="{00000000-0005-0000-0000-00008E130000}"/>
    <cellStyle name="Comma 2 2 2 2 2 2 2 2 2 2 2 2 2 2 2 2 2 2 2 2 4 2 2 3" xfId="5010" xr:uid="{00000000-0005-0000-0000-00008F130000}"/>
    <cellStyle name="Comma 2 2 2 2 2 2 2 2 2 2 2 2 2 2 2 2 2 2 2 2 4 2 2 4" xfId="5011" xr:uid="{00000000-0005-0000-0000-000090130000}"/>
    <cellStyle name="Comma 2 2 2 2 2 2 2 2 2 2 2 2 2 2 2 2 2 2 2 2 4 2 2 5" xfId="5012" xr:uid="{00000000-0005-0000-0000-000091130000}"/>
    <cellStyle name="Comma 2 2 2 2 2 2 2 2 2 2 2 2 2 2 2 2 2 2 2 2 4 2 3" xfId="5013" xr:uid="{00000000-0005-0000-0000-000092130000}"/>
    <cellStyle name="Comma 2 2 2 2 2 2 2 2 2 2 2 2 2 2 2 2 2 2 2 2 4 2 3 2" xfId="5014" xr:uid="{00000000-0005-0000-0000-000093130000}"/>
    <cellStyle name="Comma 2 2 2 2 2 2 2 2 2 2 2 2 2 2 2 2 2 2 2 2 4 2 3 3" xfId="5015" xr:uid="{00000000-0005-0000-0000-000094130000}"/>
    <cellStyle name="Comma 2 2 2 2 2 2 2 2 2 2 2 2 2 2 2 2 2 2 2 2 4 2 3 4" xfId="5016" xr:uid="{00000000-0005-0000-0000-000095130000}"/>
    <cellStyle name="Comma 2 2 2 2 2 2 2 2 2 2 2 2 2 2 2 2 2 2 2 2 4 2 4" xfId="5017" xr:uid="{00000000-0005-0000-0000-000096130000}"/>
    <cellStyle name="Comma 2 2 2 2 2 2 2 2 2 2 2 2 2 2 2 2 2 2 2 2 4 2 4 2" xfId="5018" xr:uid="{00000000-0005-0000-0000-000097130000}"/>
    <cellStyle name="Comma 2 2 2 2 2 2 2 2 2 2 2 2 2 2 2 2 2 2 2 2 4 2 4 3" xfId="5019" xr:uid="{00000000-0005-0000-0000-000098130000}"/>
    <cellStyle name="Comma 2 2 2 2 2 2 2 2 2 2 2 2 2 2 2 2 2 2 2 2 4 20" xfId="5020" xr:uid="{00000000-0005-0000-0000-000099130000}"/>
    <cellStyle name="Comma 2 2 2 2 2 2 2 2 2 2 2 2 2 2 2 2 2 2 2 2 4 3" xfId="5021" xr:uid="{00000000-0005-0000-0000-00009A130000}"/>
    <cellStyle name="Comma 2 2 2 2 2 2 2 2 2 2 2 2 2 2 2 2 2 2 2 2 4 3 2" xfId="5022" xr:uid="{00000000-0005-0000-0000-00009B130000}"/>
    <cellStyle name="Comma 2 2 2 2 2 2 2 2 2 2 2 2 2 2 2 2 2 2 2 2 4 3 2 2" xfId="5023" xr:uid="{00000000-0005-0000-0000-00009C130000}"/>
    <cellStyle name="Comma 2 2 2 2 2 2 2 2 2 2 2 2 2 2 2 2 2 2 2 2 4 3 2 3" xfId="5024" xr:uid="{00000000-0005-0000-0000-00009D130000}"/>
    <cellStyle name="Comma 2 2 2 2 2 2 2 2 2 2 2 2 2 2 2 2 2 2 2 2 4 3 3" xfId="5025" xr:uid="{00000000-0005-0000-0000-00009E130000}"/>
    <cellStyle name="Comma 2 2 2 2 2 2 2 2 2 2 2 2 2 2 2 2 2 2 2 2 4 3 3 2" xfId="5026" xr:uid="{00000000-0005-0000-0000-00009F130000}"/>
    <cellStyle name="Comma 2 2 2 2 2 2 2 2 2 2 2 2 2 2 2 2 2 2 2 2 4 4" xfId="5027" xr:uid="{00000000-0005-0000-0000-0000A0130000}"/>
    <cellStyle name="Comma 2 2 2 2 2 2 2 2 2 2 2 2 2 2 2 2 2 2 2 2 4 5" xfId="5028" xr:uid="{00000000-0005-0000-0000-0000A1130000}"/>
    <cellStyle name="Comma 2 2 2 2 2 2 2 2 2 2 2 2 2 2 2 2 2 2 2 2 4 6" xfId="5029" xr:uid="{00000000-0005-0000-0000-0000A2130000}"/>
    <cellStyle name="Comma 2 2 2 2 2 2 2 2 2 2 2 2 2 2 2 2 2 2 2 2 4 6 2" xfId="5030" xr:uid="{00000000-0005-0000-0000-0000A3130000}"/>
    <cellStyle name="Comma 2 2 2 2 2 2 2 2 2 2 2 2 2 2 2 2 2 2 2 2 4 6 3" xfId="5031" xr:uid="{00000000-0005-0000-0000-0000A4130000}"/>
    <cellStyle name="Comma 2 2 2 2 2 2 2 2 2 2 2 2 2 2 2 2 2 2 2 2 4 7" xfId="5032" xr:uid="{00000000-0005-0000-0000-0000A5130000}"/>
    <cellStyle name="Comma 2 2 2 2 2 2 2 2 2 2 2 2 2 2 2 2 2 2 2 2 4 8" xfId="5033" xr:uid="{00000000-0005-0000-0000-0000A6130000}"/>
    <cellStyle name="Comma 2 2 2 2 2 2 2 2 2 2 2 2 2 2 2 2 2 2 2 2 4 9" xfId="5034" xr:uid="{00000000-0005-0000-0000-0000A7130000}"/>
    <cellStyle name="Comma 2 2 2 2 2 2 2 2 2 2 2 2 2 2 2 2 2 2 2 2 5" xfId="5035" xr:uid="{00000000-0005-0000-0000-0000A8130000}"/>
    <cellStyle name="Comma 2 2 2 2 2 2 2 2 2 2 2 2 2 2 2 2 2 2 2 2 5 10" xfId="5036" xr:uid="{00000000-0005-0000-0000-0000A9130000}"/>
    <cellStyle name="Comma 2 2 2 2 2 2 2 2 2 2 2 2 2 2 2 2 2 2 2 2 5 11" xfId="5037" xr:uid="{00000000-0005-0000-0000-0000AA130000}"/>
    <cellStyle name="Comma 2 2 2 2 2 2 2 2 2 2 2 2 2 2 2 2 2 2 2 2 5 12" xfId="5038" xr:uid="{00000000-0005-0000-0000-0000AB130000}"/>
    <cellStyle name="Comma 2 2 2 2 2 2 2 2 2 2 2 2 2 2 2 2 2 2 2 2 5 12 2" xfId="5039" xr:uid="{00000000-0005-0000-0000-0000AC130000}"/>
    <cellStyle name="Comma 2 2 2 2 2 2 2 2 2 2 2 2 2 2 2 2 2 2 2 2 5 13" xfId="5040" xr:uid="{00000000-0005-0000-0000-0000AD130000}"/>
    <cellStyle name="Comma 2 2 2 2 2 2 2 2 2 2 2 2 2 2 2 2 2 2 2 2 5 14" xfId="5041" xr:uid="{00000000-0005-0000-0000-0000AE130000}"/>
    <cellStyle name="Comma 2 2 2 2 2 2 2 2 2 2 2 2 2 2 2 2 2 2 2 2 5 15" xfId="5042" xr:uid="{00000000-0005-0000-0000-0000AF130000}"/>
    <cellStyle name="Comma 2 2 2 2 2 2 2 2 2 2 2 2 2 2 2 2 2 2 2 2 5 16" xfId="5043" xr:uid="{00000000-0005-0000-0000-0000B0130000}"/>
    <cellStyle name="Comma 2 2 2 2 2 2 2 2 2 2 2 2 2 2 2 2 2 2 2 2 5 17" xfId="5044" xr:uid="{00000000-0005-0000-0000-0000B1130000}"/>
    <cellStyle name="Comma 2 2 2 2 2 2 2 2 2 2 2 2 2 2 2 2 2 2 2 2 5 18" xfId="5045" xr:uid="{00000000-0005-0000-0000-0000B2130000}"/>
    <cellStyle name="Comma 2 2 2 2 2 2 2 2 2 2 2 2 2 2 2 2 2 2 2 2 5 2" xfId="5046" xr:uid="{00000000-0005-0000-0000-0000B3130000}"/>
    <cellStyle name="Comma 2 2 2 2 2 2 2 2 2 2 2 2 2 2 2 2 2 2 2 2 5 2 2" xfId="5047" xr:uid="{00000000-0005-0000-0000-0000B4130000}"/>
    <cellStyle name="Comma 2 2 2 2 2 2 2 2 2 2 2 2 2 2 2 2 2 2 2 2 5 2 2 2" xfId="5048" xr:uid="{00000000-0005-0000-0000-0000B5130000}"/>
    <cellStyle name="Comma 2 2 2 2 2 2 2 2 2 2 2 2 2 2 2 2 2 2 2 2 5 2 2 3" xfId="5049" xr:uid="{00000000-0005-0000-0000-0000B6130000}"/>
    <cellStyle name="Comma 2 2 2 2 2 2 2 2 2 2 2 2 2 2 2 2 2 2 2 2 5 2 3" xfId="5050" xr:uid="{00000000-0005-0000-0000-0000B7130000}"/>
    <cellStyle name="Comma 2 2 2 2 2 2 2 2 2 2 2 2 2 2 2 2 2 2 2 2 5 2 3 2" xfId="5051" xr:uid="{00000000-0005-0000-0000-0000B8130000}"/>
    <cellStyle name="Comma 2 2 2 2 2 2 2 2 2 2 2 2 2 2 2 2 2 2 2 2 5 3" xfId="5052" xr:uid="{00000000-0005-0000-0000-0000B9130000}"/>
    <cellStyle name="Comma 2 2 2 2 2 2 2 2 2 2 2 2 2 2 2 2 2 2 2 2 5 4" xfId="5053" xr:uid="{00000000-0005-0000-0000-0000BA130000}"/>
    <cellStyle name="Comma 2 2 2 2 2 2 2 2 2 2 2 2 2 2 2 2 2 2 2 2 5 5" xfId="5054" xr:uid="{00000000-0005-0000-0000-0000BB130000}"/>
    <cellStyle name="Comma 2 2 2 2 2 2 2 2 2 2 2 2 2 2 2 2 2 2 2 2 5 5 2" xfId="5055" xr:uid="{00000000-0005-0000-0000-0000BC130000}"/>
    <cellStyle name="Comma 2 2 2 2 2 2 2 2 2 2 2 2 2 2 2 2 2 2 2 2 5 5 3" xfId="5056" xr:uid="{00000000-0005-0000-0000-0000BD130000}"/>
    <cellStyle name="Comma 2 2 2 2 2 2 2 2 2 2 2 2 2 2 2 2 2 2 2 2 5 6" xfId="5057" xr:uid="{00000000-0005-0000-0000-0000BE130000}"/>
    <cellStyle name="Comma 2 2 2 2 2 2 2 2 2 2 2 2 2 2 2 2 2 2 2 2 5 7" xfId="5058" xr:uid="{00000000-0005-0000-0000-0000BF130000}"/>
    <cellStyle name="Comma 2 2 2 2 2 2 2 2 2 2 2 2 2 2 2 2 2 2 2 2 5 8" xfId="5059" xr:uid="{00000000-0005-0000-0000-0000C0130000}"/>
    <cellStyle name="Comma 2 2 2 2 2 2 2 2 2 2 2 2 2 2 2 2 2 2 2 2 5 9" xfId="5060" xr:uid="{00000000-0005-0000-0000-0000C1130000}"/>
    <cellStyle name="Comma 2 2 2 2 2 2 2 2 2 2 2 2 2 2 2 2 2 2 2 2 6" xfId="5061" xr:uid="{00000000-0005-0000-0000-0000C2130000}"/>
    <cellStyle name="Comma 2 2 2 2 2 2 2 2 2 2 2 2 2 2 2 2 2 2 2 2 6 10" xfId="5062" xr:uid="{00000000-0005-0000-0000-0000C3130000}"/>
    <cellStyle name="Comma 2 2 2 2 2 2 2 2 2 2 2 2 2 2 2 2 2 2 2 2 6 10 2" xfId="5063" xr:uid="{00000000-0005-0000-0000-0000C4130000}"/>
    <cellStyle name="Comma 2 2 2 2 2 2 2 2 2 2 2 2 2 2 2 2 2 2 2 2 6 11" xfId="5064" xr:uid="{00000000-0005-0000-0000-0000C5130000}"/>
    <cellStyle name="Comma 2 2 2 2 2 2 2 2 2 2 2 2 2 2 2 2 2 2 2 2 6 12" xfId="5065" xr:uid="{00000000-0005-0000-0000-0000C6130000}"/>
    <cellStyle name="Comma 2 2 2 2 2 2 2 2 2 2 2 2 2 2 2 2 2 2 2 2 6 13" xfId="5066" xr:uid="{00000000-0005-0000-0000-0000C7130000}"/>
    <cellStyle name="Comma 2 2 2 2 2 2 2 2 2 2 2 2 2 2 2 2 2 2 2 2 6 14" xfId="5067" xr:uid="{00000000-0005-0000-0000-0000C8130000}"/>
    <cellStyle name="Comma 2 2 2 2 2 2 2 2 2 2 2 2 2 2 2 2 2 2 2 2 6 15" xfId="5068" xr:uid="{00000000-0005-0000-0000-0000C9130000}"/>
    <cellStyle name="Comma 2 2 2 2 2 2 2 2 2 2 2 2 2 2 2 2 2 2 2 2 6 16" xfId="5069" xr:uid="{00000000-0005-0000-0000-0000CA130000}"/>
    <cellStyle name="Comma 2 2 2 2 2 2 2 2 2 2 2 2 2 2 2 2 2 2 2 2 6 2" xfId="5070" xr:uid="{00000000-0005-0000-0000-0000CB130000}"/>
    <cellStyle name="Comma 2 2 2 2 2 2 2 2 2 2 2 2 2 2 2 2 2 2 2 2 6 2 2" xfId="5071" xr:uid="{00000000-0005-0000-0000-0000CC130000}"/>
    <cellStyle name="Comma 2 2 2 2 2 2 2 2 2 2 2 2 2 2 2 2 2 2 2 2 6 2 2 2" xfId="5072" xr:uid="{00000000-0005-0000-0000-0000CD130000}"/>
    <cellStyle name="Comma 2 2 2 2 2 2 2 2 2 2 2 2 2 2 2 2 2 2 2 2 6 2 2 3" xfId="5073" xr:uid="{00000000-0005-0000-0000-0000CE130000}"/>
    <cellStyle name="Comma 2 2 2 2 2 2 2 2 2 2 2 2 2 2 2 2 2 2 2 2 6 2 3" xfId="5074" xr:uid="{00000000-0005-0000-0000-0000CF130000}"/>
    <cellStyle name="Comma 2 2 2 2 2 2 2 2 2 2 2 2 2 2 2 2 2 2 2 2 6 2 3 2" xfId="5075" xr:uid="{00000000-0005-0000-0000-0000D0130000}"/>
    <cellStyle name="Comma 2 2 2 2 2 2 2 2 2 2 2 2 2 2 2 2 2 2 2 2 6 3" xfId="5076" xr:uid="{00000000-0005-0000-0000-0000D1130000}"/>
    <cellStyle name="Comma 2 2 2 2 2 2 2 2 2 2 2 2 2 2 2 2 2 2 2 2 6 4" xfId="5077" xr:uid="{00000000-0005-0000-0000-0000D2130000}"/>
    <cellStyle name="Comma 2 2 2 2 2 2 2 2 2 2 2 2 2 2 2 2 2 2 2 2 6 4 2" xfId="5078" xr:uid="{00000000-0005-0000-0000-0000D3130000}"/>
    <cellStyle name="Comma 2 2 2 2 2 2 2 2 2 2 2 2 2 2 2 2 2 2 2 2 6 4 3" xfId="5079" xr:uid="{00000000-0005-0000-0000-0000D4130000}"/>
    <cellStyle name="Comma 2 2 2 2 2 2 2 2 2 2 2 2 2 2 2 2 2 2 2 2 6 5" xfId="5080" xr:uid="{00000000-0005-0000-0000-0000D5130000}"/>
    <cellStyle name="Comma 2 2 2 2 2 2 2 2 2 2 2 2 2 2 2 2 2 2 2 2 6 6" xfId="5081" xr:uid="{00000000-0005-0000-0000-0000D6130000}"/>
    <cellStyle name="Comma 2 2 2 2 2 2 2 2 2 2 2 2 2 2 2 2 2 2 2 2 6 7" xfId="5082" xr:uid="{00000000-0005-0000-0000-0000D7130000}"/>
    <cellStyle name="Comma 2 2 2 2 2 2 2 2 2 2 2 2 2 2 2 2 2 2 2 2 6 8" xfId="5083" xr:uid="{00000000-0005-0000-0000-0000D8130000}"/>
    <cellStyle name="Comma 2 2 2 2 2 2 2 2 2 2 2 2 2 2 2 2 2 2 2 2 6 9" xfId="5084" xr:uid="{00000000-0005-0000-0000-0000D9130000}"/>
    <cellStyle name="Comma 2 2 2 2 2 2 2 2 2 2 2 2 2 2 2 2 2 2 2 2 7" xfId="5085" xr:uid="{00000000-0005-0000-0000-0000DA130000}"/>
    <cellStyle name="Comma 2 2 2 2 2 2 2 2 2 2 2 2 2 2 2 2 2 2 2 2 7 10" xfId="5086" xr:uid="{00000000-0005-0000-0000-0000DB130000}"/>
    <cellStyle name="Comma 2 2 2 2 2 2 2 2 2 2 2 2 2 2 2 2 2 2 2 2 7 11" xfId="5087" xr:uid="{00000000-0005-0000-0000-0000DC130000}"/>
    <cellStyle name="Comma 2 2 2 2 2 2 2 2 2 2 2 2 2 2 2 2 2 2 2 2 7 12" xfId="5088" xr:uid="{00000000-0005-0000-0000-0000DD130000}"/>
    <cellStyle name="Comma 2 2 2 2 2 2 2 2 2 2 2 2 2 2 2 2 2 2 2 2 7 13" xfId="5089" xr:uid="{00000000-0005-0000-0000-0000DE130000}"/>
    <cellStyle name="Comma 2 2 2 2 2 2 2 2 2 2 2 2 2 2 2 2 2 2 2 2 7 14" xfId="5090" xr:uid="{00000000-0005-0000-0000-0000DF130000}"/>
    <cellStyle name="Comma 2 2 2 2 2 2 2 2 2 2 2 2 2 2 2 2 2 2 2 2 7 2" xfId="5091" xr:uid="{00000000-0005-0000-0000-0000E0130000}"/>
    <cellStyle name="Comma 2 2 2 2 2 2 2 2 2 2 2 2 2 2 2 2 2 2 2 2 7 2 2" xfId="5092" xr:uid="{00000000-0005-0000-0000-0000E1130000}"/>
    <cellStyle name="Comma 2 2 2 2 2 2 2 2 2 2 2 2 2 2 2 2 2 2 2 2 7 2 2 2" xfId="5093" xr:uid="{00000000-0005-0000-0000-0000E2130000}"/>
    <cellStyle name="Comma 2 2 2 2 2 2 2 2 2 2 2 2 2 2 2 2 2 2 2 2 7 2 2 3" xfId="5094" xr:uid="{00000000-0005-0000-0000-0000E3130000}"/>
    <cellStyle name="Comma 2 2 2 2 2 2 2 2 2 2 2 2 2 2 2 2 2 2 2 2 7 2 3" xfId="5095" xr:uid="{00000000-0005-0000-0000-0000E4130000}"/>
    <cellStyle name="Comma 2 2 2 2 2 2 2 2 2 2 2 2 2 2 2 2 2 2 2 2 7 2 3 2" xfId="5096" xr:uid="{00000000-0005-0000-0000-0000E5130000}"/>
    <cellStyle name="Comma 2 2 2 2 2 2 2 2 2 2 2 2 2 2 2 2 2 2 2 2 7 3" xfId="5097" xr:uid="{00000000-0005-0000-0000-0000E6130000}"/>
    <cellStyle name="Comma 2 2 2 2 2 2 2 2 2 2 2 2 2 2 2 2 2 2 2 2 7 3 2" xfId="5098" xr:uid="{00000000-0005-0000-0000-0000E7130000}"/>
    <cellStyle name="Comma 2 2 2 2 2 2 2 2 2 2 2 2 2 2 2 2 2 2 2 2 7 3 3" xfId="5099" xr:uid="{00000000-0005-0000-0000-0000E8130000}"/>
    <cellStyle name="Comma 2 2 2 2 2 2 2 2 2 2 2 2 2 2 2 2 2 2 2 2 7 4" xfId="5100" xr:uid="{00000000-0005-0000-0000-0000E9130000}"/>
    <cellStyle name="Comma 2 2 2 2 2 2 2 2 2 2 2 2 2 2 2 2 2 2 2 2 7 5" xfId="5101" xr:uid="{00000000-0005-0000-0000-0000EA130000}"/>
    <cellStyle name="Comma 2 2 2 2 2 2 2 2 2 2 2 2 2 2 2 2 2 2 2 2 7 6" xfId="5102" xr:uid="{00000000-0005-0000-0000-0000EB130000}"/>
    <cellStyle name="Comma 2 2 2 2 2 2 2 2 2 2 2 2 2 2 2 2 2 2 2 2 7 7" xfId="5103" xr:uid="{00000000-0005-0000-0000-0000EC130000}"/>
    <cellStyle name="Comma 2 2 2 2 2 2 2 2 2 2 2 2 2 2 2 2 2 2 2 2 7 8" xfId="5104" xr:uid="{00000000-0005-0000-0000-0000ED130000}"/>
    <cellStyle name="Comma 2 2 2 2 2 2 2 2 2 2 2 2 2 2 2 2 2 2 2 2 7 8 2" xfId="5105" xr:uid="{00000000-0005-0000-0000-0000EE130000}"/>
    <cellStyle name="Comma 2 2 2 2 2 2 2 2 2 2 2 2 2 2 2 2 2 2 2 2 7 9" xfId="5106" xr:uid="{00000000-0005-0000-0000-0000EF130000}"/>
    <cellStyle name="Comma 2 2 2 2 2 2 2 2 2 2 2 2 2 2 2 2 2 2 2 2 8" xfId="5107" xr:uid="{00000000-0005-0000-0000-0000F0130000}"/>
    <cellStyle name="Comma 2 2 2 2 2 2 2 2 2 2 2 2 2 2 2 2 2 2 2 2 8 10" xfId="5108" xr:uid="{00000000-0005-0000-0000-0000F1130000}"/>
    <cellStyle name="Comma 2 2 2 2 2 2 2 2 2 2 2 2 2 2 2 2 2 2 2 2 8 11" xfId="5109" xr:uid="{00000000-0005-0000-0000-0000F2130000}"/>
    <cellStyle name="Comma 2 2 2 2 2 2 2 2 2 2 2 2 2 2 2 2 2 2 2 2 8 12" xfId="5110" xr:uid="{00000000-0005-0000-0000-0000F3130000}"/>
    <cellStyle name="Comma 2 2 2 2 2 2 2 2 2 2 2 2 2 2 2 2 2 2 2 2 8 13" xfId="5111" xr:uid="{00000000-0005-0000-0000-0000F4130000}"/>
    <cellStyle name="Comma 2 2 2 2 2 2 2 2 2 2 2 2 2 2 2 2 2 2 2 2 8 2" xfId="5112" xr:uid="{00000000-0005-0000-0000-0000F5130000}"/>
    <cellStyle name="Comma 2 2 2 2 2 2 2 2 2 2 2 2 2 2 2 2 2 2 2 2 8 3" xfId="5113" xr:uid="{00000000-0005-0000-0000-0000F6130000}"/>
    <cellStyle name="Comma 2 2 2 2 2 2 2 2 2 2 2 2 2 2 2 2 2 2 2 2 8 4" xfId="5114" xr:uid="{00000000-0005-0000-0000-0000F7130000}"/>
    <cellStyle name="Comma 2 2 2 2 2 2 2 2 2 2 2 2 2 2 2 2 2 2 2 2 8 5" xfId="5115" xr:uid="{00000000-0005-0000-0000-0000F8130000}"/>
    <cellStyle name="Comma 2 2 2 2 2 2 2 2 2 2 2 2 2 2 2 2 2 2 2 2 8 6" xfId="5116" xr:uid="{00000000-0005-0000-0000-0000F9130000}"/>
    <cellStyle name="Comma 2 2 2 2 2 2 2 2 2 2 2 2 2 2 2 2 2 2 2 2 8 7" xfId="5117" xr:uid="{00000000-0005-0000-0000-0000FA130000}"/>
    <cellStyle name="Comma 2 2 2 2 2 2 2 2 2 2 2 2 2 2 2 2 2 2 2 2 8 7 2" xfId="5118" xr:uid="{00000000-0005-0000-0000-0000FB130000}"/>
    <cellStyle name="Comma 2 2 2 2 2 2 2 2 2 2 2 2 2 2 2 2 2 2 2 2 8 8" xfId="5119" xr:uid="{00000000-0005-0000-0000-0000FC130000}"/>
    <cellStyle name="Comma 2 2 2 2 2 2 2 2 2 2 2 2 2 2 2 2 2 2 2 2 8 9" xfId="5120" xr:uid="{00000000-0005-0000-0000-0000FD130000}"/>
    <cellStyle name="Comma 2 2 2 2 2 2 2 2 2 2 2 2 2 2 2 2 2 2 2 2 9" xfId="5121" xr:uid="{00000000-0005-0000-0000-0000FE130000}"/>
    <cellStyle name="Comma 2 2 2 2 2 2 2 2 2 2 2 2 2 2 2 2 2 2 2 2 9 2" xfId="5122" xr:uid="{00000000-0005-0000-0000-0000FF130000}"/>
    <cellStyle name="Comma 2 2 2 2 2 2 2 2 2 2 2 2 2 2 2 2 2 2 2 2 9 3" xfId="5123" xr:uid="{00000000-0005-0000-0000-000000140000}"/>
    <cellStyle name="Comma 2 2 2 2 2 2 2 2 2 2 2 2 2 2 2 2 2 2 2 2 9 4" xfId="5124" xr:uid="{00000000-0005-0000-0000-000001140000}"/>
    <cellStyle name="Comma 2 2 2 2 2 2 2 2 2 2 2 2 2 2 2 2 2 2 2 2 9 5" xfId="5125" xr:uid="{00000000-0005-0000-0000-000002140000}"/>
    <cellStyle name="Comma 2 2 2 2 2 2 2 2 2 2 2 2 2 2 2 2 2 2 2 2 9 6" xfId="5126" xr:uid="{00000000-0005-0000-0000-000003140000}"/>
    <cellStyle name="Comma 2 2 2 2 2 2 2 2 2 2 2 2 2 2 2 2 2 2 2 2 9 7" xfId="5127" xr:uid="{00000000-0005-0000-0000-000004140000}"/>
    <cellStyle name="Comma 2 2 2 2 2 2 2 2 2 2 2 2 2 2 2 2 2 2 2 2 9 8" xfId="5128" xr:uid="{00000000-0005-0000-0000-000005140000}"/>
    <cellStyle name="Comma 2 2 2 2 2 2 2 2 2 2 2 2 2 2 2 2 2 2 2 2 9 9" xfId="5129" xr:uid="{00000000-0005-0000-0000-000006140000}"/>
    <cellStyle name="Comma 2 2 2 2 2 2 2 2 2 2 2 2 2 2 2 2 2 2 2 20" xfId="5130" xr:uid="{00000000-0005-0000-0000-000007140000}"/>
    <cellStyle name="Comma 2 2 2 2 2 2 2 2 2 2 2 2 2 2 2 2 2 2 2 21" xfId="5131" xr:uid="{00000000-0005-0000-0000-000008140000}"/>
    <cellStyle name="Comma 2 2 2 2 2 2 2 2 2 2 2 2 2 2 2 2 2 2 2 21 2" xfId="5132" xr:uid="{00000000-0005-0000-0000-000009140000}"/>
    <cellStyle name="Comma 2 2 2 2 2 2 2 2 2 2 2 2 2 2 2 2 2 2 2 21 3" xfId="5133" xr:uid="{00000000-0005-0000-0000-00000A140000}"/>
    <cellStyle name="Comma 2 2 2 2 2 2 2 2 2 2 2 2 2 2 2 2 2 2 2 22" xfId="5134" xr:uid="{00000000-0005-0000-0000-00000B140000}"/>
    <cellStyle name="Comma 2 2 2 2 2 2 2 2 2 2 2 2 2 2 2 2 2 2 2 23" xfId="5135" xr:uid="{00000000-0005-0000-0000-00000C140000}"/>
    <cellStyle name="Comma 2 2 2 2 2 2 2 2 2 2 2 2 2 2 2 2 2 2 2 24" xfId="5136" xr:uid="{00000000-0005-0000-0000-00000D140000}"/>
    <cellStyle name="Comma 2 2 2 2 2 2 2 2 2 2 2 2 2 2 2 2 2 2 2 24 2" xfId="5137" xr:uid="{00000000-0005-0000-0000-00000E140000}"/>
    <cellStyle name="Comma 2 2 2 2 2 2 2 2 2 2 2 2 2 2 2 2 2 2 2 25" xfId="5138" xr:uid="{00000000-0005-0000-0000-00000F140000}"/>
    <cellStyle name="Comma 2 2 2 2 2 2 2 2 2 2 2 2 2 2 2 2 2 2 2 26" xfId="5139" xr:uid="{00000000-0005-0000-0000-000010140000}"/>
    <cellStyle name="Comma 2 2 2 2 2 2 2 2 2 2 2 2 2 2 2 2 2 2 2 27" xfId="5140" xr:uid="{00000000-0005-0000-0000-000011140000}"/>
    <cellStyle name="Comma 2 2 2 2 2 2 2 2 2 2 2 2 2 2 2 2 2 2 2 28" xfId="5141" xr:uid="{00000000-0005-0000-0000-000012140000}"/>
    <cellStyle name="Comma 2 2 2 2 2 2 2 2 2 2 2 2 2 2 2 2 2 2 2 29" xfId="5142" xr:uid="{00000000-0005-0000-0000-000013140000}"/>
    <cellStyle name="Comma 2 2 2 2 2 2 2 2 2 2 2 2 2 2 2 2 2 2 2 3" xfId="5143" xr:uid="{00000000-0005-0000-0000-000014140000}"/>
    <cellStyle name="Comma 2 2 2 2 2 2 2 2 2 2 2 2 2 2 2 2 2 2 2 3 10" xfId="5144" xr:uid="{00000000-0005-0000-0000-000015140000}"/>
    <cellStyle name="Comma 2 2 2 2 2 2 2 2 2 2 2 2 2 2 2 2 2 2 2 3 10 2" xfId="5145" xr:uid="{00000000-0005-0000-0000-000016140000}"/>
    <cellStyle name="Comma 2 2 2 2 2 2 2 2 2 2 2 2 2 2 2 2 2 2 2 3 10 3" xfId="5146" xr:uid="{00000000-0005-0000-0000-000017140000}"/>
    <cellStyle name="Comma 2 2 2 2 2 2 2 2 2 2 2 2 2 2 2 2 2 2 2 3 10 4" xfId="5147" xr:uid="{00000000-0005-0000-0000-000018140000}"/>
    <cellStyle name="Comma 2 2 2 2 2 2 2 2 2 2 2 2 2 2 2 2 2 2 2 3 10 5" xfId="5148" xr:uid="{00000000-0005-0000-0000-000019140000}"/>
    <cellStyle name="Comma 2 2 2 2 2 2 2 2 2 2 2 2 2 2 2 2 2 2 2 3 10 6" xfId="5149" xr:uid="{00000000-0005-0000-0000-00001A140000}"/>
    <cellStyle name="Comma 2 2 2 2 2 2 2 2 2 2 2 2 2 2 2 2 2 2 2 3 10 7" xfId="5150" xr:uid="{00000000-0005-0000-0000-00001B140000}"/>
    <cellStyle name="Comma 2 2 2 2 2 2 2 2 2 2 2 2 2 2 2 2 2 2 2 3 10 8" xfId="5151" xr:uid="{00000000-0005-0000-0000-00001C140000}"/>
    <cellStyle name="Comma 2 2 2 2 2 2 2 2 2 2 2 2 2 2 2 2 2 2 2 3 11" xfId="5152" xr:uid="{00000000-0005-0000-0000-00001D140000}"/>
    <cellStyle name="Comma 2 2 2 2 2 2 2 2 2 2 2 2 2 2 2 2 2 2 2 3 11 2" xfId="5153" xr:uid="{00000000-0005-0000-0000-00001E140000}"/>
    <cellStyle name="Comma 2 2 2 2 2 2 2 2 2 2 2 2 2 2 2 2 2 2 2 3 11 3" xfId="5154" xr:uid="{00000000-0005-0000-0000-00001F140000}"/>
    <cellStyle name="Comma 2 2 2 2 2 2 2 2 2 2 2 2 2 2 2 2 2 2 2 3 11 4" xfId="5155" xr:uid="{00000000-0005-0000-0000-000020140000}"/>
    <cellStyle name="Comma 2 2 2 2 2 2 2 2 2 2 2 2 2 2 2 2 2 2 2 3 11 5" xfId="5156" xr:uid="{00000000-0005-0000-0000-000021140000}"/>
    <cellStyle name="Comma 2 2 2 2 2 2 2 2 2 2 2 2 2 2 2 2 2 2 2 3 11 6" xfId="5157" xr:uid="{00000000-0005-0000-0000-000022140000}"/>
    <cellStyle name="Comma 2 2 2 2 2 2 2 2 2 2 2 2 2 2 2 2 2 2 2 3 11 7" xfId="5158" xr:uid="{00000000-0005-0000-0000-000023140000}"/>
    <cellStyle name="Comma 2 2 2 2 2 2 2 2 2 2 2 2 2 2 2 2 2 2 2 3 11 8" xfId="5159" xr:uid="{00000000-0005-0000-0000-000024140000}"/>
    <cellStyle name="Comma 2 2 2 2 2 2 2 2 2 2 2 2 2 2 2 2 2 2 2 3 12" xfId="5160" xr:uid="{00000000-0005-0000-0000-000025140000}"/>
    <cellStyle name="Comma 2 2 2 2 2 2 2 2 2 2 2 2 2 2 2 2 2 2 2 3 12 2" xfId="5161" xr:uid="{00000000-0005-0000-0000-000026140000}"/>
    <cellStyle name="Comma 2 2 2 2 2 2 2 2 2 2 2 2 2 2 2 2 2 2 2 3 12 3" xfId="5162" xr:uid="{00000000-0005-0000-0000-000027140000}"/>
    <cellStyle name="Comma 2 2 2 2 2 2 2 2 2 2 2 2 2 2 2 2 2 2 2 3 12 4" xfId="5163" xr:uid="{00000000-0005-0000-0000-000028140000}"/>
    <cellStyle name="Comma 2 2 2 2 2 2 2 2 2 2 2 2 2 2 2 2 2 2 2 3 12 5" xfId="5164" xr:uid="{00000000-0005-0000-0000-000029140000}"/>
    <cellStyle name="Comma 2 2 2 2 2 2 2 2 2 2 2 2 2 2 2 2 2 2 2 3 12 6" xfId="5165" xr:uid="{00000000-0005-0000-0000-00002A140000}"/>
    <cellStyle name="Comma 2 2 2 2 2 2 2 2 2 2 2 2 2 2 2 2 2 2 2 3 12 7" xfId="5166" xr:uid="{00000000-0005-0000-0000-00002B140000}"/>
    <cellStyle name="Comma 2 2 2 2 2 2 2 2 2 2 2 2 2 2 2 2 2 2 2 3 12 8" xfId="5167" xr:uid="{00000000-0005-0000-0000-00002C140000}"/>
    <cellStyle name="Comma 2 2 2 2 2 2 2 2 2 2 2 2 2 2 2 2 2 2 2 3 13" xfId="5168" xr:uid="{00000000-0005-0000-0000-00002D140000}"/>
    <cellStyle name="Comma 2 2 2 2 2 2 2 2 2 2 2 2 2 2 2 2 2 2 2 3 13 2" xfId="5169" xr:uid="{00000000-0005-0000-0000-00002E140000}"/>
    <cellStyle name="Comma 2 2 2 2 2 2 2 2 2 2 2 2 2 2 2 2 2 2 2 3 13 3" xfId="5170" xr:uid="{00000000-0005-0000-0000-00002F140000}"/>
    <cellStyle name="Comma 2 2 2 2 2 2 2 2 2 2 2 2 2 2 2 2 2 2 2 3 13 4" xfId="5171" xr:uid="{00000000-0005-0000-0000-000030140000}"/>
    <cellStyle name="Comma 2 2 2 2 2 2 2 2 2 2 2 2 2 2 2 2 2 2 2 3 13 5" xfId="5172" xr:uid="{00000000-0005-0000-0000-000031140000}"/>
    <cellStyle name="Comma 2 2 2 2 2 2 2 2 2 2 2 2 2 2 2 2 2 2 2 3 13 6" xfId="5173" xr:uid="{00000000-0005-0000-0000-000032140000}"/>
    <cellStyle name="Comma 2 2 2 2 2 2 2 2 2 2 2 2 2 2 2 2 2 2 2 3 13 7" xfId="5174" xr:uid="{00000000-0005-0000-0000-000033140000}"/>
    <cellStyle name="Comma 2 2 2 2 2 2 2 2 2 2 2 2 2 2 2 2 2 2 2 3 13 8" xfId="5175" xr:uid="{00000000-0005-0000-0000-000034140000}"/>
    <cellStyle name="Comma 2 2 2 2 2 2 2 2 2 2 2 2 2 2 2 2 2 2 2 3 14" xfId="5176" xr:uid="{00000000-0005-0000-0000-000035140000}"/>
    <cellStyle name="Comma 2 2 2 2 2 2 2 2 2 2 2 2 2 2 2 2 2 2 2 3 14 2" xfId="5177" xr:uid="{00000000-0005-0000-0000-000036140000}"/>
    <cellStyle name="Comma 2 2 2 2 2 2 2 2 2 2 2 2 2 2 2 2 2 2 2 3 2" xfId="5178" xr:uid="{00000000-0005-0000-0000-000037140000}"/>
    <cellStyle name="Comma 2 2 2 2 2 2 2 2 2 2 2 2 2 2 2 2 2 2 2 3 2 10" xfId="5179" xr:uid="{00000000-0005-0000-0000-000038140000}"/>
    <cellStyle name="Comma 2 2 2 2 2 2 2 2 2 2 2 2 2 2 2 2 2 2 2 3 2 11" xfId="5180" xr:uid="{00000000-0005-0000-0000-000039140000}"/>
    <cellStyle name="Comma 2 2 2 2 2 2 2 2 2 2 2 2 2 2 2 2 2 2 2 3 2 12" xfId="5181" xr:uid="{00000000-0005-0000-0000-00003A140000}"/>
    <cellStyle name="Comma 2 2 2 2 2 2 2 2 2 2 2 2 2 2 2 2 2 2 2 3 2 12 2" xfId="5182" xr:uid="{00000000-0005-0000-0000-00003B140000}"/>
    <cellStyle name="Comma 2 2 2 2 2 2 2 2 2 2 2 2 2 2 2 2 2 2 2 3 2 13" xfId="5183" xr:uid="{00000000-0005-0000-0000-00003C140000}"/>
    <cellStyle name="Comma 2 2 2 2 2 2 2 2 2 2 2 2 2 2 2 2 2 2 2 3 2 14" xfId="5184" xr:uid="{00000000-0005-0000-0000-00003D140000}"/>
    <cellStyle name="Comma 2 2 2 2 2 2 2 2 2 2 2 2 2 2 2 2 2 2 2 3 2 15" xfId="5185" xr:uid="{00000000-0005-0000-0000-00003E140000}"/>
    <cellStyle name="Comma 2 2 2 2 2 2 2 2 2 2 2 2 2 2 2 2 2 2 2 3 2 16" xfId="5186" xr:uid="{00000000-0005-0000-0000-00003F140000}"/>
    <cellStyle name="Comma 2 2 2 2 2 2 2 2 2 2 2 2 2 2 2 2 2 2 2 3 2 17" xfId="5187" xr:uid="{00000000-0005-0000-0000-000040140000}"/>
    <cellStyle name="Comma 2 2 2 2 2 2 2 2 2 2 2 2 2 2 2 2 2 2 2 3 2 18" xfId="5188" xr:uid="{00000000-0005-0000-0000-000041140000}"/>
    <cellStyle name="Comma 2 2 2 2 2 2 2 2 2 2 2 2 2 2 2 2 2 2 2 3 2 2" xfId="5189" xr:uid="{00000000-0005-0000-0000-000042140000}"/>
    <cellStyle name="Comma 2 2 2 2 2 2 2 2 2 2 2 2 2 2 2 2 2 2 2 3 2 2 2" xfId="5190" xr:uid="{00000000-0005-0000-0000-000043140000}"/>
    <cellStyle name="Comma 2 2 2 2 2 2 2 2 2 2 2 2 2 2 2 2 2 2 2 3 2 2 3" xfId="5191" xr:uid="{00000000-0005-0000-0000-000044140000}"/>
    <cellStyle name="Comma 2 2 2 2 2 2 2 2 2 2 2 2 2 2 2 2 2 2 2 3 2 2 4" xfId="5192" xr:uid="{00000000-0005-0000-0000-000045140000}"/>
    <cellStyle name="Comma 2 2 2 2 2 2 2 2 2 2 2 2 2 2 2 2 2 2 2 3 2 3" xfId="5193" xr:uid="{00000000-0005-0000-0000-000046140000}"/>
    <cellStyle name="Comma 2 2 2 2 2 2 2 2 2 2 2 2 2 2 2 2 2 2 2 3 2 4" xfId="5194" xr:uid="{00000000-0005-0000-0000-000047140000}"/>
    <cellStyle name="Comma 2 2 2 2 2 2 2 2 2 2 2 2 2 2 2 2 2 2 2 3 2 5" xfId="5195" xr:uid="{00000000-0005-0000-0000-000048140000}"/>
    <cellStyle name="Comma 2 2 2 2 2 2 2 2 2 2 2 2 2 2 2 2 2 2 2 3 2 6" xfId="5196" xr:uid="{00000000-0005-0000-0000-000049140000}"/>
    <cellStyle name="Comma 2 2 2 2 2 2 2 2 2 2 2 2 2 2 2 2 2 2 2 3 2 7" xfId="5197" xr:uid="{00000000-0005-0000-0000-00004A140000}"/>
    <cellStyle name="Comma 2 2 2 2 2 2 2 2 2 2 2 2 2 2 2 2 2 2 2 3 2 8" xfId="5198" xr:uid="{00000000-0005-0000-0000-00004B140000}"/>
    <cellStyle name="Comma 2 2 2 2 2 2 2 2 2 2 2 2 2 2 2 2 2 2 2 3 2 9" xfId="5199" xr:uid="{00000000-0005-0000-0000-00004C140000}"/>
    <cellStyle name="Comma 2 2 2 2 2 2 2 2 2 2 2 2 2 2 2 2 2 2 2 3 3" xfId="5200" xr:uid="{00000000-0005-0000-0000-00004D140000}"/>
    <cellStyle name="Comma 2 2 2 2 2 2 2 2 2 2 2 2 2 2 2 2 2 2 2 3 3 10" xfId="5201" xr:uid="{00000000-0005-0000-0000-00004E140000}"/>
    <cellStyle name="Comma 2 2 2 2 2 2 2 2 2 2 2 2 2 2 2 2 2 2 2 3 3 10 2" xfId="5202" xr:uid="{00000000-0005-0000-0000-00004F140000}"/>
    <cellStyle name="Comma 2 2 2 2 2 2 2 2 2 2 2 2 2 2 2 2 2 2 2 3 3 11" xfId="5203" xr:uid="{00000000-0005-0000-0000-000050140000}"/>
    <cellStyle name="Comma 2 2 2 2 2 2 2 2 2 2 2 2 2 2 2 2 2 2 2 3 3 12" xfId="5204" xr:uid="{00000000-0005-0000-0000-000051140000}"/>
    <cellStyle name="Comma 2 2 2 2 2 2 2 2 2 2 2 2 2 2 2 2 2 2 2 3 3 13" xfId="5205" xr:uid="{00000000-0005-0000-0000-000052140000}"/>
    <cellStyle name="Comma 2 2 2 2 2 2 2 2 2 2 2 2 2 2 2 2 2 2 2 3 3 14" xfId="5206" xr:uid="{00000000-0005-0000-0000-000053140000}"/>
    <cellStyle name="Comma 2 2 2 2 2 2 2 2 2 2 2 2 2 2 2 2 2 2 2 3 3 15" xfId="5207" xr:uid="{00000000-0005-0000-0000-000054140000}"/>
    <cellStyle name="Comma 2 2 2 2 2 2 2 2 2 2 2 2 2 2 2 2 2 2 2 3 3 16" xfId="5208" xr:uid="{00000000-0005-0000-0000-000055140000}"/>
    <cellStyle name="Comma 2 2 2 2 2 2 2 2 2 2 2 2 2 2 2 2 2 2 2 3 3 2" xfId="5209" xr:uid="{00000000-0005-0000-0000-000056140000}"/>
    <cellStyle name="Comma 2 2 2 2 2 2 2 2 2 2 2 2 2 2 2 2 2 2 2 3 3 2 2" xfId="5210" xr:uid="{00000000-0005-0000-0000-000057140000}"/>
    <cellStyle name="Comma 2 2 2 2 2 2 2 2 2 2 2 2 2 2 2 2 2 2 2 3 3 2 2 2" xfId="5211" xr:uid="{00000000-0005-0000-0000-000058140000}"/>
    <cellStyle name="Comma 2 2 2 2 2 2 2 2 2 2 2 2 2 2 2 2 2 2 2 3 3 2 2 3" xfId="5212" xr:uid="{00000000-0005-0000-0000-000059140000}"/>
    <cellStyle name="Comma 2 2 2 2 2 2 2 2 2 2 2 2 2 2 2 2 2 2 2 3 3 3" xfId="5213" xr:uid="{00000000-0005-0000-0000-00005A140000}"/>
    <cellStyle name="Comma 2 2 2 2 2 2 2 2 2 2 2 2 2 2 2 2 2 2 2 3 3 4" xfId="5214" xr:uid="{00000000-0005-0000-0000-00005B140000}"/>
    <cellStyle name="Comma 2 2 2 2 2 2 2 2 2 2 2 2 2 2 2 2 2 2 2 3 3 5" xfId="5215" xr:uid="{00000000-0005-0000-0000-00005C140000}"/>
    <cellStyle name="Comma 2 2 2 2 2 2 2 2 2 2 2 2 2 2 2 2 2 2 2 3 3 6" xfId="5216" xr:uid="{00000000-0005-0000-0000-00005D140000}"/>
    <cellStyle name="Comma 2 2 2 2 2 2 2 2 2 2 2 2 2 2 2 2 2 2 2 3 3 7" xfId="5217" xr:uid="{00000000-0005-0000-0000-00005E140000}"/>
    <cellStyle name="Comma 2 2 2 2 2 2 2 2 2 2 2 2 2 2 2 2 2 2 2 3 3 8" xfId="5218" xr:uid="{00000000-0005-0000-0000-00005F140000}"/>
    <cellStyle name="Comma 2 2 2 2 2 2 2 2 2 2 2 2 2 2 2 2 2 2 2 3 3 9" xfId="5219" xr:uid="{00000000-0005-0000-0000-000060140000}"/>
    <cellStyle name="Comma 2 2 2 2 2 2 2 2 2 2 2 2 2 2 2 2 2 2 2 3 4" xfId="5220" xr:uid="{00000000-0005-0000-0000-000061140000}"/>
    <cellStyle name="Comma 2 2 2 2 2 2 2 2 2 2 2 2 2 2 2 2 2 2 2 3 4 10" xfId="5221" xr:uid="{00000000-0005-0000-0000-000062140000}"/>
    <cellStyle name="Comma 2 2 2 2 2 2 2 2 2 2 2 2 2 2 2 2 2 2 2 3 4 11" xfId="5222" xr:uid="{00000000-0005-0000-0000-000063140000}"/>
    <cellStyle name="Comma 2 2 2 2 2 2 2 2 2 2 2 2 2 2 2 2 2 2 2 3 4 12" xfId="5223" xr:uid="{00000000-0005-0000-0000-000064140000}"/>
    <cellStyle name="Comma 2 2 2 2 2 2 2 2 2 2 2 2 2 2 2 2 2 2 2 3 4 13" xfId="5224" xr:uid="{00000000-0005-0000-0000-000065140000}"/>
    <cellStyle name="Comma 2 2 2 2 2 2 2 2 2 2 2 2 2 2 2 2 2 2 2 3 4 14" xfId="5225" xr:uid="{00000000-0005-0000-0000-000066140000}"/>
    <cellStyle name="Comma 2 2 2 2 2 2 2 2 2 2 2 2 2 2 2 2 2 2 2 3 4 15" xfId="5226" xr:uid="{00000000-0005-0000-0000-000067140000}"/>
    <cellStyle name="Comma 2 2 2 2 2 2 2 2 2 2 2 2 2 2 2 2 2 2 2 3 4 2" xfId="5227" xr:uid="{00000000-0005-0000-0000-000068140000}"/>
    <cellStyle name="Comma 2 2 2 2 2 2 2 2 2 2 2 2 2 2 2 2 2 2 2 3 4 3" xfId="5228" xr:uid="{00000000-0005-0000-0000-000069140000}"/>
    <cellStyle name="Comma 2 2 2 2 2 2 2 2 2 2 2 2 2 2 2 2 2 2 2 3 4 4" xfId="5229" xr:uid="{00000000-0005-0000-0000-00006A140000}"/>
    <cellStyle name="Comma 2 2 2 2 2 2 2 2 2 2 2 2 2 2 2 2 2 2 2 3 4 5" xfId="5230" xr:uid="{00000000-0005-0000-0000-00006B140000}"/>
    <cellStyle name="Comma 2 2 2 2 2 2 2 2 2 2 2 2 2 2 2 2 2 2 2 3 4 6" xfId="5231" xr:uid="{00000000-0005-0000-0000-00006C140000}"/>
    <cellStyle name="Comma 2 2 2 2 2 2 2 2 2 2 2 2 2 2 2 2 2 2 2 3 4 7" xfId="5232" xr:uid="{00000000-0005-0000-0000-00006D140000}"/>
    <cellStyle name="Comma 2 2 2 2 2 2 2 2 2 2 2 2 2 2 2 2 2 2 2 3 4 8" xfId="5233" xr:uid="{00000000-0005-0000-0000-00006E140000}"/>
    <cellStyle name="Comma 2 2 2 2 2 2 2 2 2 2 2 2 2 2 2 2 2 2 2 3 4 9" xfId="5234" xr:uid="{00000000-0005-0000-0000-00006F140000}"/>
    <cellStyle name="Comma 2 2 2 2 2 2 2 2 2 2 2 2 2 2 2 2 2 2 2 3 4 9 2" xfId="5235" xr:uid="{00000000-0005-0000-0000-000070140000}"/>
    <cellStyle name="Comma 2 2 2 2 2 2 2 2 2 2 2 2 2 2 2 2 2 2 2 3 5" xfId="5236" xr:uid="{00000000-0005-0000-0000-000071140000}"/>
    <cellStyle name="Comma 2 2 2 2 2 2 2 2 2 2 2 2 2 2 2 2 2 2 2 3 5 10" xfId="5237" xr:uid="{00000000-0005-0000-0000-000072140000}"/>
    <cellStyle name="Comma 2 2 2 2 2 2 2 2 2 2 2 2 2 2 2 2 2 2 2 3 5 11" xfId="5238" xr:uid="{00000000-0005-0000-0000-000073140000}"/>
    <cellStyle name="Comma 2 2 2 2 2 2 2 2 2 2 2 2 2 2 2 2 2 2 2 3 5 12" xfId="5239" xr:uid="{00000000-0005-0000-0000-000074140000}"/>
    <cellStyle name="Comma 2 2 2 2 2 2 2 2 2 2 2 2 2 2 2 2 2 2 2 3 5 13" xfId="5240" xr:uid="{00000000-0005-0000-0000-000075140000}"/>
    <cellStyle name="Comma 2 2 2 2 2 2 2 2 2 2 2 2 2 2 2 2 2 2 2 3 5 14" xfId="5241" xr:uid="{00000000-0005-0000-0000-000076140000}"/>
    <cellStyle name="Comma 2 2 2 2 2 2 2 2 2 2 2 2 2 2 2 2 2 2 2 3 5 2" xfId="5242" xr:uid="{00000000-0005-0000-0000-000077140000}"/>
    <cellStyle name="Comma 2 2 2 2 2 2 2 2 2 2 2 2 2 2 2 2 2 2 2 3 5 3" xfId="5243" xr:uid="{00000000-0005-0000-0000-000078140000}"/>
    <cellStyle name="Comma 2 2 2 2 2 2 2 2 2 2 2 2 2 2 2 2 2 2 2 3 5 4" xfId="5244" xr:uid="{00000000-0005-0000-0000-000079140000}"/>
    <cellStyle name="Comma 2 2 2 2 2 2 2 2 2 2 2 2 2 2 2 2 2 2 2 3 5 5" xfId="5245" xr:uid="{00000000-0005-0000-0000-00007A140000}"/>
    <cellStyle name="Comma 2 2 2 2 2 2 2 2 2 2 2 2 2 2 2 2 2 2 2 3 5 6" xfId="5246" xr:uid="{00000000-0005-0000-0000-00007B140000}"/>
    <cellStyle name="Comma 2 2 2 2 2 2 2 2 2 2 2 2 2 2 2 2 2 2 2 3 5 7" xfId="5247" xr:uid="{00000000-0005-0000-0000-00007C140000}"/>
    <cellStyle name="Comma 2 2 2 2 2 2 2 2 2 2 2 2 2 2 2 2 2 2 2 3 5 8" xfId="5248" xr:uid="{00000000-0005-0000-0000-00007D140000}"/>
    <cellStyle name="Comma 2 2 2 2 2 2 2 2 2 2 2 2 2 2 2 2 2 2 2 3 5 8 2" xfId="5249" xr:uid="{00000000-0005-0000-0000-00007E140000}"/>
    <cellStyle name="Comma 2 2 2 2 2 2 2 2 2 2 2 2 2 2 2 2 2 2 2 3 5 9" xfId="5250" xr:uid="{00000000-0005-0000-0000-00007F140000}"/>
    <cellStyle name="Comma 2 2 2 2 2 2 2 2 2 2 2 2 2 2 2 2 2 2 2 3 6" xfId="5251" xr:uid="{00000000-0005-0000-0000-000080140000}"/>
    <cellStyle name="Comma 2 2 2 2 2 2 2 2 2 2 2 2 2 2 2 2 2 2 2 3 6 10" xfId="5252" xr:uid="{00000000-0005-0000-0000-000081140000}"/>
    <cellStyle name="Comma 2 2 2 2 2 2 2 2 2 2 2 2 2 2 2 2 2 2 2 3 6 11" xfId="5253" xr:uid="{00000000-0005-0000-0000-000082140000}"/>
    <cellStyle name="Comma 2 2 2 2 2 2 2 2 2 2 2 2 2 2 2 2 2 2 2 3 6 12" xfId="5254" xr:uid="{00000000-0005-0000-0000-000083140000}"/>
    <cellStyle name="Comma 2 2 2 2 2 2 2 2 2 2 2 2 2 2 2 2 2 2 2 3 6 13" xfId="5255" xr:uid="{00000000-0005-0000-0000-000084140000}"/>
    <cellStyle name="Comma 2 2 2 2 2 2 2 2 2 2 2 2 2 2 2 2 2 2 2 3 6 2" xfId="5256" xr:uid="{00000000-0005-0000-0000-000085140000}"/>
    <cellStyle name="Comma 2 2 2 2 2 2 2 2 2 2 2 2 2 2 2 2 2 2 2 3 6 3" xfId="5257" xr:uid="{00000000-0005-0000-0000-000086140000}"/>
    <cellStyle name="Comma 2 2 2 2 2 2 2 2 2 2 2 2 2 2 2 2 2 2 2 3 6 4" xfId="5258" xr:uid="{00000000-0005-0000-0000-000087140000}"/>
    <cellStyle name="Comma 2 2 2 2 2 2 2 2 2 2 2 2 2 2 2 2 2 2 2 3 6 5" xfId="5259" xr:uid="{00000000-0005-0000-0000-000088140000}"/>
    <cellStyle name="Comma 2 2 2 2 2 2 2 2 2 2 2 2 2 2 2 2 2 2 2 3 6 6" xfId="5260" xr:uid="{00000000-0005-0000-0000-000089140000}"/>
    <cellStyle name="Comma 2 2 2 2 2 2 2 2 2 2 2 2 2 2 2 2 2 2 2 3 6 7" xfId="5261" xr:uid="{00000000-0005-0000-0000-00008A140000}"/>
    <cellStyle name="Comma 2 2 2 2 2 2 2 2 2 2 2 2 2 2 2 2 2 2 2 3 6 7 2" xfId="5262" xr:uid="{00000000-0005-0000-0000-00008B140000}"/>
    <cellStyle name="Comma 2 2 2 2 2 2 2 2 2 2 2 2 2 2 2 2 2 2 2 3 6 8" xfId="5263" xr:uid="{00000000-0005-0000-0000-00008C140000}"/>
    <cellStyle name="Comma 2 2 2 2 2 2 2 2 2 2 2 2 2 2 2 2 2 2 2 3 6 9" xfId="5264" xr:uid="{00000000-0005-0000-0000-00008D140000}"/>
    <cellStyle name="Comma 2 2 2 2 2 2 2 2 2 2 2 2 2 2 2 2 2 2 2 3 7" xfId="5265" xr:uid="{00000000-0005-0000-0000-00008E140000}"/>
    <cellStyle name="Comma 2 2 2 2 2 2 2 2 2 2 2 2 2 2 2 2 2 2 2 3 8" xfId="5266" xr:uid="{00000000-0005-0000-0000-00008F140000}"/>
    <cellStyle name="Comma 2 2 2 2 2 2 2 2 2 2 2 2 2 2 2 2 2 2 2 3 9" xfId="5267" xr:uid="{00000000-0005-0000-0000-000090140000}"/>
    <cellStyle name="Comma 2 2 2 2 2 2 2 2 2 2 2 2 2 2 2 2 2 2 2 3 9 2" xfId="5268" xr:uid="{00000000-0005-0000-0000-000091140000}"/>
    <cellStyle name="Comma 2 2 2 2 2 2 2 2 2 2 2 2 2 2 2 2 2 2 2 3 9 3" xfId="5269" xr:uid="{00000000-0005-0000-0000-000092140000}"/>
    <cellStyle name="Comma 2 2 2 2 2 2 2 2 2 2 2 2 2 2 2 2 2 2 2 3 9 4" xfId="5270" xr:uid="{00000000-0005-0000-0000-000093140000}"/>
    <cellStyle name="Comma 2 2 2 2 2 2 2 2 2 2 2 2 2 2 2 2 2 2 2 3 9 5" xfId="5271" xr:uid="{00000000-0005-0000-0000-000094140000}"/>
    <cellStyle name="Comma 2 2 2 2 2 2 2 2 2 2 2 2 2 2 2 2 2 2 2 3 9 6" xfId="5272" xr:uid="{00000000-0005-0000-0000-000095140000}"/>
    <cellStyle name="Comma 2 2 2 2 2 2 2 2 2 2 2 2 2 2 2 2 2 2 2 3 9 7" xfId="5273" xr:uid="{00000000-0005-0000-0000-000096140000}"/>
    <cellStyle name="Comma 2 2 2 2 2 2 2 2 2 2 2 2 2 2 2 2 2 2 2 3 9 8" xfId="5274" xr:uid="{00000000-0005-0000-0000-000097140000}"/>
    <cellStyle name="Comma 2 2 2 2 2 2 2 2 2 2 2 2 2 2 2 2 2 2 2 30" xfId="5275" xr:uid="{00000000-0005-0000-0000-000098140000}"/>
    <cellStyle name="Comma 2 2 2 2 2 2 2 2 2 2 2 2 2 2 2 2 2 2 2 31" xfId="5276" xr:uid="{00000000-0005-0000-0000-000099140000}"/>
    <cellStyle name="Comma 2 2 2 2 2 2 2 2 2 2 2 2 2 2 2 2 2 2 2 32" xfId="5277" xr:uid="{00000000-0005-0000-0000-00009A140000}"/>
    <cellStyle name="Comma 2 2 2 2 2 2 2 2 2 2 2 2 2 2 2 2 2 2 2 4" xfId="5278" xr:uid="{00000000-0005-0000-0000-00009B140000}"/>
    <cellStyle name="Comma 2 2 2 2 2 2 2 2 2 2 2 2 2 2 2 2 2 2 2 4 2" xfId="5279" xr:uid="{00000000-0005-0000-0000-00009C140000}"/>
    <cellStyle name="Comma 2 2 2 2 2 2 2 2 2 2 2 2 2 2 2 2 2 2 2 4 2 10" xfId="5280" xr:uid="{00000000-0005-0000-0000-00009D140000}"/>
    <cellStyle name="Comma 2 2 2 2 2 2 2 2 2 2 2 2 2 2 2 2 2 2 2 4 2 11" xfId="5281" xr:uid="{00000000-0005-0000-0000-00009E140000}"/>
    <cellStyle name="Comma 2 2 2 2 2 2 2 2 2 2 2 2 2 2 2 2 2 2 2 4 2 12" xfId="5282" xr:uid="{00000000-0005-0000-0000-00009F140000}"/>
    <cellStyle name="Comma 2 2 2 2 2 2 2 2 2 2 2 2 2 2 2 2 2 2 2 4 2 2" xfId="5283" xr:uid="{00000000-0005-0000-0000-0000A0140000}"/>
    <cellStyle name="Comma 2 2 2 2 2 2 2 2 2 2 2 2 2 2 2 2 2 2 2 4 2 2 2" xfId="5284" xr:uid="{00000000-0005-0000-0000-0000A1140000}"/>
    <cellStyle name="Comma 2 2 2 2 2 2 2 2 2 2 2 2 2 2 2 2 2 2 2 4 2 2 2 2" xfId="5285" xr:uid="{00000000-0005-0000-0000-0000A2140000}"/>
    <cellStyle name="Comma 2 2 2 2 2 2 2 2 2 2 2 2 2 2 2 2 2 2 2 4 2 2 3" xfId="5286" xr:uid="{00000000-0005-0000-0000-0000A3140000}"/>
    <cellStyle name="Comma 2 2 2 2 2 2 2 2 2 2 2 2 2 2 2 2 2 2 2 4 2 2 3 2" xfId="5287" xr:uid="{00000000-0005-0000-0000-0000A4140000}"/>
    <cellStyle name="Comma 2 2 2 2 2 2 2 2 2 2 2 2 2 2 2 2 2 2 2 4 2 2 4" xfId="5288" xr:uid="{00000000-0005-0000-0000-0000A5140000}"/>
    <cellStyle name="Comma 2 2 2 2 2 2 2 2 2 2 2 2 2 2 2 2 2 2 2 4 2 2 4 2" xfId="5289" xr:uid="{00000000-0005-0000-0000-0000A6140000}"/>
    <cellStyle name="Comma 2 2 2 2 2 2 2 2 2 2 2 2 2 2 2 2 2 2 2 4 2 2 5" xfId="5290" xr:uid="{00000000-0005-0000-0000-0000A7140000}"/>
    <cellStyle name="Comma 2 2 2 2 2 2 2 2 2 2 2 2 2 2 2 2 2 2 2 4 2 3" xfId="5291" xr:uid="{00000000-0005-0000-0000-0000A8140000}"/>
    <cellStyle name="Comma 2 2 2 2 2 2 2 2 2 2 2 2 2 2 2 2 2 2 2 4 2 3 2" xfId="5292" xr:uid="{00000000-0005-0000-0000-0000A9140000}"/>
    <cellStyle name="Comma 2 2 2 2 2 2 2 2 2 2 2 2 2 2 2 2 2 2 2 4 2 3 3" xfId="5293" xr:uid="{00000000-0005-0000-0000-0000AA140000}"/>
    <cellStyle name="Comma 2 2 2 2 2 2 2 2 2 2 2 2 2 2 2 2 2 2 2 4 2 4" xfId="5294" xr:uid="{00000000-0005-0000-0000-0000AB140000}"/>
    <cellStyle name="Comma 2 2 2 2 2 2 2 2 2 2 2 2 2 2 2 2 2 2 2 4 2 4 2" xfId="5295" xr:uid="{00000000-0005-0000-0000-0000AC140000}"/>
    <cellStyle name="Comma 2 2 2 2 2 2 2 2 2 2 2 2 2 2 2 2 2 2 2 4 2 5" xfId="5296" xr:uid="{00000000-0005-0000-0000-0000AD140000}"/>
    <cellStyle name="Comma 2 2 2 2 2 2 2 2 2 2 2 2 2 2 2 2 2 2 2 4 2 6" xfId="5297" xr:uid="{00000000-0005-0000-0000-0000AE140000}"/>
    <cellStyle name="Comma 2 2 2 2 2 2 2 2 2 2 2 2 2 2 2 2 2 2 2 4 2 6 2" xfId="5298" xr:uid="{00000000-0005-0000-0000-0000AF140000}"/>
    <cellStyle name="Comma 2 2 2 2 2 2 2 2 2 2 2 2 2 2 2 2 2 2 2 4 2 7" xfId="5299" xr:uid="{00000000-0005-0000-0000-0000B0140000}"/>
    <cellStyle name="Comma 2 2 2 2 2 2 2 2 2 2 2 2 2 2 2 2 2 2 2 4 2 8" xfId="5300" xr:uid="{00000000-0005-0000-0000-0000B1140000}"/>
    <cellStyle name="Comma 2 2 2 2 2 2 2 2 2 2 2 2 2 2 2 2 2 2 2 4 2 9" xfId="5301" xr:uid="{00000000-0005-0000-0000-0000B2140000}"/>
    <cellStyle name="Comma 2 2 2 2 2 2 2 2 2 2 2 2 2 2 2 2 2 2 2 4 3" xfId="5302" xr:uid="{00000000-0005-0000-0000-0000B3140000}"/>
    <cellStyle name="Comma 2 2 2 2 2 2 2 2 2 2 2 2 2 2 2 2 2 2 2 4 3 10" xfId="5303" xr:uid="{00000000-0005-0000-0000-0000B4140000}"/>
    <cellStyle name="Comma 2 2 2 2 2 2 2 2 2 2 2 2 2 2 2 2 2 2 2 4 3 11" xfId="5304" xr:uid="{00000000-0005-0000-0000-0000B5140000}"/>
    <cellStyle name="Comma 2 2 2 2 2 2 2 2 2 2 2 2 2 2 2 2 2 2 2 4 3 12" xfId="5305" xr:uid="{00000000-0005-0000-0000-0000B6140000}"/>
    <cellStyle name="Comma 2 2 2 2 2 2 2 2 2 2 2 2 2 2 2 2 2 2 2 4 3 2" xfId="5306" xr:uid="{00000000-0005-0000-0000-0000B7140000}"/>
    <cellStyle name="Comma 2 2 2 2 2 2 2 2 2 2 2 2 2 2 2 2 2 2 2 4 3 2 2" xfId="5307" xr:uid="{00000000-0005-0000-0000-0000B8140000}"/>
    <cellStyle name="Comma 2 2 2 2 2 2 2 2 2 2 2 2 2 2 2 2 2 2 2 4 3 2 3" xfId="5308" xr:uid="{00000000-0005-0000-0000-0000B9140000}"/>
    <cellStyle name="Comma 2 2 2 2 2 2 2 2 2 2 2 2 2 2 2 2 2 2 2 4 3 2 4" xfId="5309" xr:uid="{00000000-0005-0000-0000-0000BA140000}"/>
    <cellStyle name="Comma 2 2 2 2 2 2 2 2 2 2 2 2 2 2 2 2 2 2 2 4 3 3" xfId="5310" xr:uid="{00000000-0005-0000-0000-0000BB140000}"/>
    <cellStyle name="Comma 2 2 2 2 2 2 2 2 2 2 2 2 2 2 2 2 2 2 2 4 3 3 2" xfId="5311" xr:uid="{00000000-0005-0000-0000-0000BC140000}"/>
    <cellStyle name="Comma 2 2 2 2 2 2 2 2 2 2 2 2 2 2 2 2 2 2 2 4 3 4" xfId="5312" xr:uid="{00000000-0005-0000-0000-0000BD140000}"/>
    <cellStyle name="Comma 2 2 2 2 2 2 2 2 2 2 2 2 2 2 2 2 2 2 2 4 3 5" xfId="5313" xr:uid="{00000000-0005-0000-0000-0000BE140000}"/>
    <cellStyle name="Comma 2 2 2 2 2 2 2 2 2 2 2 2 2 2 2 2 2 2 2 4 3 6" xfId="5314" xr:uid="{00000000-0005-0000-0000-0000BF140000}"/>
    <cellStyle name="Comma 2 2 2 2 2 2 2 2 2 2 2 2 2 2 2 2 2 2 2 4 3 6 2" xfId="5315" xr:uid="{00000000-0005-0000-0000-0000C0140000}"/>
    <cellStyle name="Comma 2 2 2 2 2 2 2 2 2 2 2 2 2 2 2 2 2 2 2 4 3 7" xfId="5316" xr:uid="{00000000-0005-0000-0000-0000C1140000}"/>
    <cellStyle name="Comma 2 2 2 2 2 2 2 2 2 2 2 2 2 2 2 2 2 2 2 4 3 8" xfId="5317" xr:uid="{00000000-0005-0000-0000-0000C2140000}"/>
    <cellStyle name="Comma 2 2 2 2 2 2 2 2 2 2 2 2 2 2 2 2 2 2 2 4 3 9" xfId="5318" xr:uid="{00000000-0005-0000-0000-0000C3140000}"/>
    <cellStyle name="Comma 2 2 2 2 2 2 2 2 2 2 2 2 2 2 2 2 2 2 2 4 4" xfId="5319" xr:uid="{00000000-0005-0000-0000-0000C4140000}"/>
    <cellStyle name="Comma 2 2 2 2 2 2 2 2 2 2 2 2 2 2 2 2 2 2 2 4 4 10" xfId="5320" xr:uid="{00000000-0005-0000-0000-0000C5140000}"/>
    <cellStyle name="Comma 2 2 2 2 2 2 2 2 2 2 2 2 2 2 2 2 2 2 2 4 4 11" xfId="5321" xr:uid="{00000000-0005-0000-0000-0000C6140000}"/>
    <cellStyle name="Comma 2 2 2 2 2 2 2 2 2 2 2 2 2 2 2 2 2 2 2 4 4 12" xfId="5322" xr:uid="{00000000-0005-0000-0000-0000C7140000}"/>
    <cellStyle name="Comma 2 2 2 2 2 2 2 2 2 2 2 2 2 2 2 2 2 2 2 4 4 2" xfId="5323" xr:uid="{00000000-0005-0000-0000-0000C8140000}"/>
    <cellStyle name="Comma 2 2 2 2 2 2 2 2 2 2 2 2 2 2 2 2 2 2 2 4 4 3" xfId="5324" xr:uid="{00000000-0005-0000-0000-0000C9140000}"/>
    <cellStyle name="Comma 2 2 2 2 2 2 2 2 2 2 2 2 2 2 2 2 2 2 2 4 4 4" xfId="5325" xr:uid="{00000000-0005-0000-0000-0000CA140000}"/>
    <cellStyle name="Comma 2 2 2 2 2 2 2 2 2 2 2 2 2 2 2 2 2 2 2 4 4 5" xfId="5326" xr:uid="{00000000-0005-0000-0000-0000CB140000}"/>
    <cellStyle name="Comma 2 2 2 2 2 2 2 2 2 2 2 2 2 2 2 2 2 2 2 4 4 6" xfId="5327" xr:uid="{00000000-0005-0000-0000-0000CC140000}"/>
    <cellStyle name="Comma 2 2 2 2 2 2 2 2 2 2 2 2 2 2 2 2 2 2 2 4 4 6 2" xfId="5328" xr:uid="{00000000-0005-0000-0000-0000CD140000}"/>
    <cellStyle name="Comma 2 2 2 2 2 2 2 2 2 2 2 2 2 2 2 2 2 2 2 4 4 7" xfId="5329" xr:uid="{00000000-0005-0000-0000-0000CE140000}"/>
    <cellStyle name="Comma 2 2 2 2 2 2 2 2 2 2 2 2 2 2 2 2 2 2 2 4 4 8" xfId="5330" xr:uid="{00000000-0005-0000-0000-0000CF140000}"/>
    <cellStyle name="Comma 2 2 2 2 2 2 2 2 2 2 2 2 2 2 2 2 2 2 2 4 4 9" xfId="5331" xr:uid="{00000000-0005-0000-0000-0000D0140000}"/>
    <cellStyle name="Comma 2 2 2 2 2 2 2 2 2 2 2 2 2 2 2 2 2 2 2 4 5" xfId="5332" xr:uid="{00000000-0005-0000-0000-0000D1140000}"/>
    <cellStyle name="Comma 2 2 2 2 2 2 2 2 2 2 2 2 2 2 2 2 2 2 2 4 5 10" xfId="5333" xr:uid="{00000000-0005-0000-0000-0000D2140000}"/>
    <cellStyle name="Comma 2 2 2 2 2 2 2 2 2 2 2 2 2 2 2 2 2 2 2 4 5 11" xfId="5334" xr:uid="{00000000-0005-0000-0000-0000D3140000}"/>
    <cellStyle name="Comma 2 2 2 2 2 2 2 2 2 2 2 2 2 2 2 2 2 2 2 4 5 12" xfId="5335" xr:uid="{00000000-0005-0000-0000-0000D4140000}"/>
    <cellStyle name="Comma 2 2 2 2 2 2 2 2 2 2 2 2 2 2 2 2 2 2 2 4 5 2" xfId="5336" xr:uid="{00000000-0005-0000-0000-0000D5140000}"/>
    <cellStyle name="Comma 2 2 2 2 2 2 2 2 2 2 2 2 2 2 2 2 2 2 2 4 5 3" xfId="5337" xr:uid="{00000000-0005-0000-0000-0000D6140000}"/>
    <cellStyle name="Comma 2 2 2 2 2 2 2 2 2 2 2 2 2 2 2 2 2 2 2 4 5 4" xfId="5338" xr:uid="{00000000-0005-0000-0000-0000D7140000}"/>
    <cellStyle name="Comma 2 2 2 2 2 2 2 2 2 2 2 2 2 2 2 2 2 2 2 4 5 5" xfId="5339" xr:uid="{00000000-0005-0000-0000-0000D8140000}"/>
    <cellStyle name="Comma 2 2 2 2 2 2 2 2 2 2 2 2 2 2 2 2 2 2 2 4 5 6" xfId="5340" xr:uid="{00000000-0005-0000-0000-0000D9140000}"/>
    <cellStyle name="Comma 2 2 2 2 2 2 2 2 2 2 2 2 2 2 2 2 2 2 2 4 5 6 2" xfId="5341" xr:uid="{00000000-0005-0000-0000-0000DA140000}"/>
    <cellStyle name="Comma 2 2 2 2 2 2 2 2 2 2 2 2 2 2 2 2 2 2 2 4 5 7" xfId="5342" xr:uid="{00000000-0005-0000-0000-0000DB140000}"/>
    <cellStyle name="Comma 2 2 2 2 2 2 2 2 2 2 2 2 2 2 2 2 2 2 2 4 5 8" xfId="5343" xr:uid="{00000000-0005-0000-0000-0000DC140000}"/>
    <cellStyle name="Comma 2 2 2 2 2 2 2 2 2 2 2 2 2 2 2 2 2 2 2 4 5 9" xfId="5344" xr:uid="{00000000-0005-0000-0000-0000DD140000}"/>
    <cellStyle name="Comma 2 2 2 2 2 2 2 2 2 2 2 2 2 2 2 2 2 2 2 4 6" xfId="5345" xr:uid="{00000000-0005-0000-0000-0000DE140000}"/>
    <cellStyle name="Comma 2 2 2 2 2 2 2 2 2 2 2 2 2 2 2 2 2 2 2 4 6 2" xfId="5346" xr:uid="{00000000-0005-0000-0000-0000DF140000}"/>
    <cellStyle name="Comma 2 2 2 2 2 2 2 2 2 2 2 2 2 2 2 2 2 2 2 4 6 3" xfId="5347" xr:uid="{00000000-0005-0000-0000-0000E0140000}"/>
    <cellStyle name="Comma 2 2 2 2 2 2 2 2 2 2 2 2 2 2 2 2 2 2 2 4 6 4" xfId="5348" xr:uid="{00000000-0005-0000-0000-0000E1140000}"/>
    <cellStyle name="Comma 2 2 2 2 2 2 2 2 2 2 2 2 2 2 2 2 2 2 2 4 6 5" xfId="5349" xr:uid="{00000000-0005-0000-0000-0000E2140000}"/>
    <cellStyle name="Comma 2 2 2 2 2 2 2 2 2 2 2 2 2 2 2 2 2 2 2 4 6 6" xfId="5350" xr:uid="{00000000-0005-0000-0000-0000E3140000}"/>
    <cellStyle name="Comma 2 2 2 2 2 2 2 2 2 2 2 2 2 2 2 2 2 2 2 4 6 7" xfId="5351" xr:uid="{00000000-0005-0000-0000-0000E4140000}"/>
    <cellStyle name="Comma 2 2 2 2 2 2 2 2 2 2 2 2 2 2 2 2 2 2 2 4 6 8" xfId="5352" xr:uid="{00000000-0005-0000-0000-0000E5140000}"/>
    <cellStyle name="Comma 2 2 2 2 2 2 2 2 2 2 2 2 2 2 2 2 2 2 2 4 7" xfId="5353" xr:uid="{00000000-0005-0000-0000-0000E6140000}"/>
    <cellStyle name="Comma 2 2 2 2 2 2 2 2 2 2 2 2 2 2 2 2 2 2 2 4 7 2" xfId="5354" xr:uid="{00000000-0005-0000-0000-0000E7140000}"/>
    <cellStyle name="Comma 2 2 2 2 2 2 2 2 2 2 2 2 2 2 2 2 2 2 2 4 7 3" xfId="5355" xr:uid="{00000000-0005-0000-0000-0000E8140000}"/>
    <cellStyle name="Comma 2 2 2 2 2 2 2 2 2 2 2 2 2 2 2 2 2 2 2 4 7 4" xfId="5356" xr:uid="{00000000-0005-0000-0000-0000E9140000}"/>
    <cellStyle name="Comma 2 2 2 2 2 2 2 2 2 2 2 2 2 2 2 2 2 2 2 4 7 5" xfId="5357" xr:uid="{00000000-0005-0000-0000-0000EA140000}"/>
    <cellStyle name="Comma 2 2 2 2 2 2 2 2 2 2 2 2 2 2 2 2 2 2 2 4 7 6" xfId="5358" xr:uid="{00000000-0005-0000-0000-0000EB140000}"/>
    <cellStyle name="Comma 2 2 2 2 2 2 2 2 2 2 2 2 2 2 2 2 2 2 2 4 7 7" xfId="5359" xr:uid="{00000000-0005-0000-0000-0000EC140000}"/>
    <cellStyle name="Comma 2 2 2 2 2 2 2 2 2 2 2 2 2 2 2 2 2 2 2 4 7 8" xfId="5360" xr:uid="{00000000-0005-0000-0000-0000ED140000}"/>
    <cellStyle name="Comma 2 2 2 2 2 2 2 2 2 2 2 2 2 2 2 2 2 2 2 4 8" xfId="5361" xr:uid="{00000000-0005-0000-0000-0000EE140000}"/>
    <cellStyle name="Comma 2 2 2 2 2 2 2 2 2 2 2 2 2 2 2 2 2 2 2 4 8 2" xfId="5362" xr:uid="{00000000-0005-0000-0000-0000EF140000}"/>
    <cellStyle name="Comma 2 2 2 2 2 2 2 2 2 2 2 2 2 2 2 2 2 2 2 4 8 3" xfId="5363" xr:uid="{00000000-0005-0000-0000-0000F0140000}"/>
    <cellStyle name="Comma 2 2 2 2 2 2 2 2 2 2 2 2 2 2 2 2 2 2 2 4 8 4" xfId="5364" xr:uid="{00000000-0005-0000-0000-0000F1140000}"/>
    <cellStyle name="Comma 2 2 2 2 2 2 2 2 2 2 2 2 2 2 2 2 2 2 2 4 8 5" xfId="5365" xr:uid="{00000000-0005-0000-0000-0000F2140000}"/>
    <cellStyle name="Comma 2 2 2 2 2 2 2 2 2 2 2 2 2 2 2 2 2 2 2 4 8 6" xfId="5366" xr:uid="{00000000-0005-0000-0000-0000F3140000}"/>
    <cellStyle name="Comma 2 2 2 2 2 2 2 2 2 2 2 2 2 2 2 2 2 2 2 4 8 7" xfId="5367" xr:uid="{00000000-0005-0000-0000-0000F4140000}"/>
    <cellStyle name="Comma 2 2 2 2 2 2 2 2 2 2 2 2 2 2 2 2 2 2 2 4 8 8" xfId="5368" xr:uid="{00000000-0005-0000-0000-0000F5140000}"/>
    <cellStyle name="Comma 2 2 2 2 2 2 2 2 2 2 2 2 2 2 2 2 2 2 2 4 9" xfId="5369" xr:uid="{00000000-0005-0000-0000-0000F6140000}"/>
    <cellStyle name="Comma 2 2 2 2 2 2 2 2 2 2 2 2 2 2 2 2 2 2 2 4 9 2" xfId="5370" xr:uid="{00000000-0005-0000-0000-0000F7140000}"/>
    <cellStyle name="Comma 2 2 2 2 2 2 2 2 2 2 2 2 2 2 2 2 2 2 2 4 9 3" xfId="5371" xr:uid="{00000000-0005-0000-0000-0000F8140000}"/>
    <cellStyle name="Comma 2 2 2 2 2 2 2 2 2 2 2 2 2 2 2 2 2 2 2 4 9 4" xfId="5372" xr:uid="{00000000-0005-0000-0000-0000F9140000}"/>
    <cellStyle name="Comma 2 2 2 2 2 2 2 2 2 2 2 2 2 2 2 2 2 2 2 4 9 5" xfId="5373" xr:uid="{00000000-0005-0000-0000-0000FA140000}"/>
    <cellStyle name="Comma 2 2 2 2 2 2 2 2 2 2 2 2 2 2 2 2 2 2 2 4 9 6" xfId="5374" xr:uid="{00000000-0005-0000-0000-0000FB140000}"/>
    <cellStyle name="Comma 2 2 2 2 2 2 2 2 2 2 2 2 2 2 2 2 2 2 2 4 9 7" xfId="5375" xr:uid="{00000000-0005-0000-0000-0000FC140000}"/>
    <cellStyle name="Comma 2 2 2 2 2 2 2 2 2 2 2 2 2 2 2 2 2 2 2 4 9 8" xfId="5376" xr:uid="{00000000-0005-0000-0000-0000FD140000}"/>
    <cellStyle name="Comma 2 2 2 2 2 2 2 2 2 2 2 2 2 2 2 2 2 2 2 5" xfId="5377" xr:uid="{00000000-0005-0000-0000-0000FE140000}"/>
    <cellStyle name="Comma 2 2 2 2 2 2 2 2 2 2 2 2 2 2 2 2 2 2 2 5 2" xfId="5378" xr:uid="{00000000-0005-0000-0000-0000FF140000}"/>
    <cellStyle name="Comma 2 2 2 2 2 2 2 2 2 2 2 2 2 2 2 2 2 2 2 5 2 10" xfId="5379" xr:uid="{00000000-0005-0000-0000-000000150000}"/>
    <cellStyle name="Comma 2 2 2 2 2 2 2 2 2 2 2 2 2 2 2 2 2 2 2 5 2 11" xfId="5380" xr:uid="{00000000-0005-0000-0000-000001150000}"/>
    <cellStyle name="Comma 2 2 2 2 2 2 2 2 2 2 2 2 2 2 2 2 2 2 2 5 2 12" xfId="5381" xr:uid="{00000000-0005-0000-0000-000002150000}"/>
    <cellStyle name="Comma 2 2 2 2 2 2 2 2 2 2 2 2 2 2 2 2 2 2 2 5 2 2" xfId="5382" xr:uid="{00000000-0005-0000-0000-000003150000}"/>
    <cellStyle name="Comma 2 2 2 2 2 2 2 2 2 2 2 2 2 2 2 2 2 2 2 5 2 2 2" xfId="5383" xr:uid="{00000000-0005-0000-0000-000004150000}"/>
    <cellStyle name="Comma 2 2 2 2 2 2 2 2 2 2 2 2 2 2 2 2 2 2 2 5 2 2 3" xfId="5384" xr:uid="{00000000-0005-0000-0000-000005150000}"/>
    <cellStyle name="Comma 2 2 2 2 2 2 2 2 2 2 2 2 2 2 2 2 2 2 2 5 2 2 4" xfId="5385" xr:uid="{00000000-0005-0000-0000-000006150000}"/>
    <cellStyle name="Comma 2 2 2 2 2 2 2 2 2 2 2 2 2 2 2 2 2 2 2 5 2 3" xfId="5386" xr:uid="{00000000-0005-0000-0000-000007150000}"/>
    <cellStyle name="Comma 2 2 2 2 2 2 2 2 2 2 2 2 2 2 2 2 2 2 2 5 2 3 2" xfId="5387" xr:uid="{00000000-0005-0000-0000-000008150000}"/>
    <cellStyle name="Comma 2 2 2 2 2 2 2 2 2 2 2 2 2 2 2 2 2 2 2 5 2 4" xfId="5388" xr:uid="{00000000-0005-0000-0000-000009150000}"/>
    <cellStyle name="Comma 2 2 2 2 2 2 2 2 2 2 2 2 2 2 2 2 2 2 2 5 2 5" xfId="5389" xr:uid="{00000000-0005-0000-0000-00000A150000}"/>
    <cellStyle name="Comma 2 2 2 2 2 2 2 2 2 2 2 2 2 2 2 2 2 2 2 5 2 6" xfId="5390" xr:uid="{00000000-0005-0000-0000-00000B150000}"/>
    <cellStyle name="Comma 2 2 2 2 2 2 2 2 2 2 2 2 2 2 2 2 2 2 2 5 2 6 2" xfId="5391" xr:uid="{00000000-0005-0000-0000-00000C150000}"/>
    <cellStyle name="Comma 2 2 2 2 2 2 2 2 2 2 2 2 2 2 2 2 2 2 2 5 2 7" xfId="5392" xr:uid="{00000000-0005-0000-0000-00000D150000}"/>
    <cellStyle name="Comma 2 2 2 2 2 2 2 2 2 2 2 2 2 2 2 2 2 2 2 5 2 8" xfId="5393" xr:uid="{00000000-0005-0000-0000-00000E150000}"/>
    <cellStyle name="Comma 2 2 2 2 2 2 2 2 2 2 2 2 2 2 2 2 2 2 2 5 2 9" xfId="5394" xr:uid="{00000000-0005-0000-0000-00000F150000}"/>
    <cellStyle name="Comma 2 2 2 2 2 2 2 2 2 2 2 2 2 2 2 2 2 2 2 5 3" xfId="5395" xr:uid="{00000000-0005-0000-0000-000010150000}"/>
    <cellStyle name="Comma 2 2 2 2 2 2 2 2 2 2 2 2 2 2 2 2 2 2 2 5 3 10" xfId="5396" xr:uid="{00000000-0005-0000-0000-000011150000}"/>
    <cellStyle name="Comma 2 2 2 2 2 2 2 2 2 2 2 2 2 2 2 2 2 2 2 5 3 11" xfId="5397" xr:uid="{00000000-0005-0000-0000-000012150000}"/>
    <cellStyle name="Comma 2 2 2 2 2 2 2 2 2 2 2 2 2 2 2 2 2 2 2 5 3 12" xfId="5398" xr:uid="{00000000-0005-0000-0000-000013150000}"/>
    <cellStyle name="Comma 2 2 2 2 2 2 2 2 2 2 2 2 2 2 2 2 2 2 2 5 3 2" xfId="5399" xr:uid="{00000000-0005-0000-0000-000014150000}"/>
    <cellStyle name="Comma 2 2 2 2 2 2 2 2 2 2 2 2 2 2 2 2 2 2 2 5 3 3" xfId="5400" xr:uid="{00000000-0005-0000-0000-000015150000}"/>
    <cellStyle name="Comma 2 2 2 2 2 2 2 2 2 2 2 2 2 2 2 2 2 2 2 5 3 4" xfId="5401" xr:uid="{00000000-0005-0000-0000-000016150000}"/>
    <cellStyle name="Comma 2 2 2 2 2 2 2 2 2 2 2 2 2 2 2 2 2 2 2 5 3 5" xfId="5402" xr:uid="{00000000-0005-0000-0000-000017150000}"/>
    <cellStyle name="Comma 2 2 2 2 2 2 2 2 2 2 2 2 2 2 2 2 2 2 2 5 3 6" xfId="5403" xr:uid="{00000000-0005-0000-0000-000018150000}"/>
    <cellStyle name="Comma 2 2 2 2 2 2 2 2 2 2 2 2 2 2 2 2 2 2 2 5 3 6 2" xfId="5404" xr:uid="{00000000-0005-0000-0000-000019150000}"/>
    <cellStyle name="Comma 2 2 2 2 2 2 2 2 2 2 2 2 2 2 2 2 2 2 2 5 3 7" xfId="5405" xr:uid="{00000000-0005-0000-0000-00001A150000}"/>
    <cellStyle name="Comma 2 2 2 2 2 2 2 2 2 2 2 2 2 2 2 2 2 2 2 5 3 8" xfId="5406" xr:uid="{00000000-0005-0000-0000-00001B150000}"/>
    <cellStyle name="Comma 2 2 2 2 2 2 2 2 2 2 2 2 2 2 2 2 2 2 2 5 3 9" xfId="5407" xr:uid="{00000000-0005-0000-0000-00001C150000}"/>
    <cellStyle name="Comma 2 2 2 2 2 2 2 2 2 2 2 2 2 2 2 2 2 2 2 5 4" xfId="5408" xr:uid="{00000000-0005-0000-0000-00001D150000}"/>
    <cellStyle name="Comma 2 2 2 2 2 2 2 2 2 2 2 2 2 2 2 2 2 2 2 5 4 10" xfId="5409" xr:uid="{00000000-0005-0000-0000-00001E150000}"/>
    <cellStyle name="Comma 2 2 2 2 2 2 2 2 2 2 2 2 2 2 2 2 2 2 2 5 4 11" xfId="5410" xr:uid="{00000000-0005-0000-0000-00001F150000}"/>
    <cellStyle name="Comma 2 2 2 2 2 2 2 2 2 2 2 2 2 2 2 2 2 2 2 5 4 12" xfId="5411" xr:uid="{00000000-0005-0000-0000-000020150000}"/>
    <cellStyle name="Comma 2 2 2 2 2 2 2 2 2 2 2 2 2 2 2 2 2 2 2 5 4 2" xfId="5412" xr:uid="{00000000-0005-0000-0000-000021150000}"/>
    <cellStyle name="Comma 2 2 2 2 2 2 2 2 2 2 2 2 2 2 2 2 2 2 2 5 4 3" xfId="5413" xr:uid="{00000000-0005-0000-0000-000022150000}"/>
    <cellStyle name="Comma 2 2 2 2 2 2 2 2 2 2 2 2 2 2 2 2 2 2 2 5 4 4" xfId="5414" xr:uid="{00000000-0005-0000-0000-000023150000}"/>
    <cellStyle name="Comma 2 2 2 2 2 2 2 2 2 2 2 2 2 2 2 2 2 2 2 5 4 5" xfId="5415" xr:uid="{00000000-0005-0000-0000-000024150000}"/>
    <cellStyle name="Comma 2 2 2 2 2 2 2 2 2 2 2 2 2 2 2 2 2 2 2 5 4 6" xfId="5416" xr:uid="{00000000-0005-0000-0000-000025150000}"/>
    <cellStyle name="Comma 2 2 2 2 2 2 2 2 2 2 2 2 2 2 2 2 2 2 2 5 4 6 2" xfId="5417" xr:uid="{00000000-0005-0000-0000-000026150000}"/>
    <cellStyle name="Comma 2 2 2 2 2 2 2 2 2 2 2 2 2 2 2 2 2 2 2 5 4 7" xfId="5418" xr:uid="{00000000-0005-0000-0000-000027150000}"/>
    <cellStyle name="Comma 2 2 2 2 2 2 2 2 2 2 2 2 2 2 2 2 2 2 2 5 4 8" xfId="5419" xr:uid="{00000000-0005-0000-0000-000028150000}"/>
    <cellStyle name="Comma 2 2 2 2 2 2 2 2 2 2 2 2 2 2 2 2 2 2 2 5 4 9" xfId="5420" xr:uid="{00000000-0005-0000-0000-000029150000}"/>
    <cellStyle name="Comma 2 2 2 2 2 2 2 2 2 2 2 2 2 2 2 2 2 2 2 5 5" xfId="5421" xr:uid="{00000000-0005-0000-0000-00002A150000}"/>
    <cellStyle name="Comma 2 2 2 2 2 2 2 2 2 2 2 2 2 2 2 2 2 2 2 5 5 2" xfId="5422" xr:uid="{00000000-0005-0000-0000-00002B150000}"/>
    <cellStyle name="Comma 2 2 2 2 2 2 2 2 2 2 2 2 2 2 2 2 2 2 2 5 5 3" xfId="5423" xr:uid="{00000000-0005-0000-0000-00002C150000}"/>
    <cellStyle name="Comma 2 2 2 2 2 2 2 2 2 2 2 2 2 2 2 2 2 2 2 5 5 4" xfId="5424" xr:uid="{00000000-0005-0000-0000-00002D150000}"/>
    <cellStyle name="Comma 2 2 2 2 2 2 2 2 2 2 2 2 2 2 2 2 2 2 2 5 5 5" xfId="5425" xr:uid="{00000000-0005-0000-0000-00002E150000}"/>
    <cellStyle name="Comma 2 2 2 2 2 2 2 2 2 2 2 2 2 2 2 2 2 2 2 5 5 6" xfId="5426" xr:uid="{00000000-0005-0000-0000-00002F150000}"/>
    <cellStyle name="Comma 2 2 2 2 2 2 2 2 2 2 2 2 2 2 2 2 2 2 2 5 5 7" xfId="5427" xr:uid="{00000000-0005-0000-0000-000030150000}"/>
    <cellStyle name="Comma 2 2 2 2 2 2 2 2 2 2 2 2 2 2 2 2 2 2 2 5 5 8" xfId="5428" xr:uid="{00000000-0005-0000-0000-000031150000}"/>
    <cellStyle name="Comma 2 2 2 2 2 2 2 2 2 2 2 2 2 2 2 2 2 2 2 5 6" xfId="5429" xr:uid="{00000000-0005-0000-0000-000032150000}"/>
    <cellStyle name="Comma 2 2 2 2 2 2 2 2 2 2 2 2 2 2 2 2 2 2 2 5 6 2" xfId="5430" xr:uid="{00000000-0005-0000-0000-000033150000}"/>
    <cellStyle name="Comma 2 2 2 2 2 2 2 2 2 2 2 2 2 2 2 2 2 2 2 5 6 3" xfId="5431" xr:uid="{00000000-0005-0000-0000-000034150000}"/>
    <cellStyle name="Comma 2 2 2 2 2 2 2 2 2 2 2 2 2 2 2 2 2 2 2 5 6 4" xfId="5432" xr:uid="{00000000-0005-0000-0000-000035150000}"/>
    <cellStyle name="Comma 2 2 2 2 2 2 2 2 2 2 2 2 2 2 2 2 2 2 2 5 6 5" xfId="5433" xr:uid="{00000000-0005-0000-0000-000036150000}"/>
    <cellStyle name="Comma 2 2 2 2 2 2 2 2 2 2 2 2 2 2 2 2 2 2 2 5 6 6" xfId="5434" xr:uid="{00000000-0005-0000-0000-000037150000}"/>
    <cellStyle name="Comma 2 2 2 2 2 2 2 2 2 2 2 2 2 2 2 2 2 2 2 5 6 7" xfId="5435" xr:uid="{00000000-0005-0000-0000-000038150000}"/>
    <cellStyle name="Comma 2 2 2 2 2 2 2 2 2 2 2 2 2 2 2 2 2 2 2 5 6 8" xfId="5436" xr:uid="{00000000-0005-0000-0000-000039150000}"/>
    <cellStyle name="Comma 2 2 2 2 2 2 2 2 2 2 2 2 2 2 2 2 2 2 2 5 7" xfId="5437" xr:uid="{00000000-0005-0000-0000-00003A150000}"/>
    <cellStyle name="Comma 2 2 2 2 2 2 2 2 2 2 2 2 2 2 2 2 2 2 2 5 7 2" xfId="5438" xr:uid="{00000000-0005-0000-0000-00003B150000}"/>
    <cellStyle name="Comma 2 2 2 2 2 2 2 2 2 2 2 2 2 2 2 2 2 2 2 5 7 3" xfId="5439" xr:uid="{00000000-0005-0000-0000-00003C150000}"/>
    <cellStyle name="Comma 2 2 2 2 2 2 2 2 2 2 2 2 2 2 2 2 2 2 2 5 7 4" xfId="5440" xr:uid="{00000000-0005-0000-0000-00003D150000}"/>
    <cellStyle name="Comma 2 2 2 2 2 2 2 2 2 2 2 2 2 2 2 2 2 2 2 5 7 5" xfId="5441" xr:uid="{00000000-0005-0000-0000-00003E150000}"/>
    <cellStyle name="Comma 2 2 2 2 2 2 2 2 2 2 2 2 2 2 2 2 2 2 2 5 7 6" xfId="5442" xr:uid="{00000000-0005-0000-0000-00003F150000}"/>
    <cellStyle name="Comma 2 2 2 2 2 2 2 2 2 2 2 2 2 2 2 2 2 2 2 5 7 7" xfId="5443" xr:uid="{00000000-0005-0000-0000-000040150000}"/>
    <cellStyle name="Comma 2 2 2 2 2 2 2 2 2 2 2 2 2 2 2 2 2 2 2 5 7 8" xfId="5444" xr:uid="{00000000-0005-0000-0000-000041150000}"/>
    <cellStyle name="Comma 2 2 2 2 2 2 2 2 2 2 2 2 2 2 2 2 2 2 2 5 8" xfId="5445" xr:uid="{00000000-0005-0000-0000-000042150000}"/>
    <cellStyle name="Comma 2 2 2 2 2 2 2 2 2 2 2 2 2 2 2 2 2 2 2 6" xfId="5446" xr:uid="{00000000-0005-0000-0000-000043150000}"/>
    <cellStyle name="Comma 2 2 2 2 2 2 2 2 2 2 2 2 2 2 2 2 2 2 2 6 2" xfId="5447" xr:uid="{00000000-0005-0000-0000-000044150000}"/>
    <cellStyle name="Comma 2 2 2 2 2 2 2 2 2 2 2 2 2 2 2 2 2 2 2 6 2 10" xfId="5448" xr:uid="{00000000-0005-0000-0000-000045150000}"/>
    <cellStyle name="Comma 2 2 2 2 2 2 2 2 2 2 2 2 2 2 2 2 2 2 2 6 2 11" xfId="5449" xr:uid="{00000000-0005-0000-0000-000046150000}"/>
    <cellStyle name="Comma 2 2 2 2 2 2 2 2 2 2 2 2 2 2 2 2 2 2 2 6 2 12" xfId="5450" xr:uid="{00000000-0005-0000-0000-000047150000}"/>
    <cellStyle name="Comma 2 2 2 2 2 2 2 2 2 2 2 2 2 2 2 2 2 2 2 6 2 13" xfId="5451" xr:uid="{00000000-0005-0000-0000-000048150000}"/>
    <cellStyle name="Comma 2 2 2 2 2 2 2 2 2 2 2 2 2 2 2 2 2 2 2 6 2 2" xfId="5452" xr:uid="{00000000-0005-0000-0000-000049150000}"/>
    <cellStyle name="Comma 2 2 2 2 2 2 2 2 2 2 2 2 2 2 2 2 2 2 2 6 2 2 2" xfId="5453" xr:uid="{00000000-0005-0000-0000-00004A150000}"/>
    <cellStyle name="Comma 2 2 2 2 2 2 2 2 2 2 2 2 2 2 2 2 2 2 2 6 2 2 3" xfId="5454" xr:uid="{00000000-0005-0000-0000-00004B150000}"/>
    <cellStyle name="Comma 2 2 2 2 2 2 2 2 2 2 2 2 2 2 2 2 2 2 2 6 2 2 4" xfId="5455" xr:uid="{00000000-0005-0000-0000-00004C150000}"/>
    <cellStyle name="Comma 2 2 2 2 2 2 2 2 2 2 2 2 2 2 2 2 2 2 2 6 2 3" xfId="5456" xr:uid="{00000000-0005-0000-0000-00004D150000}"/>
    <cellStyle name="Comma 2 2 2 2 2 2 2 2 2 2 2 2 2 2 2 2 2 2 2 6 2 3 2" xfId="5457" xr:uid="{00000000-0005-0000-0000-00004E150000}"/>
    <cellStyle name="Comma 2 2 2 2 2 2 2 2 2 2 2 2 2 2 2 2 2 2 2 6 2 4" xfId="5458" xr:uid="{00000000-0005-0000-0000-00004F150000}"/>
    <cellStyle name="Comma 2 2 2 2 2 2 2 2 2 2 2 2 2 2 2 2 2 2 2 6 2 5" xfId="5459" xr:uid="{00000000-0005-0000-0000-000050150000}"/>
    <cellStyle name="Comma 2 2 2 2 2 2 2 2 2 2 2 2 2 2 2 2 2 2 2 6 2 6" xfId="5460" xr:uid="{00000000-0005-0000-0000-000051150000}"/>
    <cellStyle name="Comma 2 2 2 2 2 2 2 2 2 2 2 2 2 2 2 2 2 2 2 6 2 6 2" xfId="5461" xr:uid="{00000000-0005-0000-0000-000052150000}"/>
    <cellStyle name="Comma 2 2 2 2 2 2 2 2 2 2 2 2 2 2 2 2 2 2 2 6 2 7" xfId="5462" xr:uid="{00000000-0005-0000-0000-000053150000}"/>
    <cellStyle name="Comma 2 2 2 2 2 2 2 2 2 2 2 2 2 2 2 2 2 2 2 6 2 8" xfId="5463" xr:uid="{00000000-0005-0000-0000-000054150000}"/>
    <cellStyle name="Comma 2 2 2 2 2 2 2 2 2 2 2 2 2 2 2 2 2 2 2 6 2 9" xfId="5464" xr:uid="{00000000-0005-0000-0000-000055150000}"/>
    <cellStyle name="Comma 2 2 2 2 2 2 2 2 2 2 2 2 2 2 2 2 2 2 2 6 3" xfId="5465" xr:uid="{00000000-0005-0000-0000-000056150000}"/>
    <cellStyle name="Comma 2 2 2 2 2 2 2 2 2 2 2 2 2 2 2 2 2 2 2 6 3 10" xfId="5466" xr:uid="{00000000-0005-0000-0000-000057150000}"/>
    <cellStyle name="Comma 2 2 2 2 2 2 2 2 2 2 2 2 2 2 2 2 2 2 2 6 3 11" xfId="5467" xr:uid="{00000000-0005-0000-0000-000058150000}"/>
    <cellStyle name="Comma 2 2 2 2 2 2 2 2 2 2 2 2 2 2 2 2 2 2 2 6 3 12" xfId="5468" xr:uid="{00000000-0005-0000-0000-000059150000}"/>
    <cellStyle name="Comma 2 2 2 2 2 2 2 2 2 2 2 2 2 2 2 2 2 2 2 6 3 2" xfId="5469" xr:uid="{00000000-0005-0000-0000-00005A150000}"/>
    <cellStyle name="Comma 2 2 2 2 2 2 2 2 2 2 2 2 2 2 2 2 2 2 2 6 3 3" xfId="5470" xr:uid="{00000000-0005-0000-0000-00005B150000}"/>
    <cellStyle name="Comma 2 2 2 2 2 2 2 2 2 2 2 2 2 2 2 2 2 2 2 6 3 4" xfId="5471" xr:uid="{00000000-0005-0000-0000-00005C150000}"/>
    <cellStyle name="Comma 2 2 2 2 2 2 2 2 2 2 2 2 2 2 2 2 2 2 2 6 3 5" xfId="5472" xr:uid="{00000000-0005-0000-0000-00005D150000}"/>
    <cellStyle name="Comma 2 2 2 2 2 2 2 2 2 2 2 2 2 2 2 2 2 2 2 6 3 6" xfId="5473" xr:uid="{00000000-0005-0000-0000-00005E150000}"/>
    <cellStyle name="Comma 2 2 2 2 2 2 2 2 2 2 2 2 2 2 2 2 2 2 2 6 3 6 2" xfId="5474" xr:uid="{00000000-0005-0000-0000-00005F150000}"/>
    <cellStyle name="Comma 2 2 2 2 2 2 2 2 2 2 2 2 2 2 2 2 2 2 2 6 3 7" xfId="5475" xr:uid="{00000000-0005-0000-0000-000060150000}"/>
    <cellStyle name="Comma 2 2 2 2 2 2 2 2 2 2 2 2 2 2 2 2 2 2 2 6 3 8" xfId="5476" xr:uid="{00000000-0005-0000-0000-000061150000}"/>
    <cellStyle name="Comma 2 2 2 2 2 2 2 2 2 2 2 2 2 2 2 2 2 2 2 6 3 9" xfId="5477" xr:uid="{00000000-0005-0000-0000-000062150000}"/>
    <cellStyle name="Comma 2 2 2 2 2 2 2 2 2 2 2 2 2 2 2 2 2 2 2 6 4" xfId="5478" xr:uid="{00000000-0005-0000-0000-000063150000}"/>
    <cellStyle name="Comma 2 2 2 2 2 2 2 2 2 2 2 2 2 2 2 2 2 2 2 6 4 2" xfId="5479" xr:uid="{00000000-0005-0000-0000-000064150000}"/>
    <cellStyle name="Comma 2 2 2 2 2 2 2 2 2 2 2 2 2 2 2 2 2 2 2 6 4 3" xfId="5480" xr:uid="{00000000-0005-0000-0000-000065150000}"/>
    <cellStyle name="Comma 2 2 2 2 2 2 2 2 2 2 2 2 2 2 2 2 2 2 2 6 4 4" xfId="5481" xr:uid="{00000000-0005-0000-0000-000066150000}"/>
    <cellStyle name="Comma 2 2 2 2 2 2 2 2 2 2 2 2 2 2 2 2 2 2 2 6 4 5" xfId="5482" xr:uid="{00000000-0005-0000-0000-000067150000}"/>
    <cellStyle name="Comma 2 2 2 2 2 2 2 2 2 2 2 2 2 2 2 2 2 2 2 6 4 6" xfId="5483" xr:uid="{00000000-0005-0000-0000-000068150000}"/>
    <cellStyle name="Comma 2 2 2 2 2 2 2 2 2 2 2 2 2 2 2 2 2 2 2 6 4 7" xfId="5484" xr:uid="{00000000-0005-0000-0000-000069150000}"/>
    <cellStyle name="Comma 2 2 2 2 2 2 2 2 2 2 2 2 2 2 2 2 2 2 2 6 4 8" xfId="5485" xr:uid="{00000000-0005-0000-0000-00006A150000}"/>
    <cellStyle name="Comma 2 2 2 2 2 2 2 2 2 2 2 2 2 2 2 2 2 2 2 6 5" xfId="5486" xr:uid="{00000000-0005-0000-0000-00006B150000}"/>
    <cellStyle name="Comma 2 2 2 2 2 2 2 2 2 2 2 2 2 2 2 2 2 2 2 6 5 2" xfId="5487" xr:uid="{00000000-0005-0000-0000-00006C150000}"/>
    <cellStyle name="Comma 2 2 2 2 2 2 2 2 2 2 2 2 2 2 2 2 2 2 2 6 5 3" xfId="5488" xr:uid="{00000000-0005-0000-0000-00006D150000}"/>
    <cellStyle name="Comma 2 2 2 2 2 2 2 2 2 2 2 2 2 2 2 2 2 2 2 6 5 4" xfId="5489" xr:uid="{00000000-0005-0000-0000-00006E150000}"/>
    <cellStyle name="Comma 2 2 2 2 2 2 2 2 2 2 2 2 2 2 2 2 2 2 2 6 5 5" xfId="5490" xr:uid="{00000000-0005-0000-0000-00006F150000}"/>
    <cellStyle name="Comma 2 2 2 2 2 2 2 2 2 2 2 2 2 2 2 2 2 2 2 6 5 6" xfId="5491" xr:uid="{00000000-0005-0000-0000-000070150000}"/>
    <cellStyle name="Comma 2 2 2 2 2 2 2 2 2 2 2 2 2 2 2 2 2 2 2 6 5 7" xfId="5492" xr:uid="{00000000-0005-0000-0000-000071150000}"/>
    <cellStyle name="Comma 2 2 2 2 2 2 2 2 2 2 2 2 2 2 2 2 2 2 2 6 5 8" xfId="5493" xr:uid="{00000000-0005-0000-0000-000072150000}"/>
    <cellStyle name="Comma 2 2 2 2 2 2 2 2 2 2 2 2 2 2 2 2 2 2 2 6 6" xfId="5494" xr:uid="{00000000-0005-0000-0000-000073150000}"/>
    <cellStyle name="Comma 2 2 2 2 2 2 2 2 2 2 2 2 2 2 2 2 2 2 2 6 7" xfId="5495" xr:uid="{00000000-0005-0000-0000-000074150000}"/>
    <cellStyle name="Comma 2 2 2 2 2 2 2 2 2 2 2 2 2 2 2 2 2 2 2 7" xfId="5496" xr:uid="{00000000-0005-0000-0000-000075150000}"/>
    <cellStyle name="Comma 2 2 2 2 2 2 2 2 2 2 2 2 2 2 2 2 2 2 2 7 2" xfId="5497" xr:uid="{00000000-0005-0000-0000-000076150000}"/>
    <cellStyle name="Comma 2 2 2 2 2 2 2 2 2 2 2 2 2 2 2 2 2 2 2 7 2 10" xfId="5498" xr:uid="{00000000-0005-0000-0000-000077150000}"/>
    <cellStyle name="Comma 2 2 2 2 2 2 2 2 2 2 2 2 2 2 2 2 2 2 2 7 2 11" xfId="5499" xr:uid="{00000000-0005-0000-0000-000078150000}"/>
    <cellStyle name="Comma 2 2 2 2 2 2 2 2 2 2 2 2 2 2 2 2 2 2 2 7 2 12" xfId="5500" xr:uid="{00000000-0005-0000-0000-000079150000}"/>
    <cellStyle name="Comma 2 2 2 2 2 2 2 2 2 2 2 2 2 2 2 2 2 2 2 7 2 2" xfId="5501" xr:uid="{00000000-0005-0000-0000-00007A150000}"/>
    <cellStyle name="Comma 2 2 2 2 2 2 2 2 2 2 2 2 2 2 2 2 2 2 2 7 2 2 2" xfId="5502" xr:uid="{00000000-0005-0000-0000-00007B150000}"/>
    <cellStyle name="Comma 2 2 2 2 2 2 2 2 2 2 2 2 2 2 2 2 2 2 2 7 2 2 3" xfId="5503" xr:uid="{00000000-0005-0000-0000-00007C150000}"/>
    <cellStyle name="Comma 2 2 2 2 2 2 2 2 2 2 2 2 2 2 2 2 2 2 2 7 2 2 4" xfId="5504" xr:uid="{00000000-0005-0000-0000-00007D150000}"/>
    <cellStyle name="Comma 2 2 2 2 2 2 2 2 2 2 2 2 2 2 2 2 2 2 2 7 2 3" xfId="5505" xr:uid="{00000000-0005-0000-0000-00007E150000}"/>
    <cellStyle name="Comma 2 2 2 2 2 2 2 2 2 2 2 2 2 2 2 2 2 2 2 7 2 3 2" xfId="5506" xr:uid="{00000000-0005-0000-0000-00007F150000}"/>
    <cellStyle name="Comma 2 2 2 2 2 2 2 2 2 2 2 2 2 2 2 2 2 2 2 7 2 4" xfId="5507" xr:uid="{00000000-0005-0000-0000-000080150000}"/>
    <cellStyle name="Comma 2 2 2 2 2 2 2 2 2 2 2 2 2 2 2 2 2 2 2 7 2 5" xfId="5508" xr:uid="{00000000-0005-0000-0000-000081150000}"/>
    <cellStyle name="Comma 2 2 2 2 2 2 2 2 2 2 2 2 2 2 2 2 2 2 2 7 2 6" xfId="5509" xr:uid="{00000000-0005-0000-0000-000082150000}"/>
    <cellStyle name="Comma 2 2 2 2 2 2 2 2 2 2 2 2 2 2 2 2 2 2 2 7 2 6 2" xfId="5510" xr:uid="{00000000-0005-0000-0000-000083150000}"/>
    <cellStyle name="Comma 2 2 2 2 2 2 2 2 2 2 2 2 2 2 2 2 2 2 2 7 2 7" xfId="5511" xr:uid="{00000000-0005-0000-0000-000084150000}"/>
    <cellStyle name="Comma 2 2 2 2 2 2 2 2 2 2 2 2 2 2 2 2 2 2 2 7 2 8" xfId="5512" xr:uid="{00000000-0005-0000-0000-000085150000}"/>
    <cellStyle name="Comma 2 2 2 2 2 2 2 2 2 2 2 2 2 2 2 2 2 2 2 7 2 9" xfId="5513" xr:uid="{00000000-0005-0000-0000-000086150000}"/>
    <cellStyle name="Comma 2 2 2 2 2 2 2 2 2 2 2 2 2 2 2 2 2 2 2 7 3" xfId="5514" xr:uid="{00000000-0005-0000-0000-000087150000}"/>
    <cellStyle name="Comma 2 2 2 2 2 2 2 2 2 2 2 2 2 2 2 2 2 2 2 7 3 2" xfId="5515" xr:uid="{00000000-0005-0000-0000-000088150000}"/>
    <cellStyle name="Comma 2 2 2 2 2 2 2 2 2 2 2 2 2 2 2 2 2 2 2 7 3 3" xfId="5516" xr:uid="{00000000-0005-0000-0000-000089150000}"/>
    <cellStyle name="Comma 2 2 2 2 2 2 2 2 2 2 2 2 2 2 2 2 2 2 2 7 3 4" xfId="5517" xr:uid="{00000000-0005-0000-0000-00008A150000}"/>
    <cellStyle name="Comma 2 2 2 2 2 2 2 2 2 2 2 2 2 2 2 2 2 2 2 7 3 5" xfId="5518" xr:uid="{00000000-0005-0000-0000-00008B150000}"/>
    <cellStyle name="Comma 2 2 2 2 2 2 2 2 2 2 2 2 2 2 2 2 2 2 2 7 3 6" xfId="5519" xr:uid="{00000000-0005-0000-0000-00008C150000}"/>
    <cellStyle name="Comma 2 2 2 2 2 2 2 2 2 2 2 2 2 2 2 2 2 2 2 7 3 7" xfId="5520" xr:uid="{00000000-0005-0000-0000-00008D150000}"/>
    <cellStyle name="Comma 2 2 2 2 2 2 2 2 2 2 2 2 2 2 2 2 2 2 2 7 3 8" xfId="5521" xr:uid="{00000000-0005-0000-0000-00008E150000}"/>
    <cellStyle name="Comma 2 2 2 2 2 2 2 2 2 2 2 2 2 2 2 2 2 2 2 8" xfId="5522" xr:uid="{00000000-0005-0000-0000-00008F150000}"/>
    <cellStyle name="Comma 2 2 2 2 2 2 2 2 2 2 2 2 2 2 2 2 2 2 2 8 2" xfId="5523" xr:uid="{00000000-0005-0000-0000-000090150000}"/>
    <cellStyle name="Comma 2 2 2 2 2 2 2 2 2 2 2 2 2 2 2 2 2 2 2 8 2 10" xfId="5524" xr:uid="{00000000-0005-0000-0000-000091150000}"/>
    <cellStyle name="Comma 2 2 2 2 2 2 2 2 2 2 2 2 2 2 2 2 2 2 2 8 2 11" xfId="5525" xr:uid="{00000000-0005-0000-0000-000092150000}"/>
    <cellStyle name="Comma 2 2 2 2 2 2 2 2 2 2 2 2 2 2 2 2 2 2 2 8 2 12" xfId="5526" xr:uid="{00000000-0005-0000-0000-000093150000}"/>
    <cellStyle name="Comma 2 2 2 2 2 2 2 2 2 2 2 2 2 2 2 2 2 2 2 8 2 2" xfId="5527" xr:uid="{00000000-0005-0000-0000-000094150000}"/>
    <cellStyle name="Comma 2 2 2 2 2 2 2 2 2 2 2 2 2 2 2 2 2 2 2 8 2 3" xfId="5528" xr:uid="{00000000-0005-0000-0000-000095150000}"/>
    <cellStyle name="Comma 2 2 2 2 2 2 2 2 2 2 2 2 2 2 2 2 2 2 2 8 2 4" xfId="5529" xr:uid="{00000000-0005-0000-0000-000096150000}"/>
    <cellStyle name="Comma 2 2 2 2 2 2 2 2 2 2 2 2 2 2 2 2 2 2 2 8 2 5" xfId="5530" xr:uid="{00000000-0005-0000-0000-000097150000}"/>
    <cellStyle name="Comma 2 2 2 2 2 2 2 2 2 2 2 2 2 2 2 2 2 2 2 8 2 6" xfId="5531" xr:uid="{00000000-0005-0000-0000-000098150000}"/>
    <cellStyle name="Comma 2 2 2 2 2 2 2 2 2 2 2 2 2 2 2 2 2 2 2 8 2 6 2" xfId="5532" xr:uid="{00000000-0005-0000-0000-000099150000}"/>
    <cellStyle name="Comma 2 2 2 2 2 2 2 2 2 2 2 2 2 2 2 2 2 2 2 8 2 7" xfId="5533" xr:uid="{00000000-0005-0000-0000-00009A150000}"/>
    <cellStyle name="Comma 2 2 2 2 2 2 2 2 2 2 2 2 2 2 2 2 2 2 2 8 2 8" xfId="5534" xr:uid="{00000000-0005-0000-0000-00009B150000}"/>
    <cellStyle name="Comma 2 2 2 2 2 2 2 2 2 2 2 2 2 2 2 2 2 2 2 8 2 9" xfId="5535" xr:uid="{00000000-0005-0000-0000-00009C150000}"/>
    <cellStyle name="Comma 2 2 2 2 2 2 2 2 2 2 2 2 2 2 2 2 2 2 2 9" xfId="5536" xr:uid="{00000000-0005-0000-0000-00009D150000}"/>
    <cellStyle name="Comma 2 2 2 2 2 2 2 2 2 2 2 2 2 2 2 2 2 2 2 9 2" xfId="5537" xr:uid="{00000000-0005-0000-0000-00009E150000}"/>
    <cellStyle name="Comma 2 2 2 2 2 2 2 2 2 2 2 2 2 2 2 2 2 2 2 9 2 2" xfId="5538" xr:uid="{00000000-0005-0000-0000-00009F150000}"/>
    <cellStyle name="Comma 2 2 2 2 2 2 2 2 2 2 2 2 2 2 2 2 2 2 2 9 3" xfId="5539" xr:uid="{00000000-0005-0000-0000-0000A0150000}"/>
    <cellStyle name="Comma 2 2 2 2 2 2 2 2 2 2 2 2 2 2 2 2 2 2 3" xfId="5540" xr:uid="{00000000-0005-0000-0000-0000A1150000}"/>
    <cellStyle name="Comma 2 2 2 2 2 2 2 2 2 2 2 2 2 2 2 2 2 2 3 10" xfId="5541" xr:uid="{00000000-0005-0000-0000-0000A2150000}"/>
    <cellStyle name="Comma 2 2 2 2 2 2 2 2 2 2 2 2 2 2 2 2 2 2 3 11" xfId="5542" xr:uid="{00000000-0005-0000-0000-0000A3150000}"/>
    <cellStyle name="Comma 2 2 2 2 2 2 2 2 2 2 2 2 2 2 2 2 2 2 3 12" xfId="5543" xr:uid="{00000000-0005-0000-0000-0000A4150000}"/>
    <cellStyle name="Comma 2 2 2 2 2 2 2 2 2 2 2 2 2 2 2 2 2 2 3 13" xfId="5544" xr:uid="{00000000-0005-0000-0000-0000A5150000}"/>
    <cellStyle name="Comma 2 2 2 2 2 2 2 2 2 2 2 2 2 2 2 2 2 2 3 14" xfId="5545" xr:uid="{00000000-0005-0000-0000-0000A6150000}"/>
    <cellStyle name="Comma 2 2 2 2 2 2 2 2 2 2 2 2 2 2 2 2 2 2 3 15" xfId="5546" xr:uid="{00000000-0005-0000-0000-0000A7150000}"/>
    <cellStyle name="Comma 2 2 2 2 2 2 2 2 2 2 2 2 2 2 2 2 2 2 3 16" xfId="5547" xr:uid="{00000000-0005-0000-0000-0000A8150000}"/>
    <cellStyle name="Comma 2 2 2 2 2 2 2 2 2 2 2 2 2 2 2 2 2 2 3 17" xfId="5548" xr:uid="{00000000-0005-0000-0000-0000A9150000}"/>
    <cellStyle name="Comma 2 2 2 2 2 2 2 2 2 2 2 2 2 2 2 2 2 2 3 17 2" xfId="5549" xr:uid="{00000000-0005-0000-0000-0000AA150000}"/>
    <cellStyle name="Comma 2 2 2 2 2 2 2 2 2 2 2 2 2 2 2 2 2 2 3 18" xfId="5550" xr:uid="{00000000-0005-0000-0000-0000AB150000}"/>
    <cellStyle name="Comma 2 2 2 2 2 2 2 2 2 2 2 2 2 2 2 2 2 2 3 19" xfId="5551" xr:uid="{00000000-0005-0000-0000-0000AC150000}"/>
    <cellStyle name="Comma 2 2 2 2 2 2 2 2 2 2 2 2 2 2 2 2 2 2 3 2" xfId="5552" xr:uid="{00000000-0005-0000-0000-0000AD150000}"/>
    <cellStyle name="Comma 2 2 2 2 2 2 2 2 2 2 2 2 2 2 2 2 2 2 3 2 2" xfId="5553" xr:uid="{00000000-0005-0000-0000-0000AE150000}"/>
    <cellStyle name="Comma 2 2 2 2 2 2 2 2 2 2 2 2 2 2 2 2 2 2 3 2 2 10" xfId="5554" xr:uid="{00000000-0005-0000-0000-0000AF150000}"/>
    <cellStyle name="Comma 2 2 2 2 2 2 2 2 2 2 2 2 2 2 2 2 2 2 3 2 2 11" xfId="5555" xr:uid="{00000000-0005-0000-0000-0000B0150000}"/>
    <cellStyle name="Comma 2 2 2 2 2 2 2 2 2 2 2 2 2 2 2 2 2 2 3 2 2 12" xfId="5556" xr:uid="{00000000-0005-0000-0000-0000B1150000}"/>
    <cellStyle name="Comma 2 2 2 2 2 2 2 2 2 2 2 2 2 2 2 2 2 2 3 2 2 2" xfId="5557" xr:uid="{00000000-0005-0000-0000-0000B2150000}"/>
    <cellStyle name="Comma 2 2 2 2 2 2 2 2 2 2 2 2 2 2 2 2 2 2 3 2 2 3" xfId="5558" xr:uid="{00000000-0005-0000-0000-0000B3150000}"/>
    <cellStyle name="Comma 2 2 2 2 2 2 2 2 2 2 2 2 2 2 2 2 2 2 3 2 2 4" xfId="5559" xr:uid="{00000000-0005-0000-0000-0000B4150000}"/>
    <cellStyle name="Comma 2 2 2 2 2 2 2 2 2 2 2 2 2 2 2 2 2 2 3 2 2 5" xfId="5560" xr:uid="{00000000-0005-0000-0000-0000B5150000}"/>
    <cellStyle name="Comma 2 2 2 2 2 2 2 2 2 2 2 2 2 2 2 2 2 2 3 2 2 6" xfId="5561" xr:uid="{00000000-0005-0000-0000-0000B6150000}"/>
    <cellStyle name="Comma 2 2 2 2 2 2 2 2 2 2 2 2 2 2 2 2 2 2 3 2 2 6 2" xfId="5562" xr:uid="{00000000-0005-0000-0000-0000B7150000}"/>
    <cellStyle name="Comma 2 2 2 2 2 2 2 2 2 2 2 2 2 2 2 2 2 2 3 2 2 7" xfId="5563" xr:uid="{00000000-0005-0000-0000-0000B8150000}"/>
    <cellStyle name="Comma 2 2 2 2 2 2 2 2 2 2 2 2 2 2 2 2 2 2 3 2 2 8" xfId="5564" xr:uid="{00000000-0005-0000-0000-0000B9150000}"/>
    <cellStyle name="Comma 2 2 2 2 2 2 2 2 2 2 2 2 2 2 2 2 2 2 3 2 2 9" xfId="5565" xr:uid="{00000000-0005-0000-0000-0000BA150000}"/>
    <cellStyle name="Comma 2 2 2 2 2 2 2 2 2 2 2 2 2 2 2 2 2 2 3 2 3" xfId="5566" xr:uid="{00000000-0005-0000-0000-0000BB150000}"/>
    <cellStyle name="Comma 2 2 2 2 2 2 2 2 2 2 2 2 2 2 2 2 2 2 3 2 3 10" xfId="5567" xr:uid="{00000000-0005-0000-0000-0000BC150000}"/>
    <cellStyle name="Comma 2 2 2 2 2 2 2 2 2 2 2 2 2 2 2 2 2 2 3 2 3 11" xfId="5568" xr:uid="{00000000-0005-0000-0000-0000BD150000}"/>
    <cellStyle name="Comma 2 2 2 2 2 2 2 2 2 2 2 2 2 2 2 2 2 2 3 2 3 12" xfId="5569" xr:uid="{00000000-0005-0000-0000-0000BE150000}"/>
    <cellStyle name="Comma 2 2 2 2 2 2 2 2 2 2 2 2 2 2 2 2 2 2 3 2 3 2" xfId="5570" xr:uid="{00000000-0005-0000-0000-0000BF150000}"/>
    <cellStyle name="Comma 2 2 2 2 2 2 2 2 2 2 2 2 2 2 2 2 2 2 3 2 3 3" xfId="5571" xr:uid="{00000000-0005-0000-0000-0000C0150000}"/>
    <cellStyle name="Comma 2 2 2 2 2 2 2 2 2 2 2 2 2 2 2 2 2 2 3 2 3 4" xfId="5572" xr:uid="{00000000-0005-0000-0000-0000C1150000}"/>
    <cellStyle name="Comma 2 2 2 2 2 2 2 2 2 2 2 2 2 2 2 2 2 2 3 2 3 5" xfId="5573" xr:uid="{00000000-0005-0000-0000-0000C2150000}"/>
    <cellStyle name="Comma 2 2 2 2 2 2 2 2 2 2 2 2 2 2 2 2 2 2 3 2 3 6" xfId="5574" xr:uid="{00000000-0005-0000-0000-0000C3150000}"/>
    <cellStyle name="Comma 2 2 2 2 2 2 2 2 2 2 2 2 2 2 2 2 2 2 3 2 3 6 2" xfId="5575" xr:uid="{00000000-0005-0000-0000-0000C4150000}"/>
    <cellStyle name="Comma 2 2 2 2 2 2 2 2 2 2 2 2 2 2 2 2 2 2 3 2 3 7" xfId="5576" xr:uid="{00000000-0005-0000-0000-0000C5150000}"/>
    <cellStyle name="Comma 2 2 2 2 2 2 2 2 2 2 2 2 2 2 2 2 2 2 3 2 3 8" xfId="5577" xr:uid="{00000000-0005-0000-0000-0000C6150000}"/>
    <cellStyle name="Comma 2 2 2 2 2 2 2 2 2 2 2 2 2 2 2 2 2 2 3 2 3 9" xfId="5578" xr:uid="{00000000-0005-0000-0000-0000C7150000}"/>
    <cellStyle name="Comma 2 2 2 2 2 2 2 2 2 2 2 2 2 2 2 2 2 2 3 2 4" xfId="5579" xr:uid="{00000000-0005-0000-0000-0000C8150000}"/>
    <cellStyle name="Comma 2 2 2 2 2 2 2 2 2 2 2 2 2 2 2 2 2 2 3 2 4 10" xfId="5580" xr:uid="{00000000-0005-0000-0000-0000C9150000}"/>
    <cellStyle name="Comma 2 2 2 2 2 2 2 2 2 2 2 2 2 2 2 2 2 2 3 2 4 11" xfId="5581" xr:uid="{00000000-0005-0000-0000-0000CA150000}"/>
    <cellStyle name="Comma 2 2 2 2 2 2 2 2 2 2 2 2 2 2 2 2 2 2 3 2 4 12" xfId="5582" xr:uid="{00000000-0005-0000-0000-0000CB150000}"/>
    <cellStyle name="Comma 2 2 2 2 2 2 2 2 2 2 2 2 2 2 2 2 2 2 3 2 4 2" xfId="5583" xr:uid="{00000000-0005-0000-0000-0000CC150000}"/>
    <cellStyle name="Comma 2 2 2 2 2 2 2 2 2 2 2 2 2 2 2 2 2 2 3 2 4 3" xfId="5584" xr:uid="{00000000-0005-0000-0000-0000CD150000}"/>
    <cellStyle name="Comma 2 2 2 2 2 2 2 2 2 2 2 2 2 2 2 2 2 2 3 2 4 4" xfId="5585" xr:uid="{00000000-0005-0000-0000-0000CE150000}"/>
    <cellStyle name="Comma 2 2 2 2 2 2 2 2 2 2 2 2 2 2 2 2 2 2 3 2 4 5" xfId="5586" xr:uid="{00000000-0005-0000-0000-0000CF150000}"/>
    <cellStyle name="Comma 2 2 2 2 2 2 2 2 2 2 2 2 2 2 2 2 2 2 3 2 4 6" xfId="5587" xr:uid="{00000000-0005-0000-0000-0000D0150000}"/>
    <cellStyle name="Comma 2 2 2 2 2 2 2 2 2 2 2 2 2 2 2 2 2 2 3 2 4 6 2" xfId="5588" xr:uid="{00000000-0005-0000-0000-0000D1150000}"/>
    <cellStyle name="Comma 2 2 2 2 2 2 2 2 2 2 2 2 2 2 2 2 2 2 3 2 4 7" xfId="5589" xr:uid="{00000000-0005-0000-0000-0000D2150000}"/>
    <cellStyle name="Comma 2 2 2 2 2 2 2 2 2 2 2 2 2 2 2 2 2 2 3 2 4 8" xfId="5590" xr:uid="{00000000-0005-0000-0000-0000D3150000}"/>
    <cellStyle name="Comma 2 2 2 2 2 2 2 2 2 2 2 2 2 2 2 2 2 2 3 2 4 9" xfId="5591" xr:uid="{00000000-0005-0000-0000-0000D4150000}"/>
    <cellStyle name="Comma 2 2 2 2 2 2 2 2 2 2 2 2 2 2 2 2 2 2 3 2 5" xfId="5592" xr:uid="{00000000-0005-0000-0000-0000D5150000}"/>
    <cellStyle name="Comma 2 2 2 2 2 2 2 2 2 2 2 2 2 2 2 2 2 2 3 2 5 10" xfId="5593" xr:uid="{00000000-0005-0000-0000-0000D6150000}"/>
    <cellStyle name="Comma 2 2 2 2 2 2 2 2 2 2 2 2 2 2 2 2 2 2 3 2 5 11" xfId="5594" xr:uid="{00000000-0005-0000-0000-0000D7150000}"/>
    <cellStyle name="Comma 2 2 2 2 2 2 2 2 2 2 2 2 2 2 2 2 2 2 3 2 5 12" xfId="5595" xr:uid="{00000000-0005-0000-0000-0000D8150000}"/>
    <cellStyle name="Comma 2 2 2 2 2 2 2 2 2 2 2 2 2 2 2 2 2 2 3 2 5 2" xfId="5596" xr:uid="{00000000-0005-0000-0000-0000D9150000}"/>
    <cellStyle name="Comma 2 2 2 2 2 2 2 2 2 2 2 2 2 2 2 2 2 2 3 2 5 3" xfId="5597" xr:uid="{00000000-0005-0000-0000-0000DA150000}"/>
    <cellStyle name="Comma 2 2 2 2 2 2 2 2 2 2 2 2 2 2 2 2 2 2 3 2 5 4" xfId="5598" xr:uid="{00000000-0005-0000-0000-0000DB150000}"/>
    <cellStyle name="Comma 2 2 2 2 2 2 2 2 2 2 2 2 2 2 2 2 2 2 3 2 5 5" xfId="5599" xr:uid="{00000000-0005-0000-0000-0000DC150000}"/>
    <cellStyle name="Comma 2 2 2 2 2 2 2 2 2 2 2 2 2 2 2 2 2 2 3 2 5 6" xfId="5600" xr:uid="{00000000-0005-0000-0000-0000DD150000}"/>
    <cellStyle name="Comma 2 2 2 2 2 2 2 2 2 2 2 2 2 2 2 2 2 2 3 2 5 6 2" xfId="5601" xr:uid="{00000000-0005-0000-0000-0000DE150000}"/>
    <cellStyle name="Comma 2 2 2 2 2 2 2 2 2 2 2 2 2 2 2 2 2 2 3 2 5 7" xfId="5602" xr:uid="{00000000-0005-0000-0000-0000DF150000}"/>
    <cellStyle name="Comma 2 2 2 2 2 2 2 2 2 2 2 2 2 2 2 2 2 2 3 2 5 8" xfId="5603" xr:uid="{00000000-0005-0000-0000-0000E0150000}"/>
    <cellStyle name="Comma 2 2 2 2 2 2 2 2 2 2 2 2 2 2 2 2 2 2 3 2 5 9" xfId="5604" xr:uid="{00000000-0005-0000-0000-0000E1150000}"/>
    <cellStyle name="Comma 2 2 2 2 2 2 2 2 2 2 2 2 2 2 2 2 2 2 3 2 6" xfId="5605" xr:uid="{00000000-0005-0000-0000-0000E2150000}"/>
    <cellStyle name="Comma 2 2 2 2 2 2 2 2 2 2 2 2 2 2 2 2 2 2 3 2 6 10" xfId="5606" xr:uid="{00000000-0005-0000-0000-0000E3150000}"/>
    <cellStyle name="Comma 2 2 2 2 2 2 2 2 2 2 2 2 2 2 2 2 2 2 3 2 6 11" xfId="5607" xr:uid="{00000000-0005-0000-0000-0000E4150000}"/>
    <cellStyle name="Comma 2 2 2 2 2 2 2 2 2 2 2 2 2 2 2 2 2 2 3 2 6 12" xfId="5608" xr:uid="{00000000-0005-0000-0000-0000E5150000}"/>
    <cellStyle name="Comma 2 2 2 2 2 2 2 2 2 2 2 2 2 2 2 2 2 2 3 2 6 2" xfId="5609" xr:uid="{00000000-0005-0000-0000-0000E6150000}"/>
    <cellStyle name="Comma 2 2 2 2 2 2 2 2 2 2 2 2 2 2 2 2 2 2 3 2 6 3" xfId="5610" xr:uid="{00000000-0005-0000-0000-0000E7150000}"/>
    <cellStyle name="Comma 2 2 2 2 2 2 2 2 2 2 2 2 2 2 2 2 2 2 3 2 6 4" xfId="5611" xr:uid="{00000000-0005-0000-0000-0000E8150000}"/>
    <cellStyle name="Comma 2 2 2 2 2 2 2 2 2 2 2 2 2 2 2 2 2 2 3 2 6 5" xfId="5612" xr:uid="{00000000-0005-0000-0000-0000E9150000}"/>
    <cellStyle name="Comma 2 2 2 2 2 2 2 2 2 2 2 2 2 2 2 2 2 2 3 2 6 6" xfId="5613" xr:uid="{00000000-0005-0000-0000-0000EA150000}"/>
    <cellStyle name="Comma 2 2 2 2 2 2 2 2 2 2 2 2 2 2 2 2 2 2 3 2 6 6 2" xfId="5614" xr:uid="{00000000-0005-0000-0000-0000EB150000}"/>
    <cellStyle name="Comma 2 2 2 2 2 2 2 2 2 2 2 2 2 2 2 2 2 2 3 2 6 7" xfId="5615" xr:uid="{00000000-0005-0000-0000-0000EC150000}"/>
    <cellStyle name="Comma 2 2 2 2 2 2 2 2 2 2 2 2 2 2 2 2 2 2 3 2 6 8" xfId="5616" xr:uid="{00000000-0005-0000-0000-0000ED150000}"/>
    <cellStyle name="Comma 2 2 2 2 2 2 2 2 2 2 2 2 2 2 2 2 2 2 3 2 6 9" xfId="5617" xr:uid="{00000000-0005-0000-0000-0000EE150000}"/>
    <cellStyle name="Comma 2 2 2 2 2 2 2 2 2 2 2 2 2 2 2 2 2 2 3 2 7" xfId="5618" xr:uid="{00000000-0005-0000-0000-0000EF150000}"/>
    <cellStyle name="Comma 2 2 2 2 2 2 2 2 2 2 2 2 2 2 2 2 2 2 3 2 7 2" xfId="5619" xr:uid="{00000000-0005-0000-0000-0000F0150000}"/>
    <cellStyle name="Comma 2 2 2 2 2 2 2 2 2 2 2 2 2 2 2 2 2 2 3 2 8" xfId="5620" xr:uid="{00000000-0005-0000-0000-0000F1150000}"/>
    <cellStyle name="Comma 2 2 2 2 2 2 2 2 2 2 2 2 2 2 2 2 2 2 3 20" xfId="5621" xr:uid="{00000000-0005-0000-0000-0000F2150000}"/>
    <cellStyle name="Comma 2 2 2 2 2 2 2 2 2 2 2 2 2 2 2 2 2 2 3 21" xfId="5622" xr:uid="{00000000-0005-0000-0000-0000F3150000}"/>
    <cellStyle name="Comma 2 2 2 2 2 2 2 2 2 2 2 2 2 2 2 2 2 2 3 22" xfId="5623" xr:uid="{00000000-0005-0000-0000-0000F4150000}"/>
    <cellStyle name="Comma 2 2 2 2 2 2 2 2 2 2 2 2 2 2 2 2 2 2 3 23" xfId="5624" xr:uid="{00000000-0005-0000-0000-0000F5150000}"/>
    <cellStyle name="Comma 2 2 2 2 2 2 2 2 2 2 2 2 2 2 2 2 2 2 3 3" xfId="5625" xr:uid="{00000000-0005-0000-0000-0000F6150000}"/>
    <cellStyle name="Comma 2 2 2 2 2 2 2 2 2 2 2 2 2 2 2 2 2 2 3 3 2" xfId="5626" xr:uid="{00000000-0005-0000-0000-0000F7150000}"/>
    <cellStyle name="Comma 2 2 2 2 2 2 2 2 2 2 2 2 2 2 2 2 2 2 3 3 2 10" xfId="5627" xr:uid="{00000000-0005-0000-0000-0000F8150000}"/>
    <cellStyle name="Comma 2 2 2 2 2 2 2 2 2 2 2 2 2 2 2 2 2 2 3 3 2 11" xfId="5628" xr:uid="{00000000-0005-0000-0000-0000F9150000}"/>
    <cellStyle name="Comma 2 2 2 2 2 2 2 2 2 2 2 2 2 2 2 2 2 2 3 3 2 12" xfId="5629" xr:uid="{00000000-0005-0000-0000-0000FA150000}"/>
    <cellStyle name="Comma 2 2 2 2 2 2 2 2 2 2 2 2 2 2 2 2 2 2 3 3 2 2" xfId="5630" xr:uid="{00000000-0005-0000-0000-0000FB150000}"/>
    <cellStyle name="Comma 2 2 2 2 2 2 2 2 2 2 2 2 2 2 2 2 2 2 3 3 2 3" xfId="5631" xr:uid="{00000000-0005-0000-0000-0000FC150000}"/>
    <cellStyle name="Comma 2 2 2 2 2 2 2 2 2 2 2 2 2 2 2 2 2 2 3 3 2 4" xfId="5632" xr:uid="{00000000-0005-0000-0000-0000FD150000}"/>
    <cellStyle name="Comma 2 2 2 2 2 2 2 2 2 2 2 2 2 2 2 2 2 2 3 3 2 5" xfId="5633" xr:uid="{00000000-0005-0000-0000-0000FE150000}"/>
    <cellStyle name="Comma 2 2 2 2 2 2 2 2 2 2 2 2 2 2 2 2 2 2 3 3 2 6" xfId="5634" xr:uid="{00000000-0005-0000-0000-0000FF150000}"/>
    <cellStyle name="Comma 2 2 2 2 2 2 2 2 2 2 2 2 2 2 2 2 2 2 3 3 2 6 2" xfId="5635" xr:uid="{00000000-0005-0000-0000-000000160000}"/>
    <cellStyle name="Comma 2 2 2 2 2 2 2 2 2 2 2 2 2 2 2 2 2 2 3 3 2 7" xfId="5636" xr:uid="{00000000-0005-0000-0000-000001160000}"/>
    <cellStyle name="Comma 2 2 2 2 2 2 2 2 2 2 2 2 2 2 2 2 2 2 3 3 2 8" xfId="5637" xr:uid="{00000000-0005-0000-0000-000002160000}"/>
    <cellStyle name="Comma 2 2 2 2 2 2 2 2 2 2 2 2 2 2 2 2 2 2 3 3 2 9" xfId="5638" xr:uid="{00000000-0005-0000-0000-000003160000}"/>
    <cellStyle name="Comma 2 2 2 2 2 2 2 2 2 2 2 2 2 2 2 2 2 2 3 3 3" xfId="5639" xr:uid="{00000000-0005-0000-0000-000004160000}"/>
    <cellStyle name="Comma 2 2 2 2 2 2 2 2 2 2 2 2 2 2 2 2 2 2 3 3 3 10" xfId="5640" xr:uid="{00000000-0005-0000-0000-000005160000}"/>
    <cellStyle name="Comma 2 2 2 2 2 2 2 2 2 2 2 2 2 2 2 2 2 2 3 3 3 11" xfId="5641" xr:uid="{00000000-0005-0000-0000-000006160000}"/>
    <cellStyle name="Comma 2 2 2 2 2 2 2 2 2 2 2 2 2 2 2 2 2 2 3 3 3 12" xfId="5642" xr:uid="{00000000-0005-0000-0000-000007160000}"/>
    <cellStyle name="Comma 2 2 2 2 2 2 2 2 2 2 2 2 2 2 2 2 2 2 3 3 3 2" xfId="5643" xr:uid="{00000000-0005-0000-0000-000008160000}"/>
    <cellStyle name="Comma 2 2 2 2 2 2 2 2 2 2 2 2 2 2 2 2 2 2 3 3 3 3" xfId="5644" xr:uid="{00000000-0005-0000-0000-000009160000}"/>
    <cellStyle name="Comma 2 2 2 2 2 2 2 2 2 2 2 2 2 2 2 2 2 2 3 3 3 4" xfId="5645" xr:uid="{00000000-0005-0000-0000-00000A160000}"/>
    <cellStyle name="Comma 2 2 2 2 2 2 2 2 2 2 2 2 2 2 2 2 2 2 3 3 3 5" xfId="5646" xr:uid="{00000000-0005-0000-0000-00000B160000}"/>
    <cellStyle name="Comma 2 2 2 2 2 2 2 2 2 2 2 2 2 2 2 2 2 2 3 3 3 6" xfId="5647" xr:uid="{00000000-0005-0000-0000-00000C160000}"/>
    <cellStyle name="Comma 2 2 2 2 2 2 2 2 2 2 2 2 2 2 2 2 2 2 3 3 3 6 2" xfId="5648" xr:uid="{00000000-0005-0000-0000-00000D160000}"/>
    <cellStyle name="Comma 2 2 2 2 2 2 2 2 2 2 2 2 2 2 2 2 2 2 3 3 3 7" xfId="5649" xr:uid="{00000000-0005-0000-0000-00000E160000}"/>
    <cellStyle name="Comma 2 2 2 2 2 2 2 2 2 2 2 2 2 2 2 2 2 2 3 3 3 8" xfId="5650" xr:uid="{00000000-0005-0000-0000-00000F160000}"/>
    <cellStyle name="Comma 2 2 2 2 2 2 2 2 2 2 2 2 2 2 2 2 2 2 3 3 3 9" xfId="5651" xr:uid="{00000000-0005-0000-0000-000010160000}"/>
    <cellStyle name="Comma 2 2 2 2 2 2 2 2 2 2 2 2 2 2 2 2 2 2 3 3 4" xfId="5652" xr:uid="{00000000-0005-0000-0000-000011160000}"/>
    <cellStyle name="Comma 2 2 2 2 2 2 2 2 2 2 2 2 2 2 2 2 2 2 3 3 4 10" xfId="5653" xr:uid="{00000000-0005-0000-0000-000012160000}"/>
    <cellStyle name="Comma 2 2 2 2 2 2 2 2 2 2 2 2 2 2 2 2 2 2 3 3 4 11" xfId="5654" xr:uid="{00000000-0005-0000-0000-000013160000}"/>
    <cellStyle name="Comma 2 2 2 2 2 2 2 2 2 2 2 2 2 2 2 2 2 2 3 3 4 12" xfId="5655" xr:uid="{00000000-0005-0000-0000-000014160000}"/>
    <cellStyle name="Comma 2 2 2 2 2 2 2 2 2 2 2 2 2 2 2 2 2 2 3 3 4 2" xfId="5656" xr:uid="{00000000-0005-0000-0000-000015160000}"/>
    <cellStyle name="Comma 2 2 2 2 2 2 2 2 2 2 2 2 2 2 2 2 2 2 3 3 4 3" xfId="5657" xr:uid="{00000000-0005-0000-0000-000016160000}"/>
    <cellStyle name="Comma 2 2 2 2 2 2 2 2 2 2 2 2 2 2 2 2 2 2 3 3 4 4" xfId="5658" xr:uid="{00000000-0005-0000-0000-000017160000}"/>
    <cellStyle name="Comma 2 2 2 2 2 2 2 2 2 2 2 2 2 2 2 2 2 2 3 3 4 5" xfId="5659" xr:uid="{00000000-0005-0000-0000-000018160000}"/>
    <cellStyle name="Comma 2 2 2 2 2 2 2 2 2 2 2 2 2 2 2 2 2 2 3 3 4 6" xfId="5660" xr:uid="{00000000-0005-0000-0000-000019160000}"/>
    <cellStyle name="Comma 2 2 2 2 2 2 2 2 2 2 2 2 2 2 2 2 2 2 3 3 4 6 2" xfId="5661" xr:uid="{00000000-0005-0000-0000-00001A160000}"/>
    <cellStyle name="Comma 2 2 2 2 2 2 2 2 2 2 2 2 2 2 2 2 2 2 3 3 4 7" xfId="5662" xr:uid="{00000000-0005-0000-0000-00001B160000}"/>
    <cellStyle name="Comma 2 2 2 2 2 2 2 2 2 2 2 2 2 2 2 2 2 2 3 3 4 8" xfId="5663" xr:uid="{00000000-0005-0000-0000-00001C160000}"/>
    <cellStyle name="Comma 2 2 2 2 2 2 2 2 2 2 2 2 2 2 2 2 2 2 3 3 4 9" xfId="5664" xr:uid="{00000000-0005-0000-0000-00001D160000}"/>
    <cellStyle name="Comma 2 2 2 2 2 2 2 2 2 2 2 2 2 2 2 2 2 2 3 3 5" xfId="5665" xr:uid="{00000000-0005-0000-0000-00001E160000}"/>
    <cellStyle name="Comma 2 2 2 2 2 2 2 2 2 2 2 2 2 2 2 2 2 2 3 3 5 10" xfId="5666" xr:uid="{00000000-0005-0000-0000-00001F160000}"/>
    <cellStyle name="Comma 2 2 2 2 2 2 2 2 2 2 2 2 2 2 2 2 2 2 3 3 5 11" xfId="5667" xr:uid="{00000000-0005-0000-0000-000020160000}"/>
    <cellStyle name="Comma 2 2 2 2 2 2 2 2 2 2 2 2 2 2 2 2 2 2 3 3 5 12" xfId="5668" xr:uid="{00000000-0005-0000-0000-000021160000}"/>
    <cellStyle name="Comma 2 2 2 2 2 2 2 2 2 2 2 2 2 2 2 2 2 2 3 3 5 2" xfId="5669" xr:uid="{00000000-0005-0000-0000-000022160000}"/>
    <cellStyle name="Comma 2 2 2 2 2 2 2 2 2 2 2 2 2 2 2 2 2 2 3 3 5 3" xfId="5670" xr:uid="{00000000-0005-0000-0000-000023160000}"/>
    <cellStyle name="Comma 2 2 2 2 2 2 2 2 2 2 2 2 2 2 2 2 2 2 3 3 5 4" xfId="5671" xr:uid="{00000000-0005-0000-0000-000024160000}"/>
    <cellStyle name="Comma 2 2 2 2 2 2 2 2 2 2 2 2 2 2 2 2 2 2 3 3 5 5" xfId="5672" xr:uid="{00000000-0005-0000-0000-000025160000}"/>
    <cellStyle name="Comma 2 2 2 2 2 2 2 2 2 2 2 2 2 2 2 2 2 2 3 3 5 6" xfId="5673" xr:uid="{00000000-0005-0000-0000-000026160000}"/>
    <cellStyle name="Comma 2 2 2 2 2 2 2 2 2 2 2 2 2 2 2 2 2 2 3 3 5 6 2" xfId="5674" xr:uid="{00000000-0005-0000-0000-000027160000}"/>
    <cellStyle name="Comma 2 2 2 2 2 2 2 2 2 2 2 2 2 2 2 2 2 2 3 3 5 7" xfId="5675" xr:uid="{00000000-0005-0000-0000-000028160000}"/>
    <cellStyle name="Comma 2 2 2 2 2 2 2 2 2 2 2 2 2 2 2 2 2 2 3 3 5 8" xfId="5676" xr:uid="{00000000-0005-0000-0000-000029160000}"/>
    <cellStyle name="Comma 2 2 2 2 2 2 2 2 2 2 2 2 2 2 2 2 2 2 3 3 5 9" xfId="5677" xr:uid="{00000000-0005-0000-0000-00002A160000}"/>
    <cellStyle name="Comma 2 2 2 2 2 2 2 2 2 2 2 2 2 2 2 2 2 2 3 3 6" xfId="5678" xr:uid="{00000000-0005-0000-0000-00002B160000}"/>
    <cellStyle name="Comma 2 2 2 2 2 2 2 2 2 2 2 2 2 2 2 2 2 2 3 4" xfId="5679" xr:uid="{00000000-0005-0000-0000-00002C160000}"/>
    <cellStyle name="Comma 2 2 2 2 2 2 2 2 2 2 2 2 2 2 2 2 2 2 3 4 2" xfId="5680" xr:uid="{00000000-0005-0000-0000-00002D160000}"/>
    <cellStyle name="Comma 2 2 2 2 2 2 2 2 2 2 2 2 2 2 2 2 2 2 3 4 2 10" xfId="5681" xr:uid="{00000000-0005-0000-0000-00002E160000}"/>
    <cellStyle name="Comma 2 2 2 2 2 2 2 2 2 2 2 2 2 2 2 2 2 2 3 4 2 11" xfId="5682" xr:uid="{00000000-0005-0000-0000-00002F160000}"/>
    <cellStyle name="Comma 2 2 2 2 2 2 2 2 2 2 2 2 2 2 2 2 2 2 3 4 2 12" xfId="5683" xr:uid="{00000000-0005-0000-0000-000030160000}"/>
    <cellStyle name="Comma 2 2 2 2 2 2 2 2 2 2 2 2 2 2 2 2 2 2 3 4 2 2" xfId="5684" xr:uid="{00000000-0005-0000-0000-000031160000}"/>
    <cellStyle name="Comma 2 2 2 2 2 2 2 2 2 2 2 2 2 2 2 2 2 2 3 4 2 3" xfId="5685" xr:uid="{00000000-0005-0000-0000-000032160000}"/>
    <cellStyle name="Comma 2 2 2 2 2 2 2 2 2 2 2 2 2 2 2 2 2 2 3 4 2 4" xfId="5686" xr:uid="{00000000-0005-0000-0000-000033160000}"/>
    <cellStyle name="Comma 2 2 2 2 2 2 2 2 2 2 2 2 2 2 2 2 2 2 3 4 2 5" xfId="5687" xr:uid="{00000000-0005-0000-0000-000034160000}"/>
    <cellStyle name="Comma 2 2 2 2 2 2 2 2 2 2 2 2 2 2 2 2 2 2 3 4 2 6" xfId="5688" xr:uid="{00000000-0005-0000-0000-000035160000}"/>
    <cellStyle name="Comma 2 2 2 2 2 2 2 2 2 2 2 2 2 2 2 2 2 2 3 4 2 6 2" xfId="5689" xr:uid="{00000000-0005-0000-0000-000036160000}"/>
    <cellStyle name="Comma 2 2 2 2 2 2 2 2 2 2 2 2 2 2 2 2 2 2 3 4 2 7" xfId="5690" xr:uid="{00000000-0005-0000-0000-000037160000}"/>
    <cellStyle name="Comma 2 2 2 2 2 2 2 2 2 2 2 2 2 2 2 2 2 2 3 4 2 8" xfId="5691" xr:uid="{00000000-0005-0000-0000-000038160000}"/>
    <cellStyle name="Comma 2 2 2 2 2 2 2 2 2 2 2 2 2 2 2 2 2 2 3 4 2 9" xfId="5692" xr:uid="{00000000-0005-0000-0000-000039160000}"/>
    <cellStyle name="Comma 2 2 2 2 2 2 2 2 2 2 2 2 2 2 2 2 2 2 3 4 3" xfId="5693" xr:uid="{00000000-0005-0000-0000-00003A160000}"/>
    <cellStyle name="Comma 2 2 2 2 2 2 2 2 2 2 2 2 2 2 2 2 2 2 3 4 3 10" xfId="5694" xr:uid="{00000000-0005-0000-0000-00003B160000}"/>
    <cellStyle name="Comma 2 2 2 2 2 2 2 2 2 2 2 2 2 2 2 2 2 2 3 4 3 11" xfId="5695" xr:uid="{00000000-0005-0000-0000-00003C160000}"/>
    <cellStyle name="Comma 2 2 2 2 2 2 2 2 2 2 2 2 2 2 2 2 2 2 3 4 3 12" xfId="5696" xr:uid="{00000000-0005-0000-0000-00003D160000}"/>
    <cellStyle name="Comma 2 2 2 2 2 2 2 2 2 2 2 2 2 2 2 2 2 2 3 4 3 2" xfId="5697" xr:uid="{00000000-0005-0000-0000-00003E160000}"/>
    <cellStyle name="Comma 2 2 2 2 2 2 2 2 2 2 2 2 2 2 2 2 2 2 3 4 3 3" xfId="5698" xr:uid="{00000000-0005-0000-0000-00003F160000}"/>
    <cellStyle name="Comma 2 2 2 2 2 2 2 2 2 2 2 2 2 2 2 2 2 2 3 4 3 4" xfId="5699" xr:uid="{00000000-0005-0000-0000-000040160000}"/>
    <cellStyle name="Comma 2 2 2 2 2 2 2 2 2 2 2 2 2 2 2 2 2 2 3 4 3 5" xfId="5700" xr:uid="{00000000-0005-0000-0000-000041160000}"/>
    <cellStyle name="Comma 2 2 2 2 2 2 2 2 2 2 2 2 2 2 2 2 2 2 3 4 3 6" xfId="5701" xr:uid="{00000000-0005-0000-0000-000042160000}"/>
    <cellStyle name="Comma 2 2 2 2 2 2 2 2 2 2 2 2 2 2 2 2 2 2 3 4 3 6 2" xfId="5702" xr:uid="{00000000-0005-0000-0000-000043160000}"/>
    <cellStyle name="Comma 2 2 2 2 2 2 2 2 2 2 2 2 2 2 2 2 2 2 3 4 3 7" xfId="5703" xr:uid="{00000000-0005-0000-0000-000044160000}"/>
    <cellStyle name="Comma 2 2 2 2 2 2 2 2 2 2 2 2 2 2 2 2 2 2 3 4 3 8" xfId="5704" xr:uid="{00000000-0005-0000-0000-000045160000}"/>
    <cellStyle name="Comma 2 2 2 2 2 2 2 2 2 2 2 2 2 2 2 2 2 2 3 4 3 9" xfId="5705" xr:uid="{00000000-0005-0000-0000-000046160000}"/>
    <cellStyle name="Comma 2 2 2 2 2 2 2 2 2 2 2 2 2 2 2 2 2 2 3 4 4" xfId="5706" xr:uid="{00000000-0005-0000-0000-000047160000}"/>
    <cellStyle name="Comma 2 2 2 2 2 2 2 2 2 2 2 2 2 2 2 2 2 2 3 4 4 10" xfId="5707" xr:uid="{00000000-0005-0000-0000-000048160000}"/>
    <cellStyle name="Comma 2 2 2 2 2 2 2 2 2 2 2 2 2 2 2 2 2 2 3 4 4 11" xfId="5708" xr:uid="{00000000-0005-0000-0000-000049160000}"/>
    <cellStyle name="Comma 2 2 2 2 2 2 2 2 2 2 2 2 2 2 2 2 2 2 3 4 4 12" xfId="5709" xr:uid="{00000000-0005-0000-0000-00004A160000}"/>
    <cellStyle name="Comma 2 2 2 2 2 2 2 2 2 2 2 2 2 2 2 2 2 2 3 4 4 2" xfId="5710" xr:uid="{00000000-0005-0000-0000-00004B160000}"/>
    <cellStyle name="Comma 2 2 2 2 2 2 2 2 2 2 2 2 2 2 2 2 2 2 3 4 4 3" xfId="5711" xr:uid="{00000000-0005-0000-0000-00004C160000}"/>
    <cellStyle name="Comma 2 2 2 2 2 2 2 2 2 2 2 2 2 2 2 2 2 2 3 4 4 4" xfId="5712" xr:uid="{00000000-0005-0000-0000-00004D160000}"/>
    <cellStyle name="Comma 2 2 2 2 2 2 2 2 2 2 2 2 2 2 2 2 2 2 3 4 4 5" xfId="5713" xr:uid="{00000000-0005-0000-0000-00004E160000}"/>
    <cellStyle name="Comma 2 2 2 2 2 2 2 2 2 2 2 2 2 2 2 2 2 2 3 4 4 6" xfId="5714" xr:uid="{00000000-0005-0000-0000-00004F160000}"/>
    <cellStyle name="Comma 2 2 2 2 2 2 2 2 2 2 2 2 2 2 2 2 2 2 3 4 4 6 2" xfId="5715" xr:uid="{00000000-0005-0000-0000-000050160000}"/>
    <cellStyle name="Comma 2 2 2 2 2 2 2 2 2 2 2 2 2 2 2 2 2 2 3 4 4 7" xfId="5716" xr:uid="{00000000-0005-0000-0000-000051160000}"/>
    <cellStyle name="Comma 2 2 2 2 2 2 2 2 2 2 2 2 2 2 2 2 2 2 3 4 4 8" xfId="5717" xr:uid="{00000000-0005-0000-0000-000052160000}"/>
    <cellStyle name="Comma 2 2 2 2 2 2 2 2 2 2 2 2 2 2 2 2 2 2 3 4 4 9" xfId="5718" xr:uid="{00000000-0005-0000-0000-000053160000}"/>
    <cellStyle name="Comma 2 2 2 2 2 2 2 2 2 2 2 2 2 2 2 2 2 2 3 5" xfId="5719" xr:uid="{00000000-0005-0000-0000-000054160000}"/>
    <cellStyle name="Comma 2 2 2 2 2 2 2 2 2 2 2 2 2 2 2 2 2 2 3 5 2" xfId="5720" xr:uid="{00000000-0005-0000-0000-000055160000}"/>
    <cellStyle name="Comma 2 2 2 2 2 2 2 2 2 2 2 2 2 2 2 2 2 2 3 5 2 10" xfId="5721" xr:uid="{00000000-0005-0000-0000-000056160000}"/>
    <cellStyle name="Comma 2 2 2 2 2 2 2 2 2 2 2 2 2 2 2 2 2 2 3 5 2 11" xfId="5722" xr:uid="{00000000-0005-0000-0000-000057160000}"/>
    <cellStyle name="Comma 2 2 2 2 2 2 2 2 2 2 2 2 2 2 2 2 2 2 3 5 2 12" xfId="5723" xr:uid="{00000000-0005-0000-0000-000058160000}"/>
    <cellStyle name="Comma 2 2 2 2 2 2 2 2 2 2 2 2 2 2 2 2 2 2 3 5 2 2" xfId="5724" xr:uid="{00000000-0005-0000-0000-000059160000}"/>
    <cellStyle name="Comma 2 2 2 2 2 2 2 2 2 2 2 2 2 2 2 2 2 2 3 5 2 3" xfId="5725" xr:uid="{00000000-0005-0000-0000-00005A160000}"/>
    <cellStyle name="Comma 2 2 2 2 2 2 2 2 2 2 2 2 2 2 2 2 2 2 3 5 2 4" xfId="5726" xr:uid="{00000000-0005-0000-0000-00005B160000}"/>
    <cellStyle name="Comma 2 2 2 2 2 2 2 2 2 2 2 2 2 2 2 2 2 2 3 5 2 5" xfId="5727" xr:uid="{00000000-0005-0000-0000-00005C160000}"/>
    <cellStyle name="Comma 2 2 2 2 2 2 2 2 2 2 2 2 2 2 2 2 2 2 3 5 2 6" xfId="5728" xr:uid="{00000000-0005-0000-0000-00005D160000}"/>
    <cellStyle name="Comma 2 2 2 2 2 2 2 2 2 2 2 2 2 2 2 2 2 2 3 5 2 6 2" xfId="5729" xr:uid="{00000000-0005-0000-0000-00005E160000}"/>
    <cellStyle name="Comma 2 2 2 2 2 2 2 2 2 2 2 2 2 2 2 2 2 2 3 5 2 7" xfId="5730" xr:uid="{00000000-0005-0000-0000-00005F160000}"/>
    <cellStyle name="Comma 2 2 2 2 2 2 2 2 2 2 2 2 2 2 2 2 2 2 3 5 2 8" xfId="5731" xr:uid="{00000000-0005-0000-0000-000060160000}"/>
    <cellStyle name="Comma 2 2 2 2 2 2 2 2 2 2 2 2 2 2 2 2 2 2 3 5 2 9" xfId="5732" xr:uid="{00000000-0005-0000-0000-000061160000}"/>
    <cellStyle name="Comma 2 2 2 2 2 2 2 2 2 2 2 2 2 2 2 2 2 2 3 5 3" xfId="5733" xr:uid="{00000000-0005-0000-0000-000062160000}"/>
    <cellStyle name="Comma 2 2 2 2 2 2 2 2 2 2 2 2 2 2 2 2 2 2 3 5 3 10" xfId="5734" xr:uid="{00000000-0005-0000-0000-000063160000}"/>
    <cellStyle name="Comma 2 2 2 2 2 2 2 2 2 2 2 2 2 2 2 2 2 2 3 5 3 11" xfId="5735" xr:uid="{00000000-0005-0000-0000-000064160000}"/>
    <cellStyle name="Comma 2 2 2 2 2 2 2 2 2 2 2 2 2 2 2 2 2 2 3 5 3 12" xfId="5736" xr:uid="{00000000-0005-0000-0000-000065160000}"/>
    <cellStyle name="Comma 2 2 2 2 2 2 2 2 2 2 2 2 2 2 2 2 2 2 3 5 3 2" xfId="5737" xr:uid="{00000000-0005-0000-0000-000066160000}"/>
    <cellStyle name="Comma 2 2 2 2 2 2 2 2 2 2 2 2 2 2 2 2 2 2 3 5 3 3" xfId="5738" xr:uid="{00000000-0005-0000-0000-000067160000}"/>
    <cellStyle name="Comma 2 2 2 2 2 2 2 2 2 2 2 2 2 2 2 2 2 2 3 5 3 4" xfId="5739" xr:uid="{00000000-0005-0000-0000-000068160000}"/>
    <cellStyle name="Comma 2 2 2 2 2 2 2 2 2 2 2 2 2 2 2 2 2 2 3 5 3 5" xfId="5740" xr:uid="{00000000-0005-0000-0000-000069160000}"/>
    <cellStyle name="Comma 2 2 2 2 2 2 2 2 2 2 2 2 2 2 2 2 2 2 3 5 3 6" xfId="5741" xr:uid="{00000000-0005-0000-0000-00006A160000}"/>
    <cellStyle name="Comma 2 2 2 2 2 2 2 2 2 2 2 2 2 2 2 2 2 2 3 5 3 6 2" xfId="5742" xr:uid="{00000000-0005-0000-0000-00006B160000}"/>
    <cellStyle name="Comma 2 2 2 2 2 2 2 2 2 2 2 2 2 2 2 2 2 2 3 5 3 7" xfId="5743" xr:uid="{00000000-0005-0000-0000-00006C160000}"/>
    <cellStyle name="Comma 2 2 2 2 2 2 2 2 2 2 2 2 2 2 2 2 2 2 3 5 3 8" xfId="5744" xr:uid="{00000000-0005-0000-0000-00006D160000}"/>
    <cellStyle name="Comma 2 2 2 2 2 2 2 2 2 2 2 2 2 2 2 2 2 2 3 5 3 9" xfId="5745" xr:uid="{00000000-0005-0000-0000-00006E160000}"/>
    <cellStyle name="Comma 2 2 2 2 2 2 2 2 2 2 2 2 2 2 2 2 2 2 3 6" xfId="5746" xr:uid="{00000000-0005-0000-0000-00006F160000}"/>
    <cellStyle name="Comma 2 2 2 2 2 2 2 2 2 2 2 2 2 2 2 2 2 2 3 6 2" xfId="5747" xr:uid="{00000000-0005-0000-0000-000070160000}"/>
    <cellStyle name="Comma 2 2 2 2 2 2 2 2 2 2 2 2 2 2 2 2 2 2 3 6 2 10" xfId="5748" xr:uid="{00000000-0005-0000-0000-000071160000}"/>
    <cellStyle name="Comma 2 2 2 2 2 2 2 2 2 2 2 2 2 2 2 2 2 2 3 6 2 11" xfId="5749" xr:uid="{00000000-0005-0000-0000-000072160000}"/>
    <cellStyle name="Comma 2 2 2 2 2 2 2 2 2 2 2 2 2 2 2 2 2 2 3 6 2 12" xfId="5750" xr:uid="{00000000-0005-0000-0000-000073160000}"/>
    <cellStyle name="Comma 2 2 2 2 2 2 2 2 2 2 2 2 2 2 2 2 2 2 3 6 2 2" xfId="5751" xr:uid="{00000000-0005-0000-0000-000074160000}"/>
    <cellStyle name="Comma 2 2 2 2 2 2 2 2 2 2 2 2 2 2 2 2 2 2 3 6 2 3" xfId="5752" xr:uid="{00000000-0005-0000-0000-000075160000}"/>
    <cellStyle name="Comma 2 2 2 2 2 2 2 2 2 2 2 2 2 2 2 2 2 2 3 6 2 4" xfId="5753" xr:uid="{00000000-0005-0000-0000-000076160000}"/>
    <cellStyle name="Comma 2 2 2 2 2 2 2 2 2 2 2 2 2 2 2 2 2 2 3 6 2 5" xfId="5754" xr:uid="{00000000-0005-0000-0000-000077160000}"/>
    <cellStyle name="Comma 2 2 2 2 2 2 2 2 2 2 2 2 2 2 2 2 2 2 3 6 2 6" xfId="5755" xr:uid="{00000000-0005-0000-0000-000078160000}"/>
    <cellStyle name="Comma 2 2 2 2 2 2 2 2 2 2 2 2 2 2 2 2 2 2 3 6 2 6 2" xfId="5756" xr:uid="{00000000-0005-0000-0000-000079160000}"/>
    <cellStyle name="Comma 2 2 2 2 2 2 2 2 2 2 2 2 2 2 2 2 2 2 3 6 2 7" xfId="5757" xr:uid="{00000000-0005-0000-0000-00007A160000}"/>
    <cellStyle name="Comma 2 2 2 2 2 2 2 2 2 2 2 2 2 2 2 2 2 2 3 6 2 8" xfId="5758" xr:uid="{00000000-0005-0000-0000-00007B160000}"/>
    <cellStyle name="Comma 2 2 2 2 2 2 2 2 2 2 2 2 2 2 2 2 2 2 3 6 2 9" xfId="5759" xr:uid="{00000000-0005-0000-0000-00007C160000}"/>
    <cellStyle name="Comma 2 2 2 2 2 2 2 2 2 2 2 2 2 2 2 2 2 2 3 7" xfId="5760" xr:uid="{00000000-0005-0000-0000-00007D160000}"/>
    <cellStyle name="Comma 2 2 2 2 2 2 2 2 2 2 2 2 2 2 2 2 2 2 3 7 10" xfId="5761" xr:uid="{00000000-0005-0000-0000-00007E160000}"/>
    <cellStyle name="Comma 2 2 2 2 2 2 2 2 2 2 2 2 2 2 2 2 2 2 3 7 11" xfId="5762" xr:uid="{00000000-0005-0000-0000-00007F160000}"/>
    <cellStyle name="Comma 2 2 2 2 2 2 2 2 2 2 2 2 2 2 2 2 2 2 3 7 12" xfId="5763" xr:uid="{00000000-0005-0000-0000-000080160000}"/>
    <cellStyle name="Comma 2 2 2 2 2 2 2 2 2 2 2 2 2 2 2 2 2 2 3 7 2" xfId="5764" xr:uid="{00000000-0005-0000-0000-000081160000}"/>
    <cellStyle name="Comma 2 2 2 2 2 2 2 2 2 2 2 2 2 2 2 2 2 2 3 7 3" xfId="5765" xr:uid="{00000000-0005-0000-0000-000082160000}"/>
    <cellStyle name="Comma 2 2 2 2 2 2 2 2 2 2 2 2 2 2 2 2 2 2 3 7 4" xfId="5766" xr:uid="{00000000-0005-0000-0000-000083160000}"/>
    <cellStyle name="Comma 2 2 2 2 2 2 2 2 2 2 2 2 2 2 2 2 2 2 3 7 5" xfId="5767" xr:uid="{00000000-0005-0000-0000-000084160000}"/>
    <cellStyle name="Comma 2 2 2 2 2 2 2 2 2 2 2 2 2 2 2 2 2 2 3 7 6" xfId="5768" xr:uid="{00000000-0005-0000-0000-000085160000}"/>
    <cellStyle name="Comma 2 2 2 2 2 2 2 2 2 2 2 2 2 2 2 2 2 2 3 7 6 2" xfId="5769" xr:uid="{00000000-0005-0000-0000-000086160000}"/>
    <cellStyle name="Comma 2 2 2 2 2 2 2 2 2 2 2 2 2 2 2 2 2 2 3 7 7" xfId="5770" xr:uid="{00000000-0005-0000-0000-000087160000}"/>
    <cellStyle name="Comma 2 2 2 2 2 2 2 2 2 2 2 2 2 2 2 2 2 2 3 7 8" xfId="5771" xr:uid="{00000000-0005-0000-0000-000088160000}"/>
    <cellStyle name="Comma 2 2 2 2 2 2 2 2 2 2 2 2 2 2 2 2 2 2 3 7 9" xfId="5772" xr:uid="{00000000-0005-0000-0000-000089160000}"/>
    <cellStyle name="Comma 2 2 2 2 2 2 2 2 2 2 2 2 2 2 2 2 2 2 3 8" xfId="5773" xr:uid="{00000000-0005-0000-0000-00008A160000}"/>
    <cellStyle name="Comma 2 2 2 2 2 2 2 2 2 2 2 2 2 2 2 2 2 2 3 9" xfId="5774" xr:uid="{00000000-0005-0000-0000-00008B160000}"/>
    <cellStyle name="Comma 2 2 2 2 2 2 2 2 2 2 2 2 2 2 2 2 2 2 4" xfId="5775" xr:uid="{00000000-0005-0000-0000-00008C160000}"/>
    <cellStyle name="Comma 2 2 2 2 2 2 2 2 2 2 2 2 2 2 2 2 2 2 4 10" xfId="5776" xr:uid="{00000000-0005-0000-0000-00008D160000}"/>
    <cellStyle name="Comma 2 2 2 2 2 2 2 2 2 2 2 2 2 2 2 2 2 2 4 11" xfId="5777" xr:uid="{00000000-0005-0000-0000-00008E160000}"/>
    <cellStyle name="Comma 2 2 2 2 2 2 2 2 2 2 2 2 2 2 2 2 2 2 4 12" xfId="5778" xr:uid="{00000000-0005-0000-0000-00008F160000}"/>
    <cellStyle name="Comma 2 2 2 2 2 2 2 2 2 2 2 2 2 2 2 2 2 2 4 13" xfId="5779" xr:uid="{00000000-0005-0000-0000-000090160000}"/>
    <cellStyle name="Comma 2 2 2 2 2 2 2 2 2 2 2 2 2 2 2 2 2 2 4 14" xfId="5780" xr:uid="{00000000-0005-0000-0000-000091160000}"/>
    <cellStyle name="Comma 2 2 2 2 2 2 2 2 2 2 2 2 2 2 2 2 2 2 4 14 2" xfId="5781" xr:uid="{00000000-0005-0000-0000-000092160000}"/>
    <cellStyle name="Comma 2 2 2 2 2 2 2 2 2 2 2 2 2 2 2 2 2 2 4 15" xfId="5782" xr:uid="{00000000-0005-0000-0000-000093160000}"/>
    <cellStyle name="Comma 2 2 2 2 2 2 2 2 2 2 2 2 2 2 2 2 2 2 4 15 2" xfId="5783" xr:uid="{00000000-0005-0000-0000-000094160000}"/>
    <cellStyle name="Comma 2 2 2 2 2 2 2 2 2 2 2 2 2 2 2 2 2 2 4 16" xfId="5784" xr:uid="{00000000-0005-0000-0000-000095160000}"/>
    <cellStyle name="Comma 2 2 2 2 2 2 2 2 2 2 2 2 2 2 2 2 2 2 4 17" xfId="5785" xr:uid="{00000000-0005-0000-0000-000096160000}"/>
    <cellStyle name="Comma 2 2 2 2 2 2 2 2 2 2 2 2 2 2 2 2 2 2 4 18" xfId="5786" xr:uid="{00000000-0005-0000-0000-000097160000}"/>
    <cellStyle name="Comma 2 2 2 2 2 2 2 2 2 2 2 2 2 2 2 2 2 2 4 19" xfId="5787" xr:uid="{00000000-0005-0000-0000-000098160000}"/>
    <cellStyle name="Comma 2 2 2 2 2 2 2 2 2 2 2 2 2 2 2 2 2 2 4 2" xfId="5788" xr:uid="{00000000-0005-0000-0000-000099160000}"/>
    <cellStyle name="Comma 2 2 2 2 2 2 2 2 2 2 2 2 2 2 2 2 2 2 4 2 2" xfId="5789" xr:uid="{00000000-0005-0000-0000-00009A160000}"/>
    <cellStyle name="Comma 2 2 2 2 2 2 2 2 2 2 2 2 2 2 2 2 2 2 4 2 2 2" xfId="5790" xr:uid="{00000000-0005-0000-0000-00009B160000}"/>
    <cellStyle name="Comma 2 2 2 2 2 2 2 2 2 2 2 2 2 2 2 2 2 2 4 2 2 3" xfId="5791" xr:uid="{00000000-0005-0000-0000-00009C160000}"/>
    <cellStyle name="Comma 2 2 2 2 2 2 2 2 2 2 2 2 2 2 2 2 2 2 4 2 2 4" xfId="5792" xr:uid="{00000000-0005-0000-0000-00009D160000}"/>
    <cellStyle name="Comma 2 2 2 2 2 2 2 2 2 2 2 2 2 2 2 2 2 2 4 2 2 5" xfId="5793" xr:uid="{00000000-0005-0000-0000-00009E160000}"/>
    <cellStyle name="Comma 2 2 2 2 2 2 2 2 2 2 2 2 2 2 2 2 2 2 4 2 3" xfId="5794" xr:uid="{00000000-0005-0000-0000-00009F160000}"/>
    <cellStyle name="Comma 2 2 2 2 2 2 2 2 2 2 2 2 2 2 2 2 2 2 4 2 3 2" xfId="5795" xr:uid="{00000000-0005-0000-0000-0000A0160000}"/>
    <cellStyle name="Comma 2 2 2 2 2 2 2 2 2 2 2 2 2 2 2 2 2 2 4 2 3 3" xfId="5796" xr:uid="{00000000-0005-0000-0000-0000A1160000}"/>
    <cellStyle name="Comma 2 2 2 2 2 2 2 2 2 2 2 2 2 2 2 2 2 2 4 2 3 4" xfId="5797" xr:uid="{00000000-0005-0000-0000-0000A2160000}"/>
    <cellStyle name="Comma 2 2 2 2 2 2 2 2 2 2 2 2 2 2 2 2 2 2 4 2 4" xfId="5798" xr:uid="{00000000-0005-0000-0000-0000A3160000}"/>
    <cellStyle name="Comma 2 2 2 2 2 2 2 2 2 2 2 2 2 2 2 2 2 2 4 2 4 2" xfId="5799" xr:uid="{00000000-0005-0000-0000-0000A4160000}"/>
    <cellStyle name="Comma 2 2 2 2 2 2 2 2 2 2 2 2 2 2 2 2 2 2 4 2 4 3" xfId="5800" xr:uid="{00000000-0005-0000-0000-0000A5160000}"/>
    <cellStyle name="Comma 2 2 2 2 2 2 2 2 2 2 2 2 2 2 2 2 2 2 4 20" xfId="5801" xr:uid="{00000000-0005-0000-0000-0000A6160000}"/>
    <cellStyle name="Comma 2 2 2 2 2 2 2 2 2 2 2 2 2 2 2 2 2 2 4 3" xfId="5802" xr:uid="{00000000-0005-0000-0000-0000A7160000}"/>
    <cellStyle name="Comma 2 2 2 2 2 2 2 2 2 2 2 2 2 2 2 2 2 2 4 3 2" xfId="5803" xr:uid="{00000000-0005-0000-0000-0000A8160000}"/>
    <cellStyle name="Comma 2 2 2 2 2 2 2 2 2 2 2 2 2 2 2 2 2 2 4 3 2 2" xfId="5804" xr:uid="{00000000-0005-0000-0000-0000A9160000}"/>
    <cellStyle name="Comma 2 2 2 2 2 2 2 2 2 2 2 2 2 2 2 2 2 2 4 3 2 3" xfId="5805" xr:uid="{00000000-0005-0000-0000-0000AA160000}"/>
    <cellStyle name="Comma 2 2 2 2 2 2 2 2 2 2 2 2 2 2 2 2 2 2 4 3 3" xfId="5806" xr:uid="{00000000-0005-0000-0000-0000AB160000}"/>
    <cellStyle name="Comma 2 2 2 2 2 2 2 2 2 2 2 2 2 2 2 2 2 2 4 3 3 2" xfId="5807" xr:uid="{00000000-0005-0000-0000-0000AC160000}"/>
    <cellStyle name="Comma 2 2 2 2 2 2 2 2 2 2 2 2 2 2 2 2 2 2 4 4" xfId="5808" xr:uid="{00000000-0005-0000-0000-0000AD160000}"/>
    <cellStyle name="Comma 2 2 2 2 2 2 2 2 2 2 2 2 2 2 2 2 2 2 4 5" xfId="5809" xr:uid="{00000000-0005-0000-0000-0000AE160000}"/>
    <cellStyle name="Comma 2 2 2 2 2 2 2 2 2 2 2 2 2 2 2 2 2 2 4 6" xfId="5810" xr:uid="{00000000-0005-0000-0000-0000AF160000}"/>
    <cellStyle name="Comma 2 2 2 2 2 2 2 2 2 2 2 2 2 2 2 2 2 2 4 6 2" xfId="5811" xr:uid="{00000000-0005-0000-0000-0000B0160000}"/>
    <cellStyle name="Comma 2 2 2 2 2 2 2 2 2 2 2 2 2 2 2 2 2 2 4 6 3" xfId="5812" xr:uid="{00000000-0005-0000-0000-0000B1160000}"/>
    <cellStyle name="Comma 2 2 2 2 2 2 2 2 2 2 2 2 2 2 2 2 2 2 4 7" xfId="5813" xr:uid="{00000000-0005-0000-0000-0000B2160000}"/>
    <cellStyle name="Comma 2 2 2 2 2 2 2 2 2 2 2 2 2 2 2 2 2 2 4 8" xfId="5814" xr:uid="{00000000-0005-0000-0000-0000B3160000}"/>
    <cellStyle name="Comma 2 2 2 2 2 2 2 2 2 2 2 2 2 2 2 2 2 2 4 9" xfId="5815" xr:uid="{00000000-0005-0000-0000-0000B4160000}"/>
    <cellStyle name="Comma 2 2 2 2 2 2 2 2 2 2 2 2 2 2 2 2 2 2 5" xfId="5816" xr:uid="{00000000-0005-0000-0000-0000B5160000}"/>
    <cellStyle name="Comma 2 2 2 2 2 2 2 2 2 2 2 2 2 2 2 2 2 2 5 10" xfId="5817" xr:uid="{00000000-0005-0000-0000-0000B6160000}"/>
    <cellStyle name="Comma 2 2 2 2 2 2 2 2 2 2 2 2 2 2 2 2 2 2 5 11" xfId="5818" xr:uid="{00000000-0005-0000-0000-0000B7160000}"/>
    <cellStyle name="Comma 2 2 2 2 2 2 2 2 2 2 2 2 2 2 2 2 2 2 5 12" xfId="5819" xr:uid="{00000000-0005-0000-0000-0000B8160000}"/>
    <cellStyle name="Comma 2 2 2 2 2 2 2 2 2 2 2 2 2 2 2 2 2 2 5 12 2" xfId="5820" xr:uid="{00000000-0005-0000-0000-0000B9160000}"/>
    <cellStyle name="Comma 2 2 2 2 2 2 2 2 2 2 2 2 2 2 2 2 2 2 5 13" xfId="5821" xr:uid="{00000000-0005-0000-0000-0000BA160000}"/>
    <cellStyle name="Comma 2 2 2 2 2 2 2 2 2 2 2 2 2 2 2 2 2 2 5 14" xfId="5822" xr:uid="{00000000-0005-0000-0000-0000BB160000}"/>
    <cellStyle name="Comma 2 2 2 2 2 2 2 2 2 2 2 2 2 2 2 2 2 2 5 15" xfId="5823" xr:uid="{00000000-0005-0000-0000-0000BC160000}"/>
    <cellStyle name="Comma 2 2 2 2 2 2 2 2 2 2 2 2 2 2 2 2 2 2 5 16" xfId="5824" xr:uid="{00000000-0005-0000-0000-0000BD160000}"/>
    <cellStyle name="Comma 2 2 2 2 2 2 2 2 2 2 2 2 2 2 2 2 2 2 5 17" xfId="5825" xr:uid="{00000000-0005-0000-0000-0000BE160000}"/>
    <cellStyle name="Comma 2 2 2 2 2 2 2 2 2 2 2 2 2 2 2 2 2 2 5 18" xfId="5826" xr:uid="{00000000-0005-0000-0000-0000BF160000}"/>
    <cellStyle name="Comma 2 2 2 2 2 2 2 2 2 2 2 2 2 2 2 2 2 2 5 2" xfId="5827" xr:uid="{00000000-0005-0000-0000-0000C0160000}"/>
    <cellStyle name="Comma 2 2 2 2 2 2 2 2 2 2 2 2 2 2 2 2 2 2 5 2 2" xfId="5828" xr:uid="{00000000-0005-0000-0000-0000C1160000}"/>
    <cellStyle name="Comma 2 2 2 2 2 2 2 2 2 2 2 2 2 2 2 2 2 2 5 2 2 2" xfId="5829" xr:uid="{00000000-0005-0000-0000-0000C2160000}"/>
    <cellStyle name="Comma 2 2 2 2 2 2 2 2 2 2 2 2 2 2 2 2 2 2 5 2 2 3" xfId="5830" xr:uid="{00000000-0005-0000-0000-0000C3160000}"/>
    <cellStyle name="Comma 2 2 2 2 2 2 2 2 2 2 2 2 2 2 2 2 2 2 5 2 3" xfId="5831" xr:uid="{00000000-0005-0000-0000-0000C4160000}"/>
    <cellStyle name="Comma 2 2 2 2 2 2 2 2 2 2 2 2 2 2 2 2 2 2 5 2 3 2" xfId="5832" xr:uid="{00000000-0005-0000-0000-0000C5160000}"/>
    <cellStyle name="Comma 2 2 2 2 2 2 2 2 2 2 2 2 2 2 2 2 2 2 5 3" xfId="5833" xr:uid="{00000000-0005-0000-0000-0000C6160000}"/>
    <cellStyle name="Comma 2 2 2 2 2 2 2 2 2 2 2 2 2 2 2 2 2 2 5 4" xfId="5834" xr:uid="{00000000-0005-0000-0000-0000C7160000}"/>
    <cellStyle name="Comma 2 2 2 2 2 2 2 2 2 2 2 2 2 2 2 2 2 2 5 5" xfId="5835" xr:uid="{00000000-0005-0000-0000-0000C8160000}"/>
    <cellStyle name="Comma 2 2 2 2 2 2 2 2 2 2 2 2 2 2 2 2 2 2 5 5 2" xfId="5836" xr:uid="{00000000-0005-0000-0000-0000C9160000}"/>
    <cellStyle name="Comma 2 2 2 2 2 2 2 2 2 2 2 2 2 2 2 2 2 2 5 5 3" xfId="5837" xr:uid="{00000000-0005-0000-0000-0000CA160000}"/>
    <cellStyle name="Comma 2 2 2 2 2 2 2 2 2 2 2 2 2 2 2 2 2 2 5 6" xfId="5838" xr:uid="{00000000-0005-0000-0000-0000CB160000}"/>
    <cellStyle name="Comma 2 2 2 2 2 2 2 2 2 2 2 2 2 2 2 2 2 2 5 7" xfId="5839" xr:uid="{00000000-0005-0000-0000-0000CC160000}"/>
    <cellStyle name="Comma 2 2 2 2 2 2 2 2 2 2 2 2 2 2 2 2 2 2 5 8" xfId="5840" xr:uid="{00000000-0005-0000-0000-0000CD160000}"/>
    <cellStyle name="Comma 2 2 2 2 2 2 2 2 2 2 2 2 2 2 2 2 2 2 5 9" xfId="5841" xr:uid="{00000000-0005-0000-0000-0000CE160000}"/>
    <cellStyle name="Comma 2 2 2 2 2 2 2 2 2 2 2 2 2 2 2 2 2 2 6" xfId="5842" xr:uid="{00000000-0005-0000-0000-0000CF160000}"/>
    <cellStyle name="Comma 2 2 2 2 2 2 2 2 2 2 2 2 2 2 2 2 2 2 6 10" xfId="5843" xr:uid="{00000000-0005-0000-0000-0000D0160000}"/>
    <cellStyle name="Comma 2 2 2 2 2 2 2 2 2 2 2 2 2 2 2 2 2 2 6 10 2" xfId="5844" xr:uid="{00000000-0005-0000-0000-0000D1160000}"/>
    <cellStyle name="Comma 2 2 2 2 2 2 2 2 2 2 2 2 2 2 2 2 2 2 6 11" xfId="5845" xr:uid="{00000000-0005-0000-0000-0000D2160000}"/>
    <cellStyle name="Comma 2 2 2 2 2 2 2 2 2 2 2 2 2 2 2 2 2 2 6 12" xfId="5846" xr:uid="{00000000-0005-0000-0000-0000D3160000}"/>
    <cellStyle name="Comma 2 2 2 2 2 2 2 2 2 2 2 2 2 2 2 2 2 2 6 13" xfId="5847" xr:uid="{00000000-0005-0000-0000-0000D4160000}"/>
    <cellStyle name="Comma 2 2 2 2 2 2 2 2 2 2 2 2 2 2 2 2 2 2 6 14" xfId="5848" xr:uid="{00000000-0005-0000-0000-0000D5160000}"/>
    <cellStyle name="Comma 2 2 2 2 2 2 2 2 2 2 2 2 2 2 2 2 2 2 6 15" xfId="5849" xr:uid="{00000000-0005-0000-0000-0000D6160000}"/>
    <cellStyle name="Comma 2 2 2 2 2 2 2 2 2 2 2 2 2 2 2 2 2 2 6 16" xfId="5850" xr:uid="{00000000-0005-0000-0000-0000D7160000}"/>
    <cellStyle name="Comma 2 2 2 2 2 2 2 2 2 2 2 2 2 2 2 2 2 2 6 2" xfId="5851" xr:uid="{00000000-0005-0000-0000-0000D8160000}"/>
    <cellStyle name="Comma 2 2 2 2 2 2 2 2 2 2 2 2 2 2 2 2 2 2 6 2 2" xfId="5852" xr:uid="{00000000-0005-0000-0000-0000D9160000}"/>
    <cellStyle name="Comma 2 2 2 2 2 2 2 2 2 2 2 2 2 2 2 2 2 2 6 2 2 2" xfId="5853" xr:uid="{00000000-0005-0000-0000-0000DA160000}"/>
    <cellStyle name="Comma 2 2 2 2 2 2 2 2 2 2 2 2 2 2 2 2 2 2 6 2 2 3" xfId="5854" xr:uid="{00000000-0005-0000-0000-0000DB160000}"/>
    <cellStyle name="Comma 2 2 2 2 2 2 2 2 2 2 2 2 2 2 2 2 2 2 6 2 3" xfId="5855" xr:uid="{00000000-0005-0000-0000-0000DC160000}"/>
    <cellStyle name="Comma 2 2 2 2 2 2 2 2 2 2 2 2 2 2 2 2 2 2 6 2 3 2" xfId="5856" xr:uid="{00000000-0005-0000-0000-0000DD160000}"/>
    <cellStyle name="Comma 2 2 2 2 2 2 2 2 2 2 2 2 2 2 2 2 2 2 6 3" xfId="5857" xr:uid="{00000000-0005-0000-0000-0000DE160000}"/>
    <cellStyle name="Comma 2 2 2 2 2 2 2 2 2 2 2 2 2 2 2 2 2 2 6 4" xfId="5858" xr:uid="{00000000-0005-0000-0000-0000DF160000}"/>
    <cellStyle name="Comma 2 2 2 2 2 2 2 2 2 2 2 2 2 2 2 2 2 2 6 4 2" xfId="5859" xr:uid="{00000000-0005-0000-0000-0000E0160000}"/>
    <cellStyle name="Comma 2 2 2 2 2 2 2 2 2 2 2 2 2 2 2 2 2 2 6 4 3" xfId="5860" xr:uid="{00000000-0005-0000-0000-0000E1160000}"/>
    <cellStyle name="Comma 2 2 2 2 2 2 2 2 2 2 2 2 2 2 2 2 2 2 6 5" xfId="5861" xr:uid="{00000000-0005-0000-0000-0000E2160000}"/>
    <cellStyle name="Comma 2 2 2 2 2 2 2 2 2 2 2 2 2 2 2 2 2 2 6 6" xfId="5862" xr:uid="{00000000-0005-0000-0000-0000E3160000}"/>
    <cellStyle name="Comma 2 2 2 2 2 2 2 2 2 2 2 2 2 2 2 2 2 2 6 7" xfId="5863" xr:uid="{00000000-0005-0000-0000-0000E4160000}"/>
    <cellStyle name="Comma 2 2 2 2 2 2 2 2 2 2 2 2 2 2 2 2 2 2 6 8" xfId="5864" xr:uid="{00000000-0005-0000-0000-0000E5160000}"/>
    <cellStyle name="Comma 2 2 2 2 2 2 2 2 2 2 2 2 2 2 2 2 2 2 6 9" xfId="5865" xr:uid="{00000000-0005-0000-0000-0000E6160000}"/>
    <cellStyle name="Comma 2 2 2 2 2 2 2 2 2 2 2 2 2 2 2 2 2 2 7" xfId="5866" xr:uid="{00000000-0005-0000-0000-0000E7160000}"/>
    <cellStyle name="Comma 2 2 2 2 2 2 2 2 2 2 2 2 2 2 2 2 2 2 7 10" xfId="5867" xr:uid="{00000000-0005-0000-0000-0000E8160000}"/>
    <cellStyle name="Comma 2 2 2 2 2 2 2 2 2 2 2 2 2 2 2 2 2 2 7 11" xfId="5868" xr:uid="{00000000-0005-0000-0000-0000E9160000}"/>
    <cellStyle name="Comma 2 2 2 2 2 2 2 2 2 2 2 2 2 2 2 2 2 2 7 12" xfId="5869" xr:uid="{00000000-0005-0000-0000-0000EA160000}"/>
    <cellStyle name="Comma 2 2 2 2 2 2 2 2 2 2 2 2 2 2 2 2 2 2 7 13" xfId="5870" xr:uid="{00000000-0005-0000-0000-0000EB160000}"/>
    <cellStyle name="Comma 2 2 2 2 2 2 2 2 2 2 2 2 2 2 2 2 2 2 7 14" xfId="5871" xr:uid="{00000000-0005-0000-0000-0000EC160000}"/>
    <cellStyle name="Comma 2 2 2 2 2 2 2 2 2 2 2 2 2 2 2 2 2 2 7 2" xfId="5872" xr:uid="{00000000-0005-0000-0000-0000ED160000}"/>
    <cellStyle name="Comma 2 2 2 2 2 2 2 2 2 2 2 2 2 2 2 2 2 2 7 2 2" xfId="5873" xr:uid="{00000000-0005-0000-0000-0000EE160000}"/>
    <cellStyle name="Comma 2 2 2 2 2 2 2 2 2 2 2 2 2 2 2 2 2 2 7 2 2 2" xfId="5874" xr:uid="{00000000-0005-0000-0000-0000EF160000}"/>
    <cellStyle name="Comma 2 2 2 2 2 2 2 2 2 2 2 2 2 2 2 2 2 2 7 2 2 3" xfId="5875" xr:uid="{00000000-0005-0000-0000-0000F0160000}"/>
    <cellStyle name="Comma 2 2 2 2 2 2 2 2 2 2 2 2 2 2 2 2 2 2 7 2 3" xfId="5876" xr:uid="{00000000-0005-0000-0000-0000F1160000}"/>
    <cellStyle name="Comma 2 2 2 2 2 2 2 2 2 2 2 2 2 2 2 2 2 2 7 2 3 2" xfId="5877" xr:uid="{00000000-0005-0000-0000-0000F2160000}"/>
    <cellStyle name="Comma 2 2 2 2 2 2 2 2 2 2 2 2 2 2 2 2 2 2 7 3" xfId="5878" xr:uid="{00000000-0005-0000-0000-0000F3160000}"/>
    <cellStyle name="Comma 2 2 2 2 2 2 2 2 2 2 2 2 2 2 2 2 2 2 7 3 2" xfId="5879" xr:uid="{00000000-0005-0000-0000-0000F4160000}"/>
    <cellStyle name="Comma 2 2 2 2 2 2 2 2 2 2 2 2 2 2 2 2 2 2 7 3 3" xfId="5880" xr:uid="{00000000-0005-0000-0000-0000F5160000}"/>
    <cellStyle name="Comma 2 2 2 2 2 2 2 2 2 2 2 2 2 2 2 2 2 2 7 4" xfId="5881" xr:uid="{00000000-0005-0000-0000-0000F6160000}"/>
    <cellStyle name="Comma 2 2 2 2 2 2 2 2 2 2 2 2 2 2 2 2 2 2 7 5" xfId="5882" xr:uid="{00000000-0005-0000-0000-0000F7160000}"/>
    <cellStyle name="Comma 2 2 2 2 2 2 2 2 2 2 2 2 2 2 2 2 2 2 7 6" xfId="5883" xr:uid="{00000000-0005-0000-0000-0000F8160000}"/>
    <cellStyle name="Comma 2 2 2 2 2 2 2 2 2 2 2 2 2 2 2 2 2 2 7 7" xfId="5884" xr:uid="{00000000-0005-0000-0000-0000F9160000}"/>
    <cellStyle name="Comma 2 2 2 2 2 2 2 2 2 2 2 2 2 2 2 2 2 2 7 8" xfId="5885" xr:uid="{00000000-0005-0000-0000-0000FA160000}"/>
    <cellStyle name="Comma 2 2 2 2 2 2 2 2 2 2 2 2 2 2 2 2 2 2 7 8 2" xfId="5886" xr:uid="{00000000-0005-0000-0000-0000FB160000}"/>
    <cellStyle name="Comma 2 2 2 2 2 2 2 2 2 2 2 2 2 2 2 2 2 2 7 9" xfId="5887" xr:uid="{00000000-0005-0000-0000-0000FC160000}"/>
    <cellStyle name="Comma 2 2 2 2 2 2 2 2 2 2 2 2 2 2 2 2 2 2 8" xfId="5888" xr:uid="{00000000-0005-0000-0000-0000FD160000}"/>
    <cellStyle name="Comma 2 2 2 2 2 2 2 2 2 2 2 2 2 2 2 2 2 2 8 10" xfId="5889" xr:uid="{00000000-0005-0000-0000-0000FE160000}"/>
    <cellStyle name="Comma 2 2 2 2 2 2 2 2 2 2 2 2 2 2 2 2 2 2 8 11" xfId="5890" xr:uid="{00000000-0005-0000-0000-0000FF160000}"/>
    <cellStyle name="Comma 2 2 2 2 2 2 2 2 2 2 2 2 2 2 2 2 2 2 8 12" xfId="5891" xr:uid="{00000000-0005-0000-0000-000000170000}"/>
    <cellStyle name="Comma 2 2 2 2 2 2 2 2 2 2 2 2 2 2 2 2 2 2 8 13" xfId="5892" xr:uid="{00000000-0005-0000-0000-000001170000}"/>
    <cellStyle name="Comma 2 2 2 2 2 2 2 2 2 2 2 2 2 2 2 2 2 2 8 2" xfId="5893" xr:uid="{00000000-0005-0000-0000-000002170000}"/>
    <cellStyle name="Comma 2 2 2 2 2 2 2 2 2 2 2 2 2 2 2 2 2 2 8 3" xfId="5894" xr:uid="{00000000-0005-0000-0000-000003170000}"/>
    <cellStyle name="Comma 2 2 2 2 2 2 2 2 2 2 2 2 2 2 2 2 2 2 8 4" xfId="5895" xr:uid="{00000000-0005-0000-0000-000004170000}"/>
    <cellStyle name="Comma 2 2 2 2 2 2 2 2 2 2 2 2 2 2 2 2 2 2 8 5" xfId="5896" xr:uid="{00000000-0005-0000-0000-000005170000}"/>
    <cellStyle name="Comma 2 2 2 2 2 2 2 2 2 2 2 2 2 2 2 2 2 2 8 6" xfId="5897" xr:uid="{00000000-0005-0000-0000-000006170000}"/>
    <cellStyle name="Comma 2 2 2 2 2 2 2 2 2 2 2 2 2 2 2 2 2 2 8 7" xfId="5898" xr:uid="{00000000-0005-0000-0000-000007170000}"/>
    <cellStyle name="Comma 2 2 2 2 2 2 2 2 2 2 2 2 2 2 2 2 2 2 8 7 2" xfId="5899" xr:uid="{00000000-0005-0000-0000-000008170000}"/>
    <cellStyle name="Comma 2 2 2 2 2 2 2 2 2 2 2 2 2 2 2 2 2 2 8 8" xfId="5900" xr:uid="{00000000-0005-0000-0000-000009170000}"/>
    <cellStyle name="Comma 2 2 2 2 2 2 2 2 2 2 2 2 2 2 2 2 2 2 8 9" xfId="5901" xr:uid="{00000000-0005-0000-0000-00000A170000}"/>
    <cellStyle name="Comma 2 2 2 2 2 2 2 2 2 2 2 2 2 2 2 2 2 2 9" xfId="5902" xr:uid="{00000000-0005-0000-0000-00000B170000}"/>
    <cellStyle name="Comma 2 2 2 2 2 2 2 2 2 2 2 2 2 2 2 2 2 2 9 2" xfId="5903" xr:uid="{00000000-0005-0000-0000-00000C170000}"/>
    <cellStyle name="Comma 2 2 2 2 2 2 2 2 2 2 2 2 2 2 2 2 2 2 9 3" xfId="5904" xr:uid="{00000000-0005-0000-0000-00000D170000}"/>
    <cellStyle name="Comma 2 2 2 2 2 2 2 2 2 2 2 2 2 2 2 2 2 2 9 4" xfId="5905" xr:uid="{00000000-0005-0000-0000-00000E170000}"/>
    <cellStyle name="Comma 2 2 2 2 2 2 2 2 2 2 2 2 2 2 2 2 2 2 9 5" xfId="5906" xr:uid="{00000000-0005-0000-0000-00000F170000}"/>
    <cellStyle name="Comma 2 2 2 2 2 2 2 2 2 2 2 2 2 2 2 2 2 2 9 6" xfId="5907" xr:uid="{00000000-0005-0000-0000-000010170000}"/>
    <cellStyle name="Comma 2 2 2 2 2 2 2 2 2 2 2 2 2 2 2 2 2 2 9 7" xfId="5908" xr:uid="{00000000-0005-0000-0000-000011170000}"/>
    <cellStyle name="Comma 2 2 2 2 2 2 2 2 2 2 2 2 2 2 2 2 2 2 9 8" xfId="5909" xr:uid="{00000000-0005-0000-0000-000012170000}"/>
    <cellStyle name="Comma 2 2 2 2 2 2 2 2 2 2 2 2 2 2 2 2 2 2 9 9" xfId="5910" xr:uid="{00000000-0005-0000-0000-000013170000}"/>
    <cellStyle name="Comma 2 2 2 2 2 2 2 2 2 2 2 2 2 2 2 2 2 20" xfId="5911" xr:uid="{00000000-0005-0000-0000-000014170000}"/>
    <cellStyle name="Comma 2 2 2 2 2 2 2 2 2 2 2 2 2 2 2 2 2 21" xfId="5912" xr:uid="{00000000-0005-0000-0000-000015170000}"/>
    <cellStyle name="Comma 2 2 2 2 2 2 2 2 2 2 2 2 2 2 2 2 2 22" xfId="5913" xr:uid="{00000000-0005-0000-0000-000016170000}"/>
    <cellStyle name="Comma 2 2 2 2 2 2 2 2 2 2 2 2 2 2 2 2 2 22 2" xfId="5914" xr:uid="{00000000-0005-0000-0000-000017170000}"/>
    <cellStyle name="Comma 2 2 2 2 2 2 2 2 2 2 2 2 2 2 2 2 2 22 3" xfId="5915" xr:uid="{00000000-0005-0000-0000-000018170000}"/>
    <cellStyle name="Comma 2 2 2 2 2 2 2 2 2 2 2 2 2 2 2 2 2 23" xfId="5916" xr:uid="{00000000-0005-0000-0000-000019170000}"/>
    <cellStyle name="Comma 2 2 2 2 2 2 2 2 2 2 2 2 2 2 2 2 2 24" xfId="5917" xr:uid="{00000000-0005-0000-0000-00001A170000}"/>
    <cellStyle name="Comma 2 2 2 2 2 2 2 2 2 2 2 2 2 2 2 2 2 25" xfId="5918" xr:uid="{00000000-0005-0000-0000-00001B170000}"/>
    <cellStyle name="Comma 2 2 2 2 2 2 2 2 2 2 2 2 2 2 2 2 2 25 2" xfId="5919" xr:uid="{00000000-0005-0000-0000-00001C170000}"/>
    <cellStyle name="Comma 2 2 2 2 2 2 2 2 2 2 2 2 2 2 2 2 2 26" xfId="5920" xr:uid="{00000000-0005-0000-0000-00001D170000}"/>
    <cellStyle name="Comma 2 2 2 2 2 2 2 2 2 2 2 2 2 2 2 2 2 27" xfId="5921" xr:uid="{00000000-0005-0000-0000-00001E170000}"/>
    <cellStyle name="Comma 2 2 2 2 2 2 2 2 2 2 2 2 2 2 2 2 2 28" xfId="5922" xr:uid="{00000000-0005-0000-0000-00001F170000}"/>
    <cellStyle name="Comma 2 2 2 2 2 2 2 2 2 2 2 2 2 2 2 2 2 29" xfId="5923" xr:uid="{00000000-0005-0000-0000-000020170000}"/>
    <cellStyle name="Comma 2 2 2 2 2 2 2 2 2 2 2 2 2 2 2 2 2 3" xfId="5924" xr:uid="{00000000-0005-0000-0000-000021170000}"/>
    <cellStyle name="Comma 2 2 2 2 2 2 2 2 2 2 2 2 2 2 2 2 2 30" xfId="5925" xr:uid="{00000000-0005-0000-0000-000022170000}"/>
    <cellStyle name="Comma 2 2 2 2 2 2 2 2 2 2 2 2 2 2 2 2 2 31" xfId="5926" xr:uid="{00000000-0005-0000-0000-000023170000}"/>
    <cellStyle name="Comma 2 2 2 2 2 2 2 2 2 2 2 2 2 2 2 2 2 32" xfId="5927" xr:uid="{00000000-0005-0000-0000-000024170000}"/>
    <cellStyle name="Comma 2 2 2 2 2 2 2 2 2 2 2 2 2 2 2 2 2 33" xfId="5928" xr:uid="{00000000-0005-0000-0000-000025170000}"/>
    <cellStyle name="Comma 2 2 2 2 2 2 2 2 2 2 2 2 2 2 2 2 2 4" xfId="5929" xr:uid="{00000000-0005-0000-0000-000026170000}"/>
    <cellStyle name="Comma 2 2 2 2 2 2 2 2 2 2 2 2 2 2 2 2 2 4 10" xfId="5930" xr:uid="{00000000-0005-0000-0000-000027170000}"/>
    <cellStyle name="Comma 2 2 2 2 2 2 2 2 2 2 2 2 2 2 2 2 2 4 10 2" xfId="5931" xr:uid="{00000000-0005-0000-0000-000028170000}"/>
    <cellStyle name="Comma 2 2 2 2 2 2 2 2 2 2 2 2 2 2 2 2 2 4 10 3" xfId="5932" xr:uid="{00000000-0005-0000-0000-000029170000}"/>
    <cellStyle name="Comma 2 2 2 2 2 2 2 2 2 2 2 2 2 2 2 2 2 4 10 4" xfId="5933" xr:uid="{00000000-0005-0000-0000-00002A170000}"/>
    <cellStyle name="Comma 2 2 2 2 2 2 2 2 2 2 2 2 2 2 2 2 2 4 10 5" xfId="5934" xr:uid="{00000000-0005-0000-0000-00002B170000}"/>
    <cellStyle name="Comma 2 2 2 2 2 2 2 2 2 2 2 2 2 2 2 2 2 4 10 6" xfId="5935" xr:uid="{00000000-0005-0000-0000-00002C170000}"/>
    <cellStyle name="Comma 2 2 2 2 2 2 2 2 2 2 2 2 2 2 2 2 2 4 10 7" xfId="5936" xr:uid="{00000000-0005-0000-0000-00002D170000}"/>
    <cellStyle name="Comma 2 2 2 2 2 2 2 2 2 2 2 2 2 2 2 2 2 4 10 8" xfId="5937" xr:uid="{00000000-0005-0000-0000-00002E170000}"/>
    <cellStyle name="Comma 2 2 2 2 2 2 2 2 2 2 2 2 2 2 2 2 2 4 11" xfId="5938" xr:uid="{00000000-0005-0000-0000-00002F170000}"/>
    <cellStyle name="Comma 2 2 2 2 2 2 2 2 2 2 2 2 2 2 2 2 2 4 11 2" xfId="5939" xr:uid="{00000000-0005-0000-0000-000030170000}"/>
    <cellStyle name="Comma 2 2 2 2 2 2 2 2 2 2 2 2 2 2 2 2 2 4 11 3" xfId="5940" xr:uid="{00000000-0005-0000-0000-000031170000}"/>
    <cellStyle name="Comma 2 2 2 2 2 2 2 2 2 2 2 2 2 2 2 2 2 4 11 4" xfId="5941" xr:uid="{00000000-0005-0000-0000-000032170000}"/>
    <cellStyle name="Comma 2 2 2 2 2 2 2 2 2 2 2 2 2 2 2 2 2 4 11 5" xfId="5942" xr:uid="{00000000-0005-0000-0000-000033170000}"/>
    <cellStyle name="Comma 2 2 2 2 2 2 2 2 2 2 2 2 2 2 2 2 2 4 11 6" xfId="5943" xr:uid="{00000000-0005-0000-0000-000034170000}"/>
    <cellStyle name="Comma 2 2 2 2 2 2 2 2 2 2 2 2 2 2 2 2 2 4 11 7" xfId="5944" xr:uid="{00000000-0005-0000-0000-000035170000}"/>
    <cellStyle name="Comma 2 2 2 2 2 2 2 2 2 2 2 2 2 2 2 2 2 4 11 8" xfId="5945" xr:uid="{00000000-0005-0000-0000-000036170000}"/>
    <cellStyle name="Comma 2 2 2 2 2 2 2 2 2 2 2 2 2 2 2 2 2 4 12" xfId="5946" xr:uid="{00000000-0005-0000-0000-000037170000}"/>
    <cellStyle name="Comma 2 2 2 2 2 2 2 2 2 2 2 2 2 2 2 2 2 4 12 2" xfId="5947" xr:uid="{00000000-0005-0000-0000-000038170000}"/>
    <cellStyle name="Comma 2 2 2 2 2 2 2 2 2 2 2 2 2 2 2 2 2 4 12 3" xfId="5948" xr:uid="{00000000-0005-0000-0000-000039170000}"/>
    <cellStyle name="Comma 2 2 2 2 2 2 2 2 2 2 2 2 2 2 2 2 2 4 12 4" xfId="5949" xr:uid="{00000000-0005-0000-0000-00003A170000}"/>
    <cellStyle name="Comma 2 2 2 2 2 2 2 2 2 2 2 2 2 2 2 2 2 4 12 5" xfId="5950" xr:uid="{00000000-0005-0000-0000-00003B170000}"/>
    <cellStyle name="Comma 2 2 2 2 2 2 2 2 2 2 2 2 2 2 2 2 2 4 12 6" xfId="5951" xr:uid="{00000000-0005-0000-0000-00003C170000}"/>
    <cellStyle name="Comma 2 2 2 2 2 2 2 2 2 2 2 2 2 2 2 2 2 4 12 7" xfId="5952" xr:uid="{00000000-0005-0000-0000-00003D170000}"/>
    <cellStyle name="Comma 2 2 2 2 2 2 2 2 2 2 2 2 2 2 2 2 2 4 12 8" xfId="5953" xr:uid="{00000000-0005-0000-0000-00003E170000}"/>
    <cellStyle name="Comma 2 2 2 2 2 2 2 2 2 2 2 2 2 2 2 2 2 4 13" xfId="5954" xr:uid="{00000000-0005-0000-0000-00003F170000}"/>
    <cellStyle name="Comma 2 2 2 2 2 2 2 2 2 2 2 2 2 2 2 2 2 4 13 2" xfId="5955" xr:uid="{00000000-0005-0000-0000-000040170000}"/>
    <cellStyle name="Comma 2 2 2 2 2 2 2 2 2 2 2 2 2 2 2 2 2 4 13 3" xfId="5956" xr:uid="{00000000-0005-0000-0000-000041170000}"/>
    <cellStyle name="Comma 2 2 2 2 2 2 2 2 2 2 2 2 2 2 2 2 2 4 13 4" xfId="5957" xr:uid="{00000000-0005-0000-0000-000042170000}"/>
    <cellStyle name="Comma 2 2 2 2 2 2 2 2 2 2 2 2 2 2 2 2 2 4 13 5" xfId="5958" xr:uid="{00000000-0005-0000-0000-000043170000}"/>
    <cellStyle name="Comma 2 2 2 2 2 2 2 2 2 2 2 2 2 2 2 2 2 4 13 6" xfId="5959" xr:uid="{00000000-0005-0000-0000-000044170000}"/>
    <cellStyle name="Comma 2 2 2 2 2 2 2 2 2 2 2 2 2 2 2 2 2 4 13 7" xfId="5960" xr:uid="{00000000-0005-0000-0000-000045170000}"/>
    <cellStyle name="Comma 2 2 2 2 2 2 2 2 2 2 2 2 2 2 2 2 2 4 13 8" xfId="5961" xr:uid="{00000000-0005-0000-0000-000046170000}"/>
    <cellStyle name="Comma 2 2 2 2 2 2 2 2 2 2 2 2 2 2 2 2 2 4 14" xfId="5962" xr:uid="{00000000-0005-0000-0000-000047170000}"/>
    <cellStyle name="Comma 2 2 2 2 2 2 2 2 2 2 2 2 2 2 2 2 2 4 14 2" xfId="5963" xr:uid="{00000000-0005-0000-0000-000048170000}"/>
    <cellStyle name="Comma 2 2 2 2 2 2 2 2 2 2 2 2 2 2 2 2 2 4 2" xfId="5964" xr:uid="{00000000-0005-0000-0000-000049170000}"/>
    <cellStyle name="Comma 2 2 2 2 2 2 2 2 2 2 2 2 2 2 2 2 2 4 2 10" xfId="5965" xr:uid="{00000000-0005-0000-0000-00004A170000}"/>
    <cellStyle name="Comma 2 2 2 2 2 2 2 2 2 2 2 2 2 2 2 2 2 4 2 11" xfId="5966" xr:uid="{00000000-0005-0000-0000-00004B170000}"/>
    <cellStyle name="Comma 2 2 2 2 2 2 2 2 2 2 2 2 2 2 2 2 2 4 2 12" xfId="5967" xr:uid="{00000000-0005-0000-0000-00004C170000}"/>
    <cellStyle name="Comma 2 2 2 2 2 2 2 2 2 2 2 2 2 2 2 2 2 4 2 12 2" xfId="5968" xr:uid="{00000000-0005-0000-0000-00004D170000}"/>
    <cellStyle name="Comma 2 2 2 2 2 2 2 2 2 2 2 2 2 2 2 2 2 4 2 13" xfId="5969" xr:uid="{00000000-0005-0000-0000-00004E170000}"/>
    <cellStyle name="Comma 2 2 2 2 2 2 2 2 2 2 2 2 2 2 2 2 2 4 2 14" xfId="5970" xr:uid="{00000000-0005-0000-0000-00004F170000}"/>
    <cellStyle name="Comma 2 2 2 2 2 2 2 2 2 2 2 2 2 2 2 2 2 4 2 15" xfId="5971" xr:uid="{00000000-0005-0000-0000-000050170000}"/>
    <cellStyle name="Comma 2 2 2 2 2 2 2 2 2 2 2 2 2 2 2 2 2 4 2 16" xfId="5972" xr:uid="{00000000-0005-0000-0000-000051170000}"/>
    <cellStyle name="Comma 2 2 2 2 2 2 2 2 2 2 2 2 2 2 2 2 2 4 2 17" xfId="5973" xr:uid="{00000000-0005-0000-0000-000052170000}"/>
    <cellStyle name="Comma 2 2 2 2 2 2 2 2 2 2 2 2 2 2 2 2 2 4 2 18" xfId="5974" xr:uid="{00000000-0005-0000-0000-000053170000}"/>
    <cellStyle name="Comma 2 2 2 2 2 2 2 2 2 2 2 2 2 2 2 2 2 4 2 2" xfId="5975" xr:uid="{00000000-0005-0000-0000-000054170000}"/>
    <cellStyle name="Comma 2 2 2 2 2 2 2 2 2 2 2 2 2 2 2 2 2 4 2 2 2" xfId="5976" xr:uid="{00000000-0005-0000-0000-000055170000}"/>
    <cellStyle name="Comma 2 2 2 2 2 2 2 2 2 2 2 2 2 2 2 2 2 4 2 2 3" xfId="5977" xr:uid="{00000000-0005-0000-0000-000056170000}"/>
    <cellStyle name="Comma 2 2 2 2 2 2 2 2 2 2 2 2 2 2 2 2 2 4 2 2 4" xfId="5978" xr:uid="{00000000-0005-0000-0000-000057170000}"/>
    <cellStyle name="Comma 2 2 2 2 2 2 2 2 2 2 2 2 2 2 2 2 2 4 2 3" xfId="5979" xr:uid="{00000000-0005-0000-0000-000058170000}"/>
    <cellStyle name="Comma 2 2 2 2 2 2 2 2 2 2 2 2 2 2 2 2 2 4 2 4" xfId="5980" xr:uid="{00000000-0005-0000-0000-000059170000}"/>
    <cellStyle name="Comma 2 2 2 2 2 2 2 2 2 2 2 2 2 2 2 2 2 4 2 5" xfId="5981" xr:uid="{00000000-0005-0000-0000-00005A170000}"/>
    <cellStyle name="Comma 2 2 2 2 2 2 2 2 2 2 2 2 2 2 2 2 2 4 2 6" xfId="5982" xr:uid="{00000000-0005-0000-0000-00005B170000}"/>
    <cellStyle name="Comma 2 2 2 2 2 2 2 2 2 2 2 2 2 2 2 2 2 4 2 7" xfId="5983" xr:uid="{00000000-0005-0000-0000-00005C170000}"/>
    <cellStyle name="Comma 2 2 2 2 2 2 2 2 2 2 2 2 2 2 2 2 2 4 2 8" xfId="5984" xr:uid="{00000000-0005-0000-0000-00005D170000}"/>
    <cellStyle name="Comma 2 2 2 2 2 2 2 2 2 2 2 2 2 2 2 2 2 4 2 9" xfId="5985" xr:uid="{00000000-0005-0000-0000-00005E170000}"/>
    <cellStyle name="Comma 2 2 2 2 2 2 2 2 2 2 2 2 2 2 2 2 2 4 3" xfId="5986" xr:uid="{00000000-0005-0000-0000-00005F170000}"/>
    <cellStyle name="Comma 2 2 2 2 2 2 2 2 2 2 2 2 2 2 2 2 2 4 3 10" xfId="5987" xr:uid="{00000000-0005-0000-0000-000060170000}"/>
    <cellStyle name="Comma 2 2 2 2 2 2 2 2 2 2 2 2 2 2 2 2 2 4 3 10 2" xfId="5988" xr:uid="{00000000-0005-0000-0000-000061170000}"/>
    <cellStyle name="Comma 2 2 2 2 2 2 2 2 2 2 2 2 2 2 2 2 2 4 3 11" xfId="5989" xr:uid="{00000000-0005-0000-0000-000062170000}"/>
    <cellStyle name="Comma 2 2 2 2 2 2 2 2 2 2 2 2 2 2 2 2 2 4 3 12" xfId="5990" xr:uid="{00000000-0005-0000-0000-000063170000}"/>
    <cellStyle name="Comma 2 2 2 2 2 2 2 2 2 2 2 2 2 2 2 2 2 4 3 13" xfId="5991" xr:uid="{00000000-0005-0000-0000-000064170000}"/>
    <cellStyle name="Comma 2 2 2 2 2 2 2 2 2 2 2 2 2 2 2 2 2 4 3 14" xfId="5992" xr:uid="{00000000-0005-0000-0000-000065170000}"/>
    <cellStyle name="Comma 2 2 2 2 2 2 2 2 2 2 2 2 2 2 2 2 2 4 3 15" xfId="5993" xr:uid="{00000000-0005-0000-0000-000066170000}"/>
    <cellStyle name="Comma 2 2 2 2 2 2 2 2 2 2 2 2 2 2 2 2 2 4 3 16" xfId="5994" xr:uid="{00000000-0005-0000-0000-000067170000}"/>
    <cellStyle name="Comma 2 2 2 2 2 2 2 2 2 2 2 2 2 2 2 2 2 4 3 2" xfId="5995" xr:uid="{00000000-0005-0000-0000-000068170000}"/>
    <cellStyle name="Comma 2 2 2 2 2 2 2 2 2 2 2 2 2 2 2 2 2 4 3 2 2" xfId="5996" xr:uid="{00000000-0005-0000-0000-000069170000}"/>
    <cellStyle name="Comma 2 2 2 2 2 2 2 2 2 2 2 2 2 2 2 2 2 4 3 2 2 2" xfId="5997" xr:uid="{00000000-0005-0000-0000-00006A170000}"/>
    <cellStyle name="Comma 2 2 2 2 2 2 2 2 2 2 2 2 2 2 2 2 2 4 3 2 2 3" xfId="5998" xr:uid="{00000000-0005-0000-0000-00006B170000}"/>
    <cellStyle name="Comma 2 2 2 2 2 2 2 2 2 2 2 2 2 2 2 2 2 4 3 3" xfId="5999" xr:uid="{00000000-0005-0000-0000-00006C170000}"/>
    <cellStyle name="Comma 2 2 2 2 2 2 2 2 2 2 2 2 2 2 2 2 2 4 3 4" xfId="6000" xr:uid="{00000000-0005-0000-0000-00006D170000}"/>
    <cellStyle name="Comma 2 2 2 2 2 2 2 2 2 2 2 2 2 2 2 2 2 4 3 5" xfId="6001" xr:uid="{00000000-0005-0000-0000-00006E170000}"/>
    <cellStyle name="Comma 2 2 2 2 2 2 2 2 2 2 2 2 2 2 2 2 2 4 3 6" xfId="6002" xr:uid="{00000000-0005-0000-0000-00006F170000}"/>
    <cellStyle name="Comma 2 2 2 2 2 2 2 2 2 2 2 2 2 2 2 2 2 4 3 7" xfId="6003" xr:uid="{00000000-0005-0000-0000-000070170000}"/>
    <cellStyle name="Comma 2 2 2 2 2 2 2 2 2 2 2 2 2 2 2 2 2 4 3 8" xfId="6004" xr:uid="{00000000-0005-0000-0000-000071170000}"/>
    <cellStyle name="Comma 2 2 2 2 2 2 2 2 2 2 2 2 2 2 2 2 2 4 3 9" xfId="6005" xr:uid="{00000000-0005-0000-0000-000072170000}"/>
    <cellStyle name="Comma 2 2 2 2 2 2 2 2 2 2 2 2 2 2 2 2 2 4 4" xfId="6006" xr:uid="{00000000-0005-0000-0000-000073170000}"/>
    <cellStyle name="Comma 2 2 2 2 2 2 2 2 2 2 2 2 2 2 2 2 2 4 4 10" xfId="6007" xr:uid="{00000000-0005-0000-0000-000074170000}"/>
    <cellStyle name="Comma 2 2 2 2 2 2 2 2 2 2 2 2 2 2 2 2 2 4 4 11" xfId="6008" xr:uid="{00000000-0005-0000-0000-000075170000}"/>
    <cellStyle name="Comma 2 2 2 2 2 2 2 2 2 2 2 2 2 2 2 2 2 4 4 12" xfId="6009" xr:uid="{00000000-0005-0000-0000-000076170000}"/>
    <cellStyle name="Comma 2 2 2 2 2 2 2 2 2 2 2 2 2 2 2 2 2 4 4 13" xfId="6010" xr:uid="{00000000-0005-0000-0000-000077170000}"/>
    <cellStyle name="Comma 2 2 2 2 2 2 2 2 2 2 2 2 2 2 2 2 2 4 4 14" xfId="6011" xr:uid="{00000000-0005-0000-0000-000078170000}"/>
    <cellStyle name="Comma 2 2 2 2 2 2 2 2 2 2 2 2 2 2 2 2 2 4 4 15" xfId="6012" xr:uid="{00000000-0005-0000-0000-000079170000}"/>
    <cellStyle name="Comma 2 2 2 2 2 2 2 2 2 2 2 2 2 2 2 2 2 4 4 2" xfId="6013" xr:uid="{00000000-0005-0000-0000-00007A170000}"/>
    <cellStyle name="Comma 2 2 2 2 2 2 2 2 2 2 2 2 2 2 2 2 2 4 4 3" xfId="6014" xr:uid="{00000000-0005-0000-0000-00007B170000}"/>
    <cellStyle name="Comma 2 2 2 2 2 2 2 2 2 2 2 2 2 2 2 2 2 4 4 4" xfId="6015" xr:uid="{00000000-0005-0000-0000-00007C170000}"/>
    <cellStyle name="Comma 2 2 2 2 2 2 2 2 2 2 2 2 2 2 2 2 2 4 4 5" xfId="6016" xr:uid="{00000000-0005-0000-0000-00007D170000}"/>
    <cellStyle name="Comma 2 2 2 2 2 2 2 2 2 2 2 2 2 2 2 2 2 4 4 6" xfId="6017" xr:uid="{00000000-0005-0000-0000-00007E170000}"/>
    <cellStyle name="Comma 2 2 2 2 2 2 2 2 2 2 2 2 2 2 2 2 2 4 4 7" xfId="6018" xr:uid="{00000000-0005-0000-0000-00007F170000}"/>
    <cellStyle name="Comma 2 2 2 2 2 2 2 2 2 2 2 2 2 2 2 2 2 4 4 8" xfId="6019" xr:uid="{00000000-0005-0000-0000-000080170000}"/>
    <cellStyle name="Comma 2 2 2 2 2 2 2 2 2 2 2 2 2 2 2 2 2 4 4 9" xfId="6020" xr:uid="{00000000-0005-0000-0000-000081170000}"/>
    <cellStyle name="Comma 2 2 2 2 2 2 2 2 2 2 2 2 2 2 2 2 2 4 4 9 2" xfId="6021" xr:uid="{00000000-0005-0000-0000-000082170000}"/>
    <cellStyle name="Comma 2 2 2 2 2 2 2 2 2 2 2 2 2 2 2 2 2 4 5" xfId="6022" xr:uid="{00000000-0005-0000-0000-000083170000}"/>
    <cellStyle name="Comma 2 2 2 2 2 2 2 2 2 2 2 2 2 2 2 2 2 4 5 10" xfId="6023" xr:uid="{00000000-0005-0000-0000-000084170000}"/>
    <cellStyle name="Comma 2 2 2 2 2 2 2 2 2 2 2 2 2 2 2 2 2 4 5 11" xfId="6024" xr:uid="{00000000-0005-0000-0000-000085170000}"/>
    <cellStyle name="Comma 2 2 2 2 2 2 2 2 2 2 2 2 2 2 2 2 2 4 5 12" xfId="6025" xr:uid="{00000000-0005-0000-0000-000086170000}"/>
    <cellStyle name="Comma 2 2 2 2 2 2 2 2 2 2 2 2 2 2 2 2 2 4 5 13" xfId="6026" xr:uid="{00000000-0005-0000-0000-000087170000}"/>
    <cellStyle name="Comma 2 2 2 2 2 2 2 2 2 2 2 2 2 2 2 2 2 4 5 14" xfId="6027" xr:uid="{00000000-0005-0000-0000-000088170000}"/>
    <cellStyle name="Comma 2 2 2 2 2 2 2 2 2 2 2 2 2 2 2 2 2 4 5 2" xfId="6028" xr:uid="{00000000-0005-0000-0000-000089170000}"/>
    <cellStyle name="Comma 2 2 2 2 2 2 2 2 2 2 2 2 2 2 2 2 2 4 5 3" xfId="6029" xr:uid="{00000000-0005-0000-0000-00008A170000}"/>
    <cellStyle name="Comma 2 2 2 2 2 2 2 2 2 2 2 2 2 2 2 2 2 4 5 4" xfId="6030" xr:uid="{00000000-0005-0000-0000-00008B170000}"/>
    <cellStyle name="Comma 2 2 2 2 2 2 2 2 2 2 2 2 2 2 2 2 2 4 5 5" xfId="6031" xr:uid="{00000000-0005-0000-0000-00008C170000}"/>
    <cellStyle name="Comma 2 2 2 2 2 2 2 2 2 2 2 2 2 2 2 2 2 4 5 6" xfId="6032" xr:uid="{00000000-0005-0000-0000-00008D170000}"/>
    <cellStyle name="Comma 2 2 2 2 2 2 2 2 2 2 2 2 2 2 2 2 2 4 5 7" xfId="6033" xr:uid="{00000000-0005-0000-0000-00008E170000}"/>
    <cellStyle name="Comma 2 2 2 2 2 2 2 2 2 2 2 2 2 2 2 2 2 4 5 8" xfId="6034" xr:uid="{00000000-0005-0000-0000-00008F170000}"/>
    <cellStyle name="Comma 2 2 2 2 2 2 2 2 2 2 2 2 2 2 2 2 2 4 5 8 2" xfId="6035" xr:uid="{00000000-0005-0000-0000-000090170000}"/>
    <cellStyle name="Comma 2 2 2 2 2 2 2 2 2 2 2 2 2 2 2 2 2 4 5 9" xfId="6036" xr:uid="{00000000-0005-0000-0000-000091170000}"/>
    <cellStyle name="Comma 2 2 2 2 2 2 2 2 2 2 2 2 2 2 2 2 2 4 6" xfId="6037" xr:uid="{00000000-0005-0000-0000-000092170000}"/>
    <cellStyle name="Comma 2 2 2 2 2 2 2 2 2 2 2 2 2 2 2 2 2 4 6 10" xfId="6038" xr:uid="{00000000-0005-0000-0000-000093170000}"/>
    <cellStyle name="Comma 2 2 2 2 2 2 2 2 2 2 2 2 2 2 2 2 2 4 6 11" xfId="6039" xr:uid="{00000000-0005-0000-0000-000094170000}"/>
    <cellStyle name="Comma 2 2 2 2 2 2 2 2 2 2 2 2 2 2 2 2 2 4 6 12" xfId="6040" xr:uid="{00000000-0005-0000-0000-000095170000}"/>
    <cellStyle name="Comma 2 2 2 2 2 2 2 2 2 2 2 2 2 2 2 2 2 4 6 13" xfId="6041" xr:uid="{00000000-0005-0000-0000-000096170000}"/>
    <cellStyle name="Comma 2 2 2 2 2 2 2 2 2 2 2 2 2 2 2 2 2 4 6 2" xfId="6042" xr:uid="{00000000-0005-0000-0000-000097170000}"/>
    <cellStyle name="Comma 2 2 2 2 2 2 2 2 2 2 2 2 2 2 2 2 2 4 6 3" xfId="6043" xr:uid="{00000000-0005-0000-0000-000098170000}"/>
    <cellStyle name="Comma 2 2 2 2 2 2 2 2 2 2 2 2 2 2 2 2 2 4 6 4" xfId="6044" xr:uid="{00000000-0005-0000-0000-000099170000}"/>
    <cellStyle name="Comma 2 2 2 2 2 2 2 2 2 2 2 2 2 2 2 2 2 4 6 5" xfId="6045" xr:uid="{00000000-0005-0000-0000-00009A170000}"/>
    <cellStyle name="Comma 2 2 2 2 2 2 2 2 2 2 2 2 2 2 2 2 2 4 6 6" xfId="6046" xr:uid="{00000000-0005-0000-0000-00009B170000}"/>
    <cellStyle name="Comma 2 2 2 2 2 2 2 2 2 2 2 2 2 2 2 2 2 4 6 7" xfId="6047" xr:uid="{00000000-0005-0000-0000-00009C170000}"/>
    <cellStyle name="Comma 2 2 2 2 2 2 2 2 2 2 2 2 2 2 2 2 2 4 6 7 2" xfId="6048" xr:uid="{00000000-0005-0000-0000-00009D170000}"/>
    <cellStyle name="Comma 2 2 2 2 2 2 2 2 2 2 2 2 2 2 2 2 2 4 6 8" xfId="6049" xr:uid="{00000000-0005-0000-0000-00009E170000}"/>
    <cellStyle name="Comma 2 2 2 2 2 2 2 2 2 2 2 2 2 2 2 2 2 4 6 9" xfId="6050" xr:uid="{00000000-0005-0000-0000-00009F170000}"/>
    <cellStyle name="Comma 2 2 2 2 2 2 2 2 2 2 2 2 2 2 2 2 2 4 7" xfId="6051" xr:uid="{00000000-0005-0000-0000-0000A0170000}"/>
    <cellStyle name="Comma 2 2 2 2 2 2 2 2 2 2 2 2 2 2 2 2 2 4 8" xfId="6052" xr:uid="{00000000-0005-0000-0000-0000A1170000}"/>
    <cellStyle name="Comma 2 2 2 2 2 2 2 2 2 2 2 2 2 2 2 2 2 4 9" xfId="6053" xr:uid="{00000000-0005-0000-0000-0000A2170000}"/>
    <cellStyle name="Comma 2 2 2 2 2 2 2 2 2 2 2 2 2 2 2 2 2 4 9 2" xfId="6054" xr:uid="{00000000-0005-0000-0000-0000A3170000}"/>
    <cellStyle name="Comma 2 2 2 2 2 2 2 2 2 2 2 2 2 2 2 2 2 4 9 3" xfId="6055" xr:uid="{00000000-0005-0000-0000-0000A4170000}"/>
    <cellStyle name="Comma 2 2 2 2 2 2 2 2 2 2 2 2 2 2 2 2 2 4 9 4" xfId="6056" xr:uid="{00000000-0005-0000-0000-0000A5170000}"/>
    <cellStyle name="Comma 2 2 2 2 2 2 2 2 2 2 2 2 2 2 2 2 2 4 9 5" xfId="6057" xr:uid="{00000000-0005-0000-0000-0000A6170000}"/>
    <cellStyle name="Comma 2 2 2 2 2 2 2 2 2 2 2 2 2 2 2 2 2 4 9 6" xfId="6058" xr:uid="{00000000-0005-0000-0000-0000A7170000}"/>
    <cellStyle name="Comma 2 2 2 2 2 2 2 2 2 2 2 2 2 2 2 2 2 4 9 7" xfId="6059" xr:uid="{00000000-0005-0000-0000-0000A8170000}"/>
    <cellStyle name="Comma 2 2 2 2 2 2 2 2 2 2 2 2 2 2 2 2 2 4 9 8" xfId="6060" xr:uid="{00000000-0005-0000-0000-0000A9170000}"/>
    <cellStyle name="Comma 2 2 2 2 2 2 2 2 2 2 2 2 2 2 2 2 2 5" xfId="6061" xr:uid="{00000000-0005-0000-0000-0000AA170000}"/>
    <cellStyle name="Comma 2 2 2 2 2 2 2 2 2 2 2 2 2 2 2 2 2 5 2" xfId="6062" xr:uid="{00000000-0005-0000-0000-0000AB170000}"/>
    <cellStyle name="Comma 2 2 2 2 2 2 2 2 2 2 2 2 2 2 2 2 2 5 2 10" xfId="6063" xr:uid="{00000000-0005-0000-0000-0000AC170000}"/>
    <cellStyle name="Comma 2 2 2 2 2 2 2 2 2 2 2 2 2 2 2 2 2 5 2 11" xfId="6064" xr:uid="{00000000-0005-0000-0000-0000AD170000}"/>
    <cellStyle name="Comma 2 2 2 2 2 2 2 2 2 2 2 2 2 2 2 2 2 5 2 12" xfId="6065" xr:uid="{00000000-0005-0000-0000-0000AE170000}"/>
    <cellStyle name="Comma 2 2 2 2 2 2 2 2 2 2 2 2 2 2 2 2 2 5 2 2" xfId="6066" xr:uid="{00000000-0005-0000-0000-0000AF170000}"/>
    <cellStyle name="Comma 2 2 2 2 2 2 2 2 2 2 2 2 2 2 2 2 2 5 2 2 2" xfId="6067" xr:uid="{00000000-0005-0000-0000-0000B0170000}"/>
    <cellStyle name="Comma 2 2 2 2 2 2 2 2 2 2 2 2 2 2 2 2 2 5 2 2 2 2" xfId="6068" xr:uid="{00000000-0005-0000-0000-0000B1170000}"/>
    <cellStyle name="Comma 2 2 2 2 2 2 2 2 2 2 2 2 2 2 2 2 2 5 2 2 3" xfId="6069" xr:uid="{00000000-0005-0000-0000-0000B2170000}"/>
    <cellStyle name="Comma 2 2 2 2 2 2 2 2 2 2 2 2 2 2 2 2 2 5 2 2 3 2" xfId="6070" xr:uid="{00000000-0005-0000-0000-0000B3170000}"/>
    <cellStyle name="Comma 2 2 2 2 2 2 2 2 2 2 2 2 2 2 2 2 2 5 2 2 4" xfId="6071" xr:uid="{00000000-0005-0000-0000-0000B4170000}"/>
    <cellStyle name="Comma 2 2 2 2 2 2 2 2 2 2 2 2 2 2 2 2 2 5 2 2 4 2" xfId="6072" xr:uid="{00000000-0005-0000-0000-0000B5170000}"/>
    <cellStyle name="Comma 2 2 2 2 2 2 2 2 2 2 2 2 2 2 2 2 2 5 2 2 5" xfId="6073" xr:uid="{00000000-0005-0000-0000-0000B6170000}"/>
    <cellStyle name="Comma 2 2 2 2 2 2 2 2 2 2 2 2 2 2 2 2 2 5 2 3" xfId="6074" xr:uid="{00000000-0005-0000-0000-0000B7170000}"/>
    <cellStyle name="Comma 2 2 2 2 2 2 2 2 2 2 2 2 2 2 2 2 2 5 2 3 2" xfId="6075" xr:uid="{00000000-0005-0000-0000-0000B8170000}"/>
    <cellStyle name="Comma 2 2 2 2 2 2 2 2 2 2 2 2 2 2 2 2 2 5 2 3 3" xfId="6076" xr:uid="{00000000-0005-0000-0000-0000B9170000}"/>
    <cellStyle name="Comma 2 2 2 2 2 2 2 2 2 2 2 2 2 2 2 2 2 5 2 4" xfId="6077" xr:uid="{00000000-0005-0000-0000-0000BA170000}"/>
    <cellStyle name="Comma 2 2 2 2 2 2 2 2 2 2 2 2 2 2 2 2 2 5 2 4 2" xfId="6078" xr:uid="{00000000-0005-0000-0000-0000BB170000}"/>
    <cellStyle name="Comma 2 2 2 2 2 2 2 2 2 2 2 2 2 2 2 2 2 5 2 5" xfId="6079" xr:uid="{00000000-0005-0000-0000-0000BC170000}"/>
    <cellStyle name="Comma 2 2 2 2 2 2 2 2 2 2 2 2 2 2 2 2 2 5 2 6" xfId="6080" xr:uid="{00000000-0005-0000-0000-0000BD170000}"/>
    <cellStyle name="Comma 2 2 2 2 2 2 2 2 2 2 2 2 2 2 2 2 2 5 2 6 2" xfId="6081" xr:uid="{00000000-0005-0000-0000-0000BE170000}"/>
    <cellStyle name="Comma 2 2 2 2 2 2 2 2 2 2 2 2 2 2 2 2 2 5 2 7" xfId="6082" xr:uid="{00000000-0005-0000-0000-0000BF170000}"/>
    <cellStyle name="Comma 2 2 2 2 2 2 2 2 2 2 2 2 2 2 2 2 2 5 2 8" xfId="6083" xr:uid="{00000000-0005-0000-0000-0000C0170000}"/>
    <cellStyle name="Comma 2 2 2 2 2 2 2 2 2 2 2 2 2 2 2 2 2 5 2 9" xfId="6084" xr:uid="{00000000-0005-0000-0000-0000C1170000}"/>
    <cellStyle name="Comma 2 2 2 2 2 2 2 2 2 2 2 2 2 2 2 2 2 5 3" xfId="6085" xr:uid="{00000000-0005-0000-0000-0000C2170000}"/>
    <cellStyle name="Comma 2 2 2 2 2 2 2 2 2 2 2 2 2 2 2 2 2 5 3 10" xfId="6086" xr:uid="{00000000-0005-0000-0000-0000C3170000}"/>
    <cellStyle name="Comma 2 2 2 2 2 2 2 2 2 2 2 2 2 2 2 2 2 5 3 11" xfId="6087" xr:uid="{00000000-0005-0000-0000-0000C4170000}"/>
    <cellStyle name="Comma 2 2 2 2 2 2 2 2 2 2 2 2 2 2 2 2 2 5 3 12" xfId="6088" xr:uid="{00000000-0005-0000-0000-0000C5170000}"/>
    <cellStyle name="Comma 2 2 2 2 2 2 2 2 2 2 2 2 2 2 2 2 2 5 3 2" xfId="6089" xr:uid="{00000000-0005-0000-0000-0000C6170000}"/>
    <cellStyle name="Comma 2 2 2 2 2 2 2 2 2 2 2 2 2 2 2 2 2 5 3 2 2" xfId="6090" xr:uid="{00000000-0005-0000-0000-0000C7170000}"/>
    <cellStyle name="Comma 2 2 2 2 2 2 2 2 2 2 2 2 2 2 2 2 2 5 3 2 3" xfId="6091" xr:uid="{00000000-0005-0000-0000-0000C8170000}"/>
    <cellStyle name="Comma 2 2 2 2 2 2 2 2 2 2 2 2 2 2 2 2 2 5 3 2 4" xfId="6092" xr:uid="{00000000-0005-0000-0000-0000C9170000}"/>
    <cellStyle name="Comma 2 2 2 2 2 2 2 2 2 2 2 2 2 2 2 2 2 5 3 3" xfId="6093" xr:uid="{00000000-0005-0000-0000-0000CA170000}"/>
    <cellStyle name="Comma 2 2 2 2 2 2 2 2 2 2 2 2 2 2 2 2 2 5 3 3 2" xfId="6094" xr:uid="{00000000-0005-0000-0000-0000CB170000}"/>
    <cellStyle name="Comma 2 2 2 2 2 2 2 2 2 2 2 2 2 2 2 2 2 5 3 4" xfId="6095" xr:uid="{00000000-0005-0000-0000-0000CC170000}"/>
    <cellStyle name="Comma 2 2 2 2 2 2 2 2 2 2 2 2 2 2 2 2 2 5 3 5" xfId="6096" xr:uid="{00000000-0005-0000-0000-0000CD170000}"/>
    <cellStyle name="Comma 2 2 2 2 2 2 2 2 2 2 2 2 2 2 2 2 2 5 3 6" xfId="6097" xr:uid="{00000000-0005-0000-0000-0000CE170000}"/>
    <cellStyle name="Comma 2 2 2 2 2 2 2 2 2 2 2 2 2 2 2 2 2 5 3 6 2" xfId="6098" xr:uid="{00000000-0005-0000-0000-0000CF170000}"/>
    <cellStyle name="Comma 2 2 2 2 2 2 2 2 2 2 2 2 2 2 2 2 2 5 3 7" xfId="6099" xr:uid="{00000000-0005-0000-0000-0000D0170000}"/>
    <cellStyle name="Comma 2 2 2 2 2 2 2 2 2 2 2 2 2 2 2 2 2 5 3 8" xfId="6100" xr:uid="{00000000-0005-0000-0000-0000D1170000}"/>
    <cellStyle name="Comma 2 2 2 2 2 2 2 2 2 2 2 2 2 2 2 2 2 5 3 9" xfId="6101" xr:uid="{00000000-0005-0000-0000-0000D2170000}"/>
    <cellStyle name="Comma 2 2 2 2 2 2 2 2 2 2 2 2 2 2 2 2 2 5 4" xfId="6102" xr:uid="{00000000-0005-0000-0000-0000D3170000}"/>
    <cellStyle name="Comma 2 2 2 2 2 2 2 2 2 2 2 2 2 2 2 2 2 5 4 10" xfId="6103" xr:uid="{00000000-0005-0000-0000-0000D4170000}"/>
    <cellStyle name="Comma 2 2 2 2 2 2 2 2 2 2 2 2 2 2 2 2 2 5 4 11" xfId="6104" xr:uid="{00000000-0005-0000-0000-0000D5170000}"/>
    <cellStyle name="Comma 2 2 2 2 2 2 2 2 2 2 2 2 2 2 2 2 2 5 4 12" xfId="6105" xr:uid="{00000000-0005-0000-0000-0000D6170000}"/>
    <cellStyle name="Comma 2 2 2 2 2 2 2 2 2 2 2 2 2 2 2 2 2 5 4 2" xfId="6106" xr:uid="{00000000-0005-0000-0000-0000D7170000}"/>
    <cellStyle name="Comma 2 2 2 2 2 2 2 2 2 2 2 2 2 2 2 2 2 5 4 3" xfId="6107" xr:uid="{00000000-0005-0000-0000-0000D8170000}"/>
    <cellStyle name="Comma 2 2 2 2 2 2 2 2 2 2 2 2 2 2 2 2 2 5 4 4" xfId="6108" xr:uid="{00000000-0005-0000-0000-0000D9170000}"/>
    <cellStyle name="Comma 2 2 2 2 2 2 2 2 2 2 2 2 2 2 2 2 2 5 4 5" xfId="6109" xr:uid="{00000000-0005-0000-0000-0000DA170000}"/>
    <cellStyle name="Comma 2 2 2 2 2 2 2 2 2 2 2 2 2 2 2 2 2 5 4 6" xfId="6110" xr:uid="{00000000-0005-0000-0000-0000DB170000}"/>
    <cellStyle name="Comma 2 2 2 2 2 2 2 2 2 2 2 2 2 2 2 2 2 5 4 6 2" xfId="6111" xr:uid="{00000000-0005-0000-0000-0000DC170000}"/>
    <cellStyle name="Comma 2 2 2 2 2 2 2 2 2 2 2 2 2 2 2 2 2 5 4 7" xfId="6112" xr:uid="{00000000-0005-0000-0000-0000DD170000}"/>
    <cellStyle name="Comma 2 2 2 2 2 2 2 2 2 2 2 2 2 2 2 2 2 5 4 8" xfId="6113" xr:uid="{00000000-0005-0000-0000-0000DE170000}"/>
    <cellStyle name="Comma 2 2 2 2 2 2 2 2 2 2 2 2 2 2 2 2 2 5 4 9" xfId="6114" xr:uid="{00000000-0005-0000-0000-0000DF170000}"/>
    <cellStyle name="Comma 2 2 2 2 2 2 2 2 2 2 2 2 2 2 2 2 2 5 5" xfId="6115" xr:uid="{00000000-0005-0000-0000-0000E0170000}"/>
    <cellStyle name="Comma 2 2 2 2 2 2 2 2 2 2 2 2 2 2 2 2 2 5 5 10" xfId="6116" xr:uid="{00000000-0005-0000-0000-0000E1170000}"/>
    <cellStyle name="Comma 2 2 2 2 2 2 2 2 2 2 2 2 2 2 2 2 2 5 5 11" xfId="6117" xr:uid="{00000000-0005-0000-0000-0000E2170000}"/>
    <cellStyle name="Comma 2 2 2 2 2 2 2 2 2 2 2 2 2 2 2 2 2 5 5 12" xfId="6118" xr:uid="{00000000-0005-0000-0000-0000E3170000}"/>
    <cellStyle name="Comma 2 2 2 2 2 2 2 2 2 2 2 2 2 2 2 2 2 5 5 2" xfId="6119" xr:uid="{00000000-0005-0000-0000-0000E4170000}"/>
    <cellStyle name="Comma 2 2 2 2 2 2 2 2 2 2 2 2 2 2 2 2 2 5 5 3" xfId="6120" xr:uid="{00000000-0005-0000-0000-0000E5170000}"/>
    <cellStyle name="Comma 2 2 2 2 2 2 2 2 2 2 2 2 2 2 2 2 2 5 5 4" xfId="6121" xr:uid="{00000000-0005-0000-0000-0000E6170000}"/>
    <cellStyle name="Comma 2 2 2 2 2 2 2 2 2 2 2 2 2 2 2 2 2 5 5 5" xfId="6122" xr:uid="{00000000-0005-0000-0000-0000E7170000}"/>
    <cellStyle name="Comma 2 2 2 2 2 2 2 2 2 2 2 2 2 2 2 2 2 5 5 6" xfId="6123" xr:uid="{00000000-0005-0000-0000-0000E8170000}"/>
    <cellStyle name="Comma 2 2 2 2 2 2 2 2 2 2 2 2 2 2 2 2 2 5 5 6 2" xfId="6124" xr:uid="{00000000-0005-0000-0000-0000E9170000}"/>
    <cellStyle name="Comma 2 2 2 2 2 2 2 2 2 2 2 2 2 2 2 2 2 5 5 7" xfId="6125" xr:uid="{00000000-0005-0000-0000-0000EA170000}"/>
    <cellStyle name="Comma 2 2 2 2 2 2 2 2 2 2 2 2 2 2 2 2 2 5 5 8" xfId="6126" xr:uid="{00000000-0005-0000-0000-0000EB170000}"/>
    <cellStyle name="Comma 2 2 2 2 2 2 2 2 2 2 2 2 2 2 2 2 2 5 5 9" xfId="6127" xr:uid="{00000000-0005-0000-0000-0000EC170000}"/>
    <cellStyle name="Comma 2 2 2 2 2 2 2 2 2 2 2 2 2 2 2 2 2 5 6" xfId="6128" xr:uid="{00000000-0005-0000-0000-0000ED170000}"/>
    <cellStyle name="Comma 2 2 2 2 2 2 2 2 2 2 2 2 2 2 2 2 2 5 6 2" xfId="6129" xr:uid="{00000000-0005-0000-0000-0000EE170000}"/>
    <cellStyle name="Comma 2 2 2 2 2 2 2 2 2 2 2 2 2 2 2 2 2 5 6 3" xfId="6130" xr:uid="{00000000-0005-0000-0000-0000EF170000}"/>
    <cellStyle name="Comma 2 2 2 2 2 2 2 2 2 2 2 2 2 2 2 2 2 5 6 4" xfId="6131" xr:uid="{00000000-0005-0000-0000-0000F0170000}"/>
    <cellStyle name="Comma 2 2 2 2 2 2 2 2 2 2 2 2 2 2 2 2 2 5 6 5" xfId="6132" xr:uid="{00000000-0005-0000-0000-0000F1170000}"/>
    <cellStyle name="Comma 2 2 2 2 2 2 2 2 2 2 2 2 2 2 2 2 2 5 6 6" xfId="6133" xr:uid="{00000000-0005-0000-0000-0000F2170000}"/>
    <cellStyle name="Comma 2 2 2 2 2 2 2 2 2 2 2 2 2 2 2 2 2 5 6 7" xfId="6134" xr:uid="{00000000-0005-0000-0000-0000F3170000}"/>
    <cellStyle name="Comma 2 2 2 2 2 2 2 2 2 2 2 2 2 2 2 2 2 5 6 8" xfId="6135" xr:uid="{00000000-0005-0000-0000-0000F4170000}"/>
    <cellStyle name="Comma 2 2 2 2 2 2 2 2 2 2 2 2 2 2 2 2 2 5 7" xfId="6136" xr:uid="{00000000-0005-0000-0000-0000F5170000}"/>
    <cellStyle name="Comma 2 2 2 2 2 2 2 2 2 2 2 2 2 2 2 2 2 5 7 2" xfId="6137" xr:uid="{00000000-0005-0000-0000-0000F6170000}"/>
    <cellStyle name="Comma 2 2 2 2 2 2 2 2 2 2 2 2 2 2 2 2 2 5 7 3" xfId="6138" xr:uid="{00000000-0005-0000-0000-0000F7170000}"/>
    <cellStyle name="Comma 2 2 2 2 2 2 2 2 2 2 2 2 2 2 2 2 2 5 7 4" xfId="6139" xr:uid="{00000000-0005-0000-0000-0000F8170000}"/>
    <cellStyle name="Comma 2 2 2 2 2 2 2 2 2 2 2 2 2 2 2 2 2 5 7 5" xfId="6140" xr:uid="{00000000-0005-0000-0000-0000F9170000}"/>
    <cellStyle name="Comma 2 2 2 2 2 2 2 2 2 2 2 2 2 2 2 2 2 5 7 6" xfId="6141" xr:uid="{00000000-0005-0000-0000-0000FA170000}"/>
    <cellStyle name="Comma 2 2 2 2 2 2 2 2 2 2 2 2 2 2 2 2 2 5 7 7" xfId="6142" xr:uid="{00000000-0005-0000-0000-0000FB170000}"/>
    <cellStyle name="Comma 2 2 2 2 2 2 2 2 2 2 2 2 2 2 2 2 2 5 7 8" xfId="6143" xr:uid="{00000000-0005-0000-0000-0000FC170000}"/>
    <cellStyle name="Comma 2 2 2 2 2 2 2 2 2 2 2 2 2 2 2 2 2 5 8" xfId="6144" xr:uid="{00000000-0005-0000-0000-0000FD170000}"/>
    <cellStyle name="Comma 2 2 2 2 2 2 2 2 2 2 2 2 2 2 2 2 2 5 8 2" xfId="6145" xr:uid="{00000000-0005-0000-0000-0000FE170000}"/>
    <cellStyle name="Comma 2 2 2 2 2 2 2 2 2 2 2 2 2 2 2 2 2 5 8 3" xfId="6146" xr:uid="{00000000-0005-0000-0000-0000FF170000}"/>
    <cellStyle name="Comma 2 2 2 2 2 2 2 2 2 2 2 2 2 2 2 2 2 5 8 4" xfId="6147" xr:uid="{00000000-0005-0000-0000-000000180000}"/>
    <cellStyle name="Comma 2 2 2 2 2 2 2 2 2 2 2 2 2 2 2 2 2 5 8 5" xfId="6148" xr:uid="{00000000-0005-0000-0000-000001180000}"/>
    <cellStyle name="Comma 2 2 2 2 2 2 2 2 2 2 2 2 2 2 2 2 2 5 8 6" xfId="6149" xr:uid="{00000000-0005-0000-0000-000002180000}"/>
    <cellStyle name="Comma 2 2 2 2 2 2 2 2 2 2 2 2 2 2 2 2 2 5 8 7" xfId="6150" xr:uid="{00000000-0005-0000-0000-000003180000}"/>
    <cellStyle name="Comma 2 2 2 2 2 2 2 2 2 2 2 2 2 2 2 2 2 5 8 8" xfId="6151" xr:uid="{00000000-0005-0000-0000-000004180000}"/>
    <cellStyle name="Comma 2 2 2 2 2 2 2 2 2 2 2 2 2 2 2 2 2 5 9" xfId="6152" xr:uid="{00000000-0005-0000-0000-000005180000}"/>
    <cellStyle name="Comma 2 2 2 2 2 2 2 2 2 2 2 2 2 2 2 2 2 5 9 2" xfId="6153" xr:uid="{00000000-0005-0000-0000-000006180000}"/>
    <cellStyle name="Comma 2 2 2 2 2 2 2 2 2 2 2 2 2 2 2 2 2 5 9 3" xfId="6154" xr:uid="{00000000-0005-0000-0000-000007180000}"/>
    <cellStyle name="Comma 2 2 2 2 2 2 2 2 2 2 2 2 2 2 2 2 2 5 9 4" xfId="6155" xr:uid="{00000000-0005-0000-0000-000008180000}"/>
    <cellStyle name="Comma 2 2 2 2 2 2 2 2 2 2 2 2 2 2 2 2 2 5 9 5" xfId="6156" xr:uid="{00000000-0005-0000-0000-000009180000}"/>
    <cellStyle name="Comma 2 2 2 2 2 2 2 2 2 2 2 2 2 2 2 2 2 5 9 6" xfId="6157" xr:uid="{00000000-0005-0000-0000-00000A180000}"/>
    <cellStyle name="Comma 2 2 2 2 2 2 2 2 2 2 2 2 2 2 2 2 2 5 9 7" xfId="6158" xr:uid="{00000000-0005-0000-0000-00000B180000}"/>
    <cellStyle name="Comma 2 2 2 2 2 2 2 2 2 2 2 2 2 2 2 2 2 5 9 8" xfId="6159" xr:uid="{00000000-0005-0000-0000-00000C180000}"/>
    <cellStyle name="Comma 2 2 2 2 2 2 2 2 2 2 2 2 2 2 2 2 2 6" xfId="6160" xr:uid="{00000000-0005-0000-0000-00000D180000}"/>
    <cellStyle name="Comma 2 2 2 2 2 2 2 2 2 2 2 2 2 2 2 2 2 6 2" xfId="6161" xr:uid="{00000000-0005-0000-0000-00000E180000}"/>
    <cellStyle name="Comma 2 2 2 2 2 2 2 2 2 2 2 2 2 2 2 2 2 6 2 10" xfId="6162" xr:uid="{00000000-0005-0000-0000-00000F180000}"/>
    <cellStyle name="Comma 2 2 2 2 2 2 2 2 2 2 2 2 2 2 2 2 2 6 2 11" xfId="6163" xr:uid="{00000000-0005-0000-0000-000010180000}"/>
    <cellStyle name="Comma 2 2 2 2 2 2 2 2 2 2 2 2 2 2 2 2 2 6 2 12" xfId="6164" xr:uid="{00000000-0005-0000-0000-000011180000}"/>
    <cellStyle name="Comma 2 2 2 2 2 2 2 2 2 2 2 2 2 2 2 2 2 6 2 2" xfId="6165" xr:uid="{00000000-0005-0000-0000-000012180000}"/>
    <cellStyle name="Comma 2 2 2 2 2 2 2 2 2 2 2 2 2 2 2 2 2 6 2 2 2" xfId="6166" xr:uid="{00000000-0005-0000-0000-000013180000}"/>
    <cellStyle name="Comma 2 2 2 2 2 2 2 2 2 2 2 2 2 2 2 2 2 6 2 2 3" xfId="6167" xr:uid="{00000000-0005-0000-0000-000014180000}"/>
    <cellStyle name="Comma 2 2 2 2 2 2 2 2 2 2 2 2 2 2 2 2 2 6 2 2 4" xfId="6168" xr:uid="{00000000-0005-0000-0000-000015180000}"/>
    <cellStyle name="Comma 2 2 2 2 2 2 2 2 2 2 2 2 2 2 2 2 2 6 2 3" xfId="6169" xr:uid="{00000000-0005-0000-0000-000016180000}"/>
    <cellStyle name="Comma 2 2 2 2 2 2 2 2 2 2 2 2 2 2 2 2 2 6 2 3 2" xfId="6170" xr:uid="{00000000-0005-0000-0000-000017180000}"/>
    <cellStyle name="Comma 2 2 2 2 2 2 2 2 2 2 2 2 2 2 2 2 2 6 2 4" xfId="6171" xr:uid="{00000000-0005-0000-0000-000018180000}"/>
    <cellStyle name="Comma 2 2 2 2 2 2 2 2 2 2 2 2 2 2 2 2 2 6 2 5" xfId="6172" xr:uid="{00000000-0005-0000-0000-000019180000}"/>
    <cellStyle name="Comma 2 2 2 2 2 2 2 2 2 2 2 2 2 2 2 2 2 6 2 6" xfId="6173" xr:uid="{00000000-0005-0000-0000-00001A180000}"/>
    <cellStyle name="Comma 2 2 2 2 2 2 2 2 2 2 2 2 2 2 2 2 2 6 2 6 2" xfId="6174" xr:uid="{00000000-0005-0000-0000-00001B180000}"/>
    <cellStyle name="Comma 2 2 2 2 2 2 2 2 2 2 2 2 2 2 2 2 2 6 2 7" xfId="6175" xr:uid="{00000000-0005-0000-0000-00001C180000}"/>
    <cellStyle name="Comma 2 2 2 2 2 2 2 2 2 2 2 2 2 2 2 2 2 6 2 8" xfId="6176" xr:uid="{00000000-0005-0000-0000-00001D180000}"/>
    <cellStyle name="Comma 2 2 2 2 2 2 2 2 2 2 2 2 2 2 2 2 2 6 2 9" xfId="6177" xr:uid="{00000000-0005-0000-0000-00001E180000}"/>
    <cellStyle name="Comma 2 2 2 2 2 2 2 2 2 2 2 2 2 2 2 2 2 6 3" xfId="6178" xr:uid="{00000000-0005-0000-0000-00001F180000}"/>
    <cellStyle name="Comma 2 2 2 2 2 2 2 2 2 2 2 2 2 2 2 2 2 6 3 10" xfId="6179" xr:uid="{00000000-0005-0000-0000-000020180000}"/>
    <cellStyle name="Comma 2 2 2 2 2 2 2 2 2 2 2 2 2 2 2 2 2 6 3 11" xfId="6180" xr:uid="{00000000-0005-0000-0000-000021180000}"/>
    <cellStyle name="Comma 2 2 2 2 2 2 2 2 2 2 2 2 2 2 2 2 2 6 3 12" xfId="6181" xr:uid="{00000000-0005-0000-0000-000022180000}"/>
    <cellStyle name="Comma 2 2 2 2 2 2 2 2 2 2 2 2 2 2 2 2 2 6 3 2" xfId="6182" xr:uid="{00000000-0005-0000-0000-000023180000}"/>
    <cellStyle name="Comma 2 2 2 2 2 2 2 2 2 2 2 2 2 2 2 2 2 6 3 3" xfId="6183" xr:uid="{00000000-0005-0000-0000-000024180000}"/>
    <cellStyle name="Comma 2 2 2 2 2 2 2 2 2 2 2 2 2 2 2 2 2 6 3 4" xfId="6184" xr:uid="{00000000-0005-0000-0000-000025180000}"/>
    <cellStyle name="Comma 2 2 2 2 2 2 2 2 2 2 2 2 2 2 2 2 2 6 3 5" xfId="6185" xr:uid="{00000000-0005-0000-0000-000026180000}"/>
    <cellStyle name="Comma 2 2 2 2 2 2 2 2 2 2 2 2 2 2 2 2 2 6 3 6" xfId="6186" xr:uid="{00000000-0005-0000-0000-000027180000}"/>
    <cellStyle name="Comma 2 2 2 2 2 2 2 2 2 2 2 2 2 2 2 2 2 6 3 6 2" xfId="6187" xr:uid="{00000000-0005-0000-0000-000028180000}"/>
    <cellStyle name="Comma 2 2 2 2 2 2 2 2 2 2 2 2 2 2 2 2 2 6 3 7" xfId="6188" xr:uid="{00000000-0005-0000-0000-000029180000}"/>
    <cellStyle name="Comma 2 2 2 2 2 2 2 2 2 2 2 2 2 2 2 2 2 6 3 8" xfId="6189" xr:uid="{00000000-0005-0000-0000-00002A180000}"/>
    <cellStyle name="Comma 2 2 2 2 2 2 2 2 2 2 2 2 2 2 2 2 2 6 3 9" xfId="6190" xr:uid="{00000000-0005-0000-0000-00002B180000}"/>
    <cellStyle name="Comma 2 2 2 2 2 2 2 2 2 2 2 2 2 2 2 2 2 6 4" xfId="6191" xr:uid="{00000000-0005-0000-0000-00002C180000}"/>
    <cellStyle name="Comma 2 2 2 2 2 2 2 2 2 2 2 2 2 2 2 2 2 6 4 10" xfId="6192" xr:uid="{00000000-0005-0000-0000-00002D180000}"/>
    <cellStyle name="Comma 2 2 2 2 2 2 2 2 2 2 2 2 2 2 2 2 2 6 4 11" xfId="6193" xr:uid="{00000000-0005-0000-0000-00002E180000}"/>
    <cellStyle name="Comma 2 2 2 2 2 2 2 2 2 2 2 2 2 2 2 2 2 6 4 12" xfId="6194" xr:uid="{00000000-0005-0000-0000-00002F180000}"/>
    <cellStyle name="Comma 2 2 2 2 2 2 2 2 2 2 2 2 2 2 2 2 2 6 4 2" xfId="6195" xr:uid="{00000000-0005-0000-0000-000030180000}"/>
    <cellStyle name="Comma 2 2 2 2 2 2 2 2 2 2 2 2 2 2 2 2 2 6 4 3" xfId="6196" xr:uid="{00000000-0005-0000-0000-000031180000}"/>
    <cellStyle name="Comma 2 2 2 2 2 2 2 2 2 2 2 2 2 2 2 2 2 6 4 4" xfId="6197" xr:uid="{00000000-0005-0000-0000-000032180000}"/>
    <cellStyle name="Comma 2 2 2 2 2 2 2 2 2 2 2 2 2 2 2 2 2 6 4 5" xfId="6198" xr:uid="{00000000-0005-0000-0000-000033180000}"/>
    <cellStyle name="Comma 2 2 2 2 2 2 2 2 2 2 2 2 2 2 2 2 2 6 4 6" xfId="6199" xr:uid="{00000000-0005-0000-0000-000034180000}"/>
    <cellStyle name="Comma 2 2 2 2 2 2 2 2 2 2 2 2 2 2 2 2 2 6 4 6 2" xfId="6200" xr:uid="{00000000-0005-0000-0000-000035180000}"/>
    <cellStyle name="Comma 2 2 2 2 2 2 2 2 2 2 2 2 2 2 2 2 2 6 4 7" xfId="6201" xr:uid="{00000000-0005-0000-0000-000036180000}"/>
    <cellStyle name="Comma 2 2 2 2 2 2 2 2 2 2 2 2 2 2 2 2 2 6 4 8" xfId="6202" xr:uid="{00000000-0005-0000-0000-000037180000}"/>
    <cellStyle name="Comma 2 2 2 2 2 2 2 2 2 2 2 2 2 2 2 2 2 6 4 9" xfId="6203" xr:uid="{00000000-0005-0000-0000-000038180000}"/>
    <cellStyle name="Comma 2 2 2 2 2 2 2 2 2 2 2 2 2 2 2 2 2 6 5" xfId="6204" xr:uid="{00000000-0005-0000-0000-000039180000}"/>
    <cellStyle name="Comma 2 2 2 2 2 2 2 2 2 2 2 2 2 2 2 2 2 6 5 2" xfId="6205" xr:uid="{00000000-0005-0000-0000-00003A180000}"/>
    <cellStyle name="Comma 2 2 2 2 2 2 2 2 2 2 2 2 2 2 2 2 2 6 5 3" xfId="6206" xr:uid="{00000000-0005-0000-0000-00003B180000}"/>
    <cellStyle name="Comma 2 2 2 2 2 2 2 2 2 2 2 2 2 2 2 2 2 6 5 4" xfId="6207" xr:uid="{00000000-0005-0000-0000-00003C180000}"/>
    <cellStyle name="Comma 2 2 2 2 2 2 2 2 2 2 2 2 2 2 2 2 2 6 5 5" xfId="6208" xr:uid="{00000000-0005-0000-0000-00003D180000}"/>
    <cellStyle name="Comma 2 2 2 2 2 2 2 2 2 2 2 2 2 2 2 2 2 6 5 6" xfId="6209" xr:uid="{00000000-0005-0000-0000-00003E180000}"/>
    <cellStyle name="Comma 2 2 2 2 2 2 2 2 2 2 2 2 2 2 2 2 2 6 5 7" xfId="6210" xr:uid="{00000000-0005-0000-0000-00003F180000}"/>
    <cellStyle name="Comma 2 2 2 2 2 2 2 2 2 2 2 2 2 2 2 2 2 6 5 8" xfId="6211" xr:uid="{00000000-0005-0000-0000-000040180000}"/>
    <cellStyle name="Comma 2 2 2 2 2 2 2 2 2 2 2 2 2 2 2 2 2 6 6" xfId="6212" xr:uid="{00000000-0005-0000-0000-000041180000}"/>
    <cellStyle name="Comma 2 2 2 2 2 2 2 2 2 2 2 2 2 2 2 2 2 6 6 2" xfId="6213" xr:uid="{00000000-0005-0000-0000-000042180000}"/>
    <cellStyle name="Comma 2 2 2 2 2 2 2 2 2 2 2 2 2 2 2 2 2 6 6 3" xfId="6214" xr:uid="{00000000-0005-0000-0000-000043180000}"/>
    <cellStyle name="Comma 2 2 2 2 2 2 2 2 2 2 2 2 2 2 2 2 2 6 6 4" xfId="6215" xr:uid="{00000000-0005-0000-0000-000044180000}"/>
    <cellStyle name="Comma 2 2 2 2 2 2 2 2 2 2 2 2 2 2 2 2 2 6 6 5" xfId="6216" xr:uid="{00000000-0005-0000-0000-000045180000}"/>
    <cellStyle name="Comma 2 2 2 2 2 2 2 2 2 2 2 2 2 2 2 2 2 6 6 6" xfId="6217" xr:uid="{00000000-0005-0000-0000-000046180000}"/>
    <cellStyle name="Comma 2 2 2 2 2 2 2 2 2 2 2 2 2 2 2 2 2 6 6 7" xfId="6218" xr:uid="{00000000-0005-0000-0000-000047180000}"/>
    <cellStyle name="Comma 2 2 2 2 2 2 2 2 2 2 2 2 2 2 2 2 2 6 6 8" xfId="6219" xr:uid="{00000000-0005-0000-0000-000048180000}"/>
    <cellStyle name="Comma 2 2 2 2 2 2 2 2 2 2 2 2 2 2 2 2 2 6 7" xfId="6220" xr:uid="{00000000-0005-0000-0000-000049180000}"/>
    <cellStyle name="Comma 2 2 2 2 2 2 2 2 2 2 2 2 2 2 2 2 2 6 7 2" xfId="6221" xr:uid="{00000000-0005-0000-0000-00004A180000}"/>
    <cellStyle name="Comma 2 2 2 2 2 2 2 2 2 2 2 2 2 2 2 2 2 6 7 3" xfId="6222" xr:uid="{00000000-0005-0000-0000-00004B180000}"/>
    <cellStyle name="Comma 2 2 2 2 2 2 2 2 2 2 2 2 2 2 2 2 2 6 7 4" xfId="6223" xr:uid="{00000000-0005-0000-0000-00004C180000}"/>
    <cellStyle name="Comma 2 2 2 2 2 2 2 2 2 2 2 2 2 2 2 2 2 6 7 5" xfId="6224" xr:uid="{00000000-0005-0000-0000-00004D180000}"/>
    <cellStyle name="Comma 2 2 2 2 2 2 2 2 2 2 2 2 2 2 2 2 2 6 7 6" xfId="6225" xr:uid="{00000000-0005-0000-0000-00004E180000}"/>
    <cellStyle name="Comma 2 2 2 2 2 2 2 2 2 2 2 2 2 2 2 2 2 6 7 7" xfId="6226" xr:uid="{00000000-0005-0000-0000-00004F180000}"/>
    <cellStyle name="Comma 2 2 2 2 2 2 2 2 2 2 2 2 2 2 2 2 2 6 7 8" xfId="6227" xr:uid="{00000000-0005-0000-0000-000050180000}"/>
    <cellStyle name="Comma 2 2 2 2 2 2 2 2 2 2 2 2 2 2 2 2 2 6 8" xfId="6228" xr:uid="{00000000-0005-0000-0000-000051180000}"/>
    <cellStyle name="Comma 2 2 2 2 2 2 2 2 2 2 2 2 2 2 2 2 2 7" xfId="6229" xr:uid="{00000000-0005-0000-0000-000052180000}"/>
    <cellStyle name="Comma 2 2 2 2 2 2 2 2 2 2 2 2 2 2 2 2 2 7 2" xfId="6230" xr:uid="{00000000-0005-0000-0000-000053180000}"/>
    <cellStyle name="Comma 2 2 2 2 2 2 2 2 2 2 2 2 2 2 2 2 2 7 2 10" xfId="6231" xr:uid="{00000000-0005-0000-0000-000054180000}"/>
    <cellStyle name="Comma 2 2 2 2 2 2 2 2 2 2 2 2 2 2 2 2 2 7 2 11" xfId="6232" xr:uid="{00000000-0005-0000-0000-000055180000}"/>
    <cellStyle name="Comma 2 2 2 2 2 2 2 2 2 2 2 2 2 2 2 2 2 7 2 12" xfId="6233" xr:uid="{00000000-0005-0000-0000-000056180000}"/>
    <cellStyle name="Comma 2 2 2 2 2 2 2 2 2 2 2 2 2 2 2 2 2 7 2 13" xfId="6234" xr:uid="{00000000-0005-0000-0000-000057180000}"/>
    <cellStyle name="Comma 2 2 2 2 2 2 2 2 2 2 2 2 2 2 2 2 2 7 2 2" xfId="6235" xr:uid="{00000000-0005-0000-0000-000058180000}"/>
    <cellStyle name="Comma 2 2 2 2 2 2 2 2 2 2 2 2 2 2 2 2 2 7 2 2 2" xfId="6236" xr:uid="{00000000-0005-0000-0000-000059180000}"/>
    <cellStyle name="Comma 2 2 2 2 2 2 2 2 2 2 2 2 2 2 2 2 2 7 2 2 3" xfId="6237" xr:uid="{00000000-0005-0000-0000-00005A180000}"/>
    <cellStyle name="Comma 2 2 2 2 2 2 2 2 2 2 2 2 2 2 2 2 2 7 2 2 4" xfId="6238" xr:uid="{00000000-0005-0000-0000-00005B180000}"/>
    <cellStyle name="Comma 2 2 2 2 2 2 2 2 2 2 2 2 2 2 2 2 2 7 2 3" xfId="6239" xr:uid="{00000000-0005-0000-0000-00005C180000}"/>
    <cellStyle name="Comma 2 2 2 2 2 2 2 2 2 2 2 2 2 2 2 2 2 7 2 3 2" xfId="6240" xr:uid="{00000000-0005-0000-0000-00005D180000}"/>
    <cellStyle name="Comma 2 2 2 2 2 2 2 2 2 2 2 2 2 2 2 2 2 7 2 4" xfId="6241" xr:uid="{00000000-0005-0000-0000-00005E180000}"/>
    <cellStyle name="Comma 2 2 2 2 2 2 2 2 2 2 2 2 2 2 2 2 2 7 2 5" xfId="6242" xr:uid="{00000000-0005-0000-0000-00005F180000}"/>
    <cellStyle name="Comma 2 2 2 2 2 2 2 2 2 2 2 2 2 2 2 2 2 7 2 6" xfId="6243" xr:uid="{00000000-0005-0000-0000-000060180000}"/>
    <cellStyle name="Comma 2 2 2 2 2 2 2 2 2 2 2 2 2 2 2 2 2 7 2 6 2" xfId="6244" xr:uid="{00000000-0005-0000-0000-000061180000}"/>
    <cellStyle name="Comma 2 2 2 2 2 2 2 2 2 2 2 2 2 2 2 2 2 7 2 7" xfId="6245" xr:uid="{00000000-0005-0000-0000-000062180000}"/>
    <cellStyle name="Comma 2 2 2 2 2 2 2 2 2 2 2 2 2 2 2 2 2 7 2 8" xfId="6246" xr:uid="{00000000-0005-0000-0000-000063180000}"/>
    <cellStyle name="Comma 2 2 2 2 2 2 2 2 2 2 2 2 2 2 2 2 2 7 2 9" xfId="6247" xr:uid="{00000000-0005-0000-0000-000064180000}"/>
    <cellStyle name="Comma 2 2 2 2 2 2 2 2 2 2 2 2 2 2 2 2 2 7 3" xfId="6248" xr:uid="{00000000-0005-0000-0000-000065180000}"/>
    <cellStyle name="Comma 2 2 2 2 2 2 2 2 2 2 2 2 2 2 2 2 2 7 3 10" xfId="6249" xr:uid="{00000000-0005-0000-0000-000066180000}"/>
    <cellStyle name="Comma 2 2 2 2 2 2 2 2 2 2 2 2 2 2 2 2 2 7 3 11" xfId="6250" xr:uid="{00000000-0005-0000-0000-000067180000}"/>
    <cellStyle name="Comma 2 2 2 2 2 2 2 2 2 2 2 2 2 2 2 2 2 7 3 12" xfId="6251" xr:uid="{00000000-0005-0000-0000-000068180000}"/>
    <cellStyle name="Comma 2 2 2 2 2 2 2 2 2 2 2 2 2 2 2 2 2 7 3 2" xfId="6252" xr:uid="{00000000-0005-0000-0000-000069180000}"/>
    <cellStyle name="Comma 2 2 2 2 2 2 2 2 2 2 2 2 2 2 2 2 2 7 3 3" xfId="6253" xr:uid="{00000000-0005-0000-0000-00006A180000}"/>
    <cellStyle name="Comma 2 2 2 2 2 2 2 2 2 2 2 2 2 2 2 2 2 7 3 4" xfId="6254" xr:uid="{00000000-0005-0000-0000-00006B180000}"/>
    <cellStyle name="Comma 2 2 2 2 2 2 2 2 2 2 2 2 2 2 2 2 2 7 3 5" xfId="6255" xr:uid="{00000000-0005-0000-0000-00006C180000}"/>
    <cellStyle name="Comma 2 2 2 2 2 2 2 2 2 2 2 2 2 2 2 2 2 7 3 6" xfId="6256" xr:uid="{00000000-0005-0000-0000-00006D180000}"/>
    <cellStyle name="Comma 2 2 2 2 2 2 2 2 2 2 2 2 2 2 2 2 2 7 3 6 2" xfId="6257" xr:uid="{00000000-0005-0000-0000-00006E180000}"/>
    <cellStyle name="Comma 2 2 2 2 2 2 2 2 2 2 2 2 2 2 2 2 2 7 3 7" xfId="6258" xr:uid="{00000000-0005-0000-0000-00006F180000}"/>
    <cellStyle name="Comma 2 2 2 2 2 2 2 2 2 2 2 2 2 2 2 2 2 7 3 8" xfId="6259" xr:uid="{00000000-0005-0000-0000-000070180000}"/>
    <cellStyle name="Comma 2 2 2 2 2 2 2 2 2 2 2 2 2 2 2 2 2 7 3 9" xfId="6260" xr:uid="{00000000-0005-0000-0000-000071180000}"/>
    <cellStyle name="Comma 2 2 2 2 2 2 2 2 2 2 2 2 2 2 2 2 2 7 4" xfId="6261" xr:uid="{00000000-0005-0000-0000-000072180000}"/>
    <cellStyle name="Comma 2 2 2 2 2 2 2 2 2 2 2 2 2 2 2 2 2 7 4 2" xfId="6262" xr:uid="{00000000-0005-0000-0000-000073180000}"/>
    <cellStyle name="Comma 2 2 2 2 2 2 2 2 2 2 2 2 2 2 2 2 2 7 4 3" xfId="6263" xr:uid="{00000000-0005-0000-0000-000074180000}"/>
    <cellStyle name="Comma 2 2 2 2 2 2 2 2 2 2 2 2 2 2 2 2 2 7 4 4" xfId="6264" xr:uid="{00000000-0005-0000-0000-000075180000}"/>
    <cellStyle name="Comma 2 2 2 2 2 2 2 2 2 2 2 2 2 2 2 2 2 7 4 5" xfId="6265" xr:uid="{00000000-0005-0000-0000-000076180000}"/>
    <cellStyle name="Comma 2 2 2 2 2 2 2 2 2 2 2 2 2 2 2 2 2 7 4 6" xfId="6266" xr:uid="{00000000-0005-0000-0000-000077180000}"/>
    <cellStyle name="Comma 2 2 2 2 2 2 2 2 2 2 2 2 2 2 2 2 2 7 4 7" xfId="6267" xr:uid="{00000000-0005-0000-0000-000078180000}"/>
    <cellStyle name="Comma 2 2 2 2 2 2 2 2 2 2 2 2 2 2 2 2 2 7 4 8" xfId="6268" xr:uid="{00000000-0005-0000-0000-000079180000}"/>
    <cellStyle name="Comma 2 2 2 2 2 2 2 2 2 2 2 2 2 2 2 2 2 7 5" xfId="6269" xr:uid="{00000000-0005-0000-0000-00007A180000}"/>
    <cellStyle name="Comma 2 2 2 2 2 2 2 2 2 2 2 2 2 2 2 2 2 7 5 2" xfId="6270" xr:uid="{00000000-0005-0000-0000-00007B180000}"/>
    <cellStyle name="Comma 2 2 2 2 2 2 2 2 2 2 2 2 2 2 2 2 2 7 5 3" xfId="6271" xr:uid="{00000000-0005-0000-0000-00007C180000}"/>
    <cellStyle name="Comma 2 2 2 2 2 2 2 2 2 2 2 2 2 2 2 2 2 7 5 4" xfId="6272" xr:uid="{00000000-0005-0000-0000-00007D180000}"/>
    <cellStyle name="Comma 2 2 2 2 2 2 2 2 2 2 2 2 2 2 2 2 2 7 5 5" xfId="6273" xr:uid="{00000000-0005-0000-0000-00007E180000}"/>
    <cellStyle name="Comma 2 2 2 2 2 2 2 2 2 2 2 2 2 2 2 2 2 7 5 6" xfId="6274" xr:uid="{00000000-0005-0000-0000-00007F180000}"/>
    <cellStyle name="Comma 2 2 2 2 2 2 2 2 2 2 2 2 2 2 2 2 2 7 5 7" xfId="6275" xr:uid="{00000000-0005-0000-0000-000080180000}"/>
    <cellStyle name="Comma 2 2 2 2 2 2 2 2 2 2 2 2 2 2 2 2 2 7 5 8" xfId="6276" xr:uid="{00000000-0005-0000-0000-000081180000}"/>
    <cellStyle name="Comma 2 2 2 2 2 2 2 2 2 2 2 2 2 2 2 2 2 7 6" xfId="6277" xr:uid="{00000000-0005-0000-0000-000082180000}"/>
    <cellStyle name="Comma 2 2 2 2 2 2 2 2 2 2 2 2 2 2 2 2 2 7 7" xfId="6278" xr:uid="{00000000-0005-0000-0000-000083180000}"/>
    <cellStyle name="Comma 2 2 2 2 2 2 2 2 2 2 2 2 2 2 2 2 2 8" xfId="6279" xr:uid="{00000000-0005-0000-0000-000084180000}"/>
    <cellStyle name="Comma 2 2 2 2 2 2 2 2 2 2 2 2 2 2 2 2 2 8 2" xfId="6280" xr:uid="{00000000-0005-0000-0000-000085180000}"/>
    <cellStyle name="Comma 2 2 2 2 2 2 2 2 2 2 2 2 2 2 2 2 2 8 2 10" xfId="6281" xr:uid="{00000000-0005-0000-0000-000086180000}"/>
    <cellStyle name="Comma 2 2 2 2 2 2 2 2 2 2 2 2 2 2 2 2 2 8 2 11" xfId="6282" xr:uid="{00000000-0005-0000-0000-000087180000}"/>
    <cellStyle name="Comma 2 2 2 2 2 2 2 2 2 2 2 2 2 2 2 2 2 8 2 12" xfId="6283" xr:uid="{00000000-0005-0000-0000-000088180000}"/>
    <cellStyle name="Comma 2 2 2 2 2 2 2 2 2 2 2 2 2 2 2 2 2 8 2 2" xfId="6284" xr:uid="{00000000-0005-0000-0000-000089180000}"/>
    <cellStyle name="Comma 2 2 2 2 2 2 2 2 2 2 2 2 2 2 2 2 2 8 2 2 2" xfId="6285" xr:uid="{00000000-0005-0000-0000-00008A180000}"/>
    <cellStyle name="Comma 2 2 2 2 2 2 2 2 2 2 2 2 2 2 2 2 2 8 2 2 3" xfId="6286" xr:uid="{00000000-0005-0000-0000-00008B180000}"/>
    <cellStyle name="Comma 2 2 2 2 2 2 2 2 2 2 2 2 2 2 2 2 2 8 2 2 4" xfId="6287" xr:uid="{00000000-0005-0000-0000-00008C180000}"/>
    <cellStyle name="Comma 2 2 2 2 2 2 2 2 2 2 2 2 2 2 2 2 2 8 2 3" xfId="6288" xr:uid="{00000000-0005-0000-0000-00008D180000}"/>
    <cellStyle name="Comma 2 2 2 2 2 2 2 2 2 2 2 2 2 2 2 2 2 8 2 3 2" xfId="6289" xr:uid="{00000000-0005-0000-0000-00008E180000}"/>
    <cellStyle name="Comma 2 2 2 2 2 2 2 2 2 2 2 2 2 2 2 2 2 8 2 4" xfId="6290" xr:uid="{00000000-0005-0000-0000-00008F180000}"/>
    <cellStyle name="Comma 2 2 2 2 2 2 2 2 2 2 2 2 2 2 2 2 2 8 2 5" xfId="6291" xr:uid="{00000000-0005-0000-0000-000090180000}"/>
    <cellStyle name="Comma 2 2 2 2 2 2 2 2 2 2 2 2 2 2 2 2 2 8 2 6" xfId="6292" xr:uid="{00000000-0005-0000-0000-000091180000}"/>
    <cellStyle name="Comma 2 2 2 2 2 2 2 2 2 2 2 2 2 2 2 2 2 8 2 6 2" xfId="6293" xr:uid="{00000000-0005-0000-0000-000092180000}"/>
    <cellStyle name="Comma 2 2 2 2 2 2 2 2 2 2 2 2 2 2 2 2 2 8 2 7" xfId="6294" xr:uid="{00000000-0005-0000-0000-000093180000}"/>
    <cellStyle name="Comma 2 2 2 2 2 2 2 2 2 2 2 2 2 2 2 2 2 8 2 8" xfId="6295" xr:uid="{00000000-0005-0000-0000-000094180000}"/>
    <cellStyle name="Comma 2 2 2 2 2 2 2 2 2 2 2 2 2 2 2 2 2 8 2 9" xfId="6296" xr:uid="{00000000-0005-0000-0000-000095180000}"/>
    <cellStyle name="Comma 2 2 2 2 2 2 2 2 2 2 2 2 2 2 2 2 2 8 3" xfId="6297" xr:uid="{00000000-0005-0000-0000-000096180000}"/>
    <cellStyle name="Comma 2 2 2 2 2 2 2 2 2 2 2 2 2 2 2 2 2 8 3 2" xfId="6298" xr:uid="{00000000-0005-0000-0000-000097180000}"/>
    <cellStyle name="Comma 2 2 2 2 2 2 2 2 2 2 2 2 2 2 2 2 2 8 3 3" xfId="6299" xr:uid="{00000000-0005-0000-0000-000098180000}"/>
    <cellStyle name="Comma 2 2 2 2 2 2 2 2 2 2 2 2 2 2 2 2 2 8 3 4" xfId="6300" xr:uid="{00000000-0005-0000-0000-000099180000}"/>
    <cellStyle name="Comma 2 2 2 2 2 2 2 2 2 2 2 2 2 2 2 2 2 8 3 5" xfId="6301" xr:uid="{00000000-0005-0000-0000-00009A180000}"/>
    <cellStyle name="Comma 2 2 2 2 2 2 2 2 2 2 2 2 2 2 2 2 2 8 3 6" xfId="6302" xr:uid="{00000000-0005-0000-0000-00009B180000}"/>
    <cellStyle name="Comma 2 2 2 2 2 2 2 2 2 2 2 2 2 2 2 2 2 8 3 7" xfId="6303" xr:uid="{00000000-0005-0000-0000-00009C180000}"/>
    <cellStyle name="Comma 2 2 2 2 2 2 2 2 2 2 2 2 2 2 2 2 2 8 3 8" xfId="6304" xr:uid="{00000000-0005-0000-0000-00009D180000}"/>
    <cellStyle name="Comma 2 2 2 2 2 2 2 2 2 2 2 2 2 2 2 2 2 9" xfId="6305" xr:uid="{00000000-0005-0000-0000-00009E180000}"/>
    <cellStyle name="Comma 2 2 2 2 2 2 2 2 2 2 2 2 2 2 2 2 2 9 2" xfId="6306" xr:uid="{00000000-0005-0000-0000-00009F180000}"/>
    <cellStyle name="Comma 2 2 2 2 2 2 2 2 2 2 2 2 2 2 2 2 2 9 2 10" xfId="6307" xr:uid="{00000000-0005-0000-0000-0000A0180000}"/>
    <cellStyle name="Comma 2 2 2 2 2 2 2 2 2 2 2 2 2 2 2 2 2 9 2 11" xfId="6308" xr:uid="{00000000-0005-0000-0000-0000A1180000}"/>
    <cellStyle name="Comma 2 2 2 2 2 2 2 2 2 2 2 2 2 2 2 2 2 9 2 12" xfId="6309" xr:uid="{00000000-0005-0000-0000-0000A2180000}"/>
    <cellStyle name="Comma 2 2 2 2 2 2 2 2 2 2 2 2 2 2 2 2 2 9 2 2" xfId="6310" xr:uid="{00000000-0005-0000-0000-0000A3180000}"/>
    <cellStyle name="Comma 2 2 2 2 2 2 2 2 2 2 2 2 2 2 2 2 2 9 2 3" xfId="6311" xr:uid="{00000000-0005-0000-0000-0000A4180000}"/>
    <cellStyle name="Comma 2 2 2 2 2 2 2 2 2 2 2 2 2 2 2 2 2 9 2 4" xfId="6312" xr:uid="{00000000-0005-0000-0000-0000A5180000}"/>
    <cellStyle name="Comma 2 2 2 2 2 2 2 2 2 2 2 2 2 2 2 2 2 9 2 5" xfId="6313" xr:uid="{00000000-0005-0000-0000-0000A6180000}"/>
    <cellStyle name="Comma 2 2 2 2 2 2 2 2 2 2 2 2 2 2 2 2 2 9 2 6" xfId="6314" xr:uid="{00000000-0005-0000-0000-0000A7180000}"/>
    <cellStyle name="Comma 2 2 2 2 2 2 2 2 2 2 2 2 2 2 2 2 2 9 2 6 2" xfId="6315" xr:uid="{00000000-0005-0000-0000-0000A8180000}"/>
    <cellStyle name="Comma 2 2 2 2 2 2 2 2 2 2 2 2 2 2 2 2 2 9 2 7" xfId="6316" xr:uid="{00000000-0005-0000-0000-0000A9180000}"/>
    <cellStyle name="Comma 2 2 2 2 2 2 2 2 2 2 2 2 2 2 2 2 2 9 2 8" xfId="6317" xr:uid="{00000000-0005-0000-0000-0000AA180000}"/>
    <cellStyle name="Comma 2 2 2 2 2 2 2 2 2 2 2 2 2 2 2 2 2 9 2 9" xfId="6318" xr:uid="{00000000-0005-0000-0000-0000AB180000}"/>
    <cellStyle name="Comma 2 2 2 2 2 2 2 2 2 2 2 2 2 2 2 2 3" xfId="6319" xr:uid="{00000000-0005-0000-0000-0000AC180000}"/>
    <cellStyle name="Comma 2 2 2 2 2 2 2 2 2 2 2 2 2 2 2 2 3 10" xfId="6320" xr:uid="{00000000-0005-0000-0000-0000AD180000}"/>
    <cellStyle name="Comma 2 2 2 2 2 2 2 2 2 2 2 2 2 2 2 2 3 10 2" xfId="6321" xr:uid="{00000000-0005-0000-0000-0000AE180000}"/>
    <cellStyle name="Comma 2 2 2 2 2 2 2 2 2 2 2 2 2 2 2 2 3 10 3" xfId="6322" xr:uid="{00000000-0005-0000-0000-0000AF180000}"/>
    <cellStyle name="Comma 2 2 2 2 2 2 2 2 2 2 2 2 2 2 2 2 3 10 4" xfId="6323" xr:uid="{00000000-0005-0000-0000-0000B0180000}"/>
    <cellStyle name="Comma 2 2 2 2 2 2 2 2 2 2 2 2 2 2 2 2 3 10 5" xfId="6324" xr:uid="{00000000-0005-0000-0000-0000B1180000}"/>
    <cellStyle name="Comma 2 2 2 2 2 2 2 2 2 2 2 2 2 2 2 2 3 10 6" xfId="6325" xr:uid="{00000000-0005-0000-0000-0000B2180000}"/>
    <cellStyle name="Comma 2 2 2 2 2 2 2 2 2 2 2 2 2 2 2 2 3 10 7" xfId="6326" xr:uid="{00000000-0005-0000-0000-0000B3180000}"/>
    <cellStyle name="Comma 2 2 2 2 2 2 2 2 2 2 2 2 2 2 2 2 3 10 8" xfId="6327" xr:uid="{00000000-0005-0000-0000-0000B4180000}"/>
    <cellStyle name="Comma 2 2 2 2 2 2 2 2 2 2 2 2 2 2 2 2 3 11" xfId="6328" xr:uid="{00000000-0005-0000-0000-0000B5180000}"/>
    <cellStyle name="Comma 2 2 2 2 2 2 2 2 2 2 2 2 2 2 2 2 3 11 2" xfId="6329" xr:uid="{00000000-0005-0000-0000-0000B6180000}"/>
    <cellStyle name="Comma 2 2 2 2 2 2 2 2 2 2 2 2 2 2 2 2 3 11 3" xfId="6330" xr:uid="{00000000-0005-0000-0000-0000B7180000}"/>
    <cellStyle name="Comma 2 2 2 2 2 2 2 2 2 2 2 2 2 2 2 2 3 11 4" xfId="6331" xr:uid="{00000000-0005-0000-0000-0000B8180000}"/>
    <cellStyle name="Comma 2 2 2 2 2 2 2 2 2 2 2 2 2 2 2 2 3 11 5" xfId="6332" xr:uid="{00000000-0005-0000-0000-0000B9180000}"/>
    <cellStyle name="Comma 2 2 2 2 2 2 2 2 2 2 2 2 2 2 2 2 3 11 6" xfId="6333" xr:uid="{00000000-0005-0000-0000-0000BA180000}"/>
    <cellStyle name="Comma 2 2 2 2 2 2 2 2 2 2 2 2 2 2 2 2 3 11 7" xfId="6334" xr:uid="{00000000-0005-0000-0000-0000BB180000}"/>
    <cellStyle name="Comma 2 2 2 2 2 2 2 2 2 2 2 2 2 2 2 2 3 11 8" xfId="6335" xr:uid="{00000000-0005-0000-0000-0000BC180000}"/>
    <cellStyle name="Comma 2 2 2 2 2 2 2 2 2 2 2 2 2 2 2 2 3 12" xfId="6336" xr:uid="{00000000-0005-0000-0000-0000BD180000}"/>
    <cellStyle name="Comma 2 2 2 2 2 2 2 2 2 2 2 2 2 2 2 2 3 12 2" xfId="6337" xr:uid="{00000000-0005-0000-0000-0000BE180000}"/>
    <cellStyle name="Comma 2 2 2 2 2 2 2 2 2 2 2 2 2 2 2 2 3 12 3" xfId="6338" xr:uid="{00000000-0005-0000-0000-0000BF180000}"/>
    <cellStyle name="Comma 2 2 2 2 2 2 2 2 2 2 2 2 2 2 2 2 3 12 4" xfId="6339" xr:uid="{00000000-0005-0000-0000-0000C0180000}"/>
    <cellStyle name="Comma 2 2 2 2 2 2 2 2 2 2 2 2 2 2 2 2 3 12 5" xfId="6340" xr:uid="{00000000-0005-0000-0000-0000C1180000}"/>
    <cellStyle name="Comma 2 2 2 2 2 2 2 2 2 2 2 2 2 2 2 2 3 12 6" xfId="6341" xr:uid="{00000000-0005-0000-0000-0000C2180000}"/>
    <cellStyle name="Comma 2 2 2 2 2 2 2 2 2 2 2 2 2 2 2 2 3 12 7" xfId="6342" xr:uid="{00000000-0005-0000-0000-0000C3180000}"/>
    <cellStyle name="Comma 2 2 2 2 2 2 2 2 2 2 2 2 2 2 2 2 3 12 8" xfId="6343" xr:uid="{00000000-0005-0000-0000-0000C4180000}"/>
    <cellStyle name="Comma 2 2 2 2 2 2 2 2 2 2 2 2 2 2 2 2 3 13" xfId="6344" xr:uid="{00000000-0005-0000-0000-0000C5180000}"/>
    <cellStyle name="Comma 2 2 2 2 2 2 2 2 2 2 2 2 2 2 2 2 3 13 2" xfId="6345" xr:uid="{00000000-0005-0000-0000-0000C6180000}"/>
    <cellStyle name="Comma 2 2 2 2 2 2 2 2 2 2 2 2 2 2 2 2 3 13 3" xfId="6346" xr:uid="{00000000-0005-0000-0000-0000C7180000}"/>
    <cellStyle name="Comma 2 2 2 2 2 2 2 2 2 2 2 2 2 2 2 2 3 13 4" xfId="6347" xr:uid="{00000000-0005-0000-0000-0000C8180000}"/>
    <cellStyle name="Comma 2 2 2 2 2 2 2 2 2 2 2 2 2 2 2 2 3 13 5" xfId="6348" xr:uid="{00000000-0005-0000-0000-0000C9180000}"/>
    <cellStyle name="Comma 2 2 2 2 2 2 2 2 2 2 2 2 2 2 2 2 3 13 6" xfId="6349" xr:uid="{00000000-0005-0000-0000-0000CA180000}"/>
    <cellStyle name="Comma 2 2 2 2 2 2 2 2 2 2 2 2 2 2 2 2 3 13 7" xfId="6350" xr:uid="{00000000-0005-0000-0000-0000CB180000}"/>
    <cellStyle name="Comma 2 2 2 2 2 2 2 2 2 2 2 2 2 2 2 2 3 13 8" xfId="6351" xr:uid="{00000000-0005-0000-0000-0000CC180000}"/>
    <cellStyle name="Comma 2 2 2 2 2 2 2 2 2 2 2 2 2 2 2 2 3 14" xfId="6352" xr:uid="{00000000-0005-0000-0000-0000CD180000}"/>
    <cellStyle name="Comma 2 2 2 2 2 2 2 2 2 2 2 2 2 2 2 2 3 14 2" xfId="6353" xr:uid="{00000000-0005-0000-0000-0000CE180000}"/>
    <cellStyle name="Comma 2 2 2 2 2 2 2 2 2 2 2 2 2 2 2 2 3 14 3" xfId="6354" xr:uid="{00000000-0005-0000-0000-0000CF180000}"/>
    <cellStyle name="Comma 2 2 2 2 2 2 2 2 2 2 2 2 2 2 2 2 3 15" xfId="6355" xr:uid="{00000000-0005-0000-0000-0000D0180000}"/>
    <cellStyle name="Comma 2 2 2 2 2 2 2 2 2 2 2 2 2 2 2 2 3 16" xfId="6356" xr:uid="{00000000-0005-0000-0000-0000D1180000}"/>
    <cellStyle name="Comma 2 2 2 2 2 2 2 2 2 2 2 2 2 2 2 2 3 16 2" xfId="6357" xr:uid="{00000000-0005-0000-0000-0000D2180000}"/>
    <cellStyle name="Comma 2 2 2 2 2 2 2 2 2 2 2 2 2 2 2 2 3 17" xfId="6358" xr:uid="{00000000-0005-0000-0000-0000D3180000}"/>
    <cellStyle name="Comma 2 2 2 2 2 2 2 2 2 2 2 2 2 2 2 2 3 17 2" xfId="6359" xr:uid="{00000000-0005-0000-0000-0000D4180000}"/>
    <cellStyle name="Comma 2 2 2 2 2 2 2 2 2 2 2 2 2 2 2 2 3 18" xfId="6360" xr:uid="{00000000-0005-0000-0000-0000D5180000}"/>
    <cellStyle name="Comma 2 2 2 2 2 2 2 2 2 2 2 2 2 2 2 2 3 19" xfId="6361" xr:uid="{00000000-0005-0000-0000-0000D6180000}"/>
    <cellStyle name="Comma 2 2 2 2 2 2 2 2 2 2 2 2 2 2 2 2 3 2" xfId="6362" xr:uid="{00000000-0005-0000-0000-0000D7180000}"/>
    <cellStyle name="Comma 2 2 2 2 2 2 2 2 2 2 2 2 2 2 2 2 3 2 2" xfId="6363" xr:uid="{00000000-0005-0000-0000-0000D8180000}"/>
    <cellStyle name="Comma 2 2 2 2 2 2 2 2 2 2 2 2 2 2 2 2 3 2 3" xfId="6364" xr:uid="{00000000-0005-0000-0000-0000D9180000}"/>
    <cellStyle name="Comma 2 2 2 2 2 2 2 2 2 2 2 2 2 2 2 2 3 2 4" xfId="6365" xr:uid="{00000000-0005-0000-0000-0000DA180000}"/>
    <cellStyle name="Comma 2 2 2 2 2 2 2 2 2 2 2 2 2 2 2 2 3 2 5" xfId="6366" xr:uid="{00000000-0005-0000-0000-0000DB180000}"/>
    <cellStyle name="Comma 2 2 2 2 2 2 2 2 2 2 2 2 2 2 2 2 3 20" xfId="6367" xr:uid="{00000000-0005-0000-0000-0000DC180000}"/>
    <cellStyle name="Comma 2 2 2 2 2 2 2 2 2 2 2 2 2 2 2 2 3 21" xfId="6368" xr:uid="{00000000-0005-0000-0000-0000DD180000}"/>
    <cellStyle name="Comma 2 2 2 2 2 2 2 2 2 2 2 2 2 2 2 2 3 22" xfId="6369" xr:uid="{00000000-0005-0000-0000-0000DE180000}"/>
    <cellStyle name="Comma 2 2 2 2 2 2 2 2 2 2 2 2 2 2 2 2 3 23" xfId="6370" xr:uid="{00000000-0005-0000-0000-0000DF180000}"/>
    <cellStyle name="Comma 2 2 2 2 2 2 2 2 2 2 2 2 2 2 2 2 3 24" xfId="6371" xr:uid="{00000000-0005-0000-0000-0000E0180000}"/>
    <cellStyle name="Comma 2 2 2 2 2 2 2 2 2 2 2 2 2 2 2 2 3 25" xfId="6372" xr:uid="{00000000-0005-0000-0000-0000E1180000}"/>
    <cellStyle name="Comma 2 2 2 2 2 2 2 2 2 2 2 2 2 2 2 2 3 3" xfId="6373" xr:uid="{00000000-0005-0000-0000-0000E2180000}"/>
    <cellStyle name="Comma 2 2 2 2 2 2 2 2 2 2 2 2 2 2 2 2 3 3 2" xfId="6374" xr:uid="{00000000-0005-0000-0000-0000E3180000}"/>
    <cellStyle name="Comma 2 2 2 2 2 2 2 2 2 2 2 2 2 2 2 2 3 3 3" xfId="6375" xr:uid="{00000000-0005-0000-0000-0000E4180000}"/>
    <cellStyle name="Comma 2 2 2 2 2 2 2 2 2 2 2 2 2 2 2 2 3 4" xfId="6376" xr:uid="{00000000-0005-0000-0000-0000E5180000}"/>
    <cellStyle name="Comma 2 2 2 2 2 2 2 2 2 2 2 2 2 2 2 2 3 4 2" xfId="6377" xr:uid="{00000000-0005-0000-0000-0000E6180000}"/>
    <cellStyle name="Comma 2 2 2 2 2 2 2 2 2 2 2 2 2 2 2 2 3 5" xfId="6378" xr:uid="{00000000-0005-0000-0000-0000E7180000}"/>
    <cellStyle name="Comma 2 2 2 2 2 2 2 2 2 2 2 2 2 2 2 2 3 5 2" xfId="6379" xr:uid="{00000000-0005-0000-0000-0000E8180000}"/>
    <cellStyle name="Comma 2 2 2 2 2 2 2 2 2 2 2 2 2 2 2 2 3 5 3" xfId="6380" xr:uid="{00000000-0005-0000-0000-0000E9180000}"/>
    <cellStyle name="Comma 2 2 2 2 2 2 2 2 2 2 2 2 2 2 2 2 3 5 4" xfId="6381" xr:uid="{00000000-0005-0000-0000-0000EA180000}"/>
    <cellStyle name="Comma 2 2 2 2 2 2 2 2 2 2 2 2 2 2 2 2 3 5 5" xfId="6382" xr:uid="{00000000-0005-0000-0000-0000EB180000}"/>
    <cellStyle name="Comma 2 2 2 2 2 2 2 2 2 2 2 2 2 2 2 2 3 5 6" xfId="6383" xr:uid="{00000000-0005-0000-0000-0000EC180000}"/>
    <cellStyle name="Comma 2 2 2 2 2 2 2 2 2 2 2 2 2 2 2 2 3 5 7" xfId="6384" xr:uid="{00000000-0005-0000-0000-0000ED180000}"/>
    <cellStyle name="Comma 2 2 2 2 2 2 2 2 2 2 2 2 2 2 2 2 3 5 8" xfId="6385" xr:uid="{00000000-0005-0000-0000-0000EE180000}"/>
    <cellStyle name="Comma 2 2 2 2 2 2 2 2 2 2 2 2 2 2 2 2 3 6" xfId="6386" xr:uid="{00000000-0005-0000-0000-0000EF180000}"/>
    <cellStyle name="Comma 2 2 2 2 2 2 2 2 2 2 2 2 2 2 2 2 3 6 2" xfId="6387" xr:uid="{00000000-0005-0000-0000-0000F0180000}"/>
    <cellStyle name="Comma 2 2 2 2 2 2 2 2 2 2 2 2 2 2 2 2 3 7" xfId="6388" xr:uid="{00000000-0005-0000-0000-0000F1180000}"/>
    <cellStyle name="Comma 2 2 2 2 2 2 2 2 2 2 2 2 2 2 2 2 3 7 2" xfId="6389" xr:uid="{00000000-0005-0000-0000-0000F2180000}"/>
    <cellStyle name="Comma 2 2 2 2 2 2 2 2 2 2 2 2 2 2 2 2 3 7 3" xfId="6390" xr:uid="{00000000-0005-0000-0000-0000F3180000}"/>
    <cellStyle name="Comma 2 2 2 2 2 2 2 2 2 2 2 2 2 2 2 2 3 7 4" xfId="6391" xr:uid="{00000000-0005-0000-0000-0000F4180000}"/>
    <cellStyle name="Comma 2 2 2 2 2 2 2 2 2 2 2 2 2 2 2 2 3 7 5" xfId="6392" xr:uid="{00000000-0005-0000-0000-0000F5180000}"/>
    <cellStyle name="Comma 2 2 2 2 2 2 2 2 2 2 2 2 2 2 2 2 3 7 6" xfId="6393" xr:uid="{00000000-0005-0000-0000-0000F6180000}"/>
    <cellStyle name="Comma 2 2 2 2 2 2 2 2 2 2 2 2 2 2 2 2 3 7 7" xfId="6394" xr:uid="{00000000-0005-0000-0000-0000F7180000}"/>
    <cellStyle name="Comma 2 2 2 2 2 2 2 2 2 2 2 2 2 2 2 2 3 7 8" xfId="6395" xr:uid="{00000000-0005-0000-0000-0000F8180000}"/>
    <cellStyle name="Comma 2 2 2 2 2 2 2 2 2 2 2 2 2 2 2 2 3 8" xfId="6396" xr:uid="{00000000-0005-0000-0000-0000F9180000}"/>
    <cellStyle name="Comma 2 2 2 2 2 2 2 2 2 2 2 2 2 2 2 2 3 8 2" xfId="6397" xr:uid="{00000000-0005-0000-0000-0000FA180000}"/>
    <cellStyle name="Comma 2 2 2 2 2 2 2 2 2 2 2 2 2 2 2 2 3 8 3" xfId="6398" xr:uid="{00000000-0005-0000-0000-0000FB180000}"/>
    <cellStyle name="Comma 2 2 2 2 2 2 2 2 2 2 2 2 2 2 2 2 3 8 4" xfId="6399" xr:uid="{00000000-0005-0000-0000-0000FC180000}"/>
    <cellStyle name="Comma 2 2 2 2 2 2 2 2 2 2 2 2 2 2 2 2 3 8 5" xfId="6400" xr:uid="{00000000-0005-0000-0000-0000FD180000}"/>
    <cellStyle name="Comma 2 2 2 2 2 2 2 2 2 2 2 2 2 2 2 2 3 8 6" xfId="6401" xr:uid="{00000000-0005-0000-0000-0000FE180000}"/>
    <cellStyle name="Comma 2 2 2 2 2 2 2 2 2 2 2 2 2 2 2 2 3 8 7" xfId="6402" xr:uid="{00000000-0005-0000-0000-0000FF180000}"/>
    <cellStyle name="Comma 2 2 2 2 2 2 2 2 2 2 2 2 2 2 2 2 3 8 8" xfId="6403" xr:uid="{00000000-0005-0000-0000-000000190000}"/>
    <cellStyle name="Comma 2 2 2 2 2 2 2 2 2 2 2 2 2 2 2 2 3 9" xfId="6404" xr:uid="{00000000-0005-0000-0000-000001190000}"/>
    <cellStyle name="Comma 2 2 2 2 2 2 2 2 2 2 2 2 2 2 2 2 3 9 2" xfId="6405" xr:uid="{00000000-0005-0000-0000-000002190000}"/>
    <cellStyle name="Comma 2 2 2 2 2 2 2 2 2 2 2 2 2 2 2 2 3 9 3" xfId="6406" xr:uid="{00000000-0005-0000-0000-000003190000}"/>
    <cellStyle name="Comma 2 2 2 2 2 2 2 2 2 2 2 2 2 2 2 2 3 9 4" xfId="6407" xr:uid="{00000000-0005-0000-0000-000004190000}"/>
    <cellStyle name="Comma 2 2 2 2 2 2 2 2 2 2 2 2 2 2 2 2 3 9 5" xfId="6408" xr:uid="{00000000-0005-0000-0000-000005190000}"/>
    <cellStyle name="Comma 2 2 2 2 2 2 2 2 2 2 2 2 2 2 2 2 3 9 6" xfId="6409" xr:uid="{00000000-0005-0000-0000-000006190000}"/>
    <cellStyle name="Comma 2 2 2 2 2 2 2 2 2 2 2 2 2 2 2 2 3 9 7" xfId="6410" xr:uid="{00000000-0005-0000-0000-000007190000}"/>
    <cellStyle name="Comma 2 2 2 2 2 2 2 2 2 2 2 2 2 2 2 2 3 9 8" xfId="6411" xr:uid="{00000000-0005-0000-0000-000008190000}"/>
    <cellStyle name="Comma 2 2 2 2 2 2 2 2 2 2 2 2 2 2 2 2 4" xfId="6412" xr:uid="{00000000-0005-0000-0000-000009190000}"/>
    <cellStyle name="Comma 2 2 2 2 2 2 2 2 2 2 2 2 2 2 2 2 4 10" xfId="6413" xr:uid="{00000000-0005-0000-0000-00000A190000}"/>
    <cellStyle name="Comma 2 2 2 2 2 2 2 2 2 2 2 2 2 2 2 2 4 11" xfId="6414" xr:uid="{00000000-0005-0000-0000-00000B190000}"/>
    <cellStyle name="Comma 2 2 2 2 2 2 2 2 2 2 2 2 2 2 2 2 4 12" xfId="6415" xr:uid="{00000000-0005-0000-0000-00000C190000}"/>
    <cellStyle name="Comma 2 2 2 2 2 2 2 2 2 2 2 2 2 2 2 2 4 13" xfId="6416" xr:uid="{00000000-0005-0000-0000-00000D190000}"/>
    <cellStyle name="Comma 2 2 2 2 2 2 2 2 2 2 2 2 2 2 2 2 4 14" xfId="6417" xr:uid="{00000000-0005-0000-0000-00000E190000}"/>
    <cellStyle name="Comma 2 2 2 2 2 2 2 2 2 2 2 2 2 2 2 2 4 15" xfId="6418" xr:uid="{00000000-0005-0000-0000-00000F190000}"/>
    <cellStyle name="Comma 2 2 2 2 2 2 2 2 2 2 2 2 2 2 2 2 4 16" xfId="6419" xr:uid="{00000000-0005-0000-0000-000010190000}"/>
    <cellStyle name="Comma 2 2 2 2 2 2 2 2 2 2 2 2 2 2 2 2 4 17" xfId="6420" xr:uid="{00000000-0005-0000-0000-000011190000}"/>
    <cellStyle name="Comma 2 2 2 2 2 2 2 2 2 2 2 2 2 2 2 2 4 17 2" xfId="6421" xr:uid="{00000000-0005-0000-0000-000012190000}"/>
    <cellStyle name="Comma 2 2 2 2 2 2 2 2 2 2 2 2 2 2 2 2 4 18" xfId="6422" xr:uid="{00000000-0005-0000-0000-000013190000}"/>
    <cellStyle name="Comma 2 2 2 2 2 2 2 2 2 2 2 2 2 2 2 2 4 19" xfId="6423" xr:uid="{00000000-0005-0000-0000-000014190000}"/>
    <cellStyle name="Comma 2 2 2 2 2 2 2 2 2 2 2 2 2 2 2 2 4 2" xfId="6424" xr:uid="{00000000-0005-0000-0000-000015190000}"/>
    <cellStyle name="Comma 2 2 2 2 2 2 2 2 2 2 2 2 2 2 2 2 4 2 2" xfId="6425" xr:uid="{00000000-0005-0000-0000-000016190000}"/>
    <cellStyle name="Comma 2 2 2 2 2 2 2 2 2 2 2 2 2 2 2 2 4 2 2 10" xfId="6426" xr:uid="{00000000-0005-0000-0000-000017190000}"/>
    <cellStyle name="Comma 2 2 2 2 2 2 2 2 2 2 2 2 2 2 2 2 4 2 2 11" xfId="6427" xr:uid="{00000000-0005-0000-0000-000018190000}"/>
    <cellStyle name="Comma 2 2 2 2 2 2 2 2 2 2 2 2 2 2 2 2 4 2 2 12" xfId="6428" xr:uid="{00000000-0005-0000-0000-000019190000}"/>
    <cellStyle name="Comma 2 2 2 2 2 2 2 2 2 2 2 2 2 2 2 2 4 2 2 2" xfId="6429" xr:uid="{00000000-0005-0000-0000-00001A190000}"/>
    <cellStyle name="Comma 2 2 2 2 2 2 2 2 2 2 2 2 2 2 2 2 4 2 2 3" xfId="6430" xr:uid="{00000000-0005-0000-0000-00001B190000}"/>
    <cellStyle name="Comma 2 2 2 2 2 2 2 2 2 2 2 2 2 2 2 2 4 2 2 4" xfId="6431" xr:uid="{00000000-0005-0000-0000-00001C190000}"/>
    <cellStyle name="Comma 2 2 2 2 2 2 2 2 2 2 2 2 2 2 2 2 4 2 2 5" xfId="6432" xr:uid="{00000000-0005-0000-0000-00001D190000}"/>
    <cellStyle name="Comma 2 2 2 2 2 2 2 2 2 2 2 2 2 2 2 2 4 2 2 6" xfId="6433" xr:uid="{00000000-0005-0000-0000-00001E190000}"/>
    <cellStyle name="Comma 2 2 2 2 2 2 2 2 2 2 2 2 2 2 2 2 4 2 2 6 2" xfId="6434" xr:uid="{00000000-0005-0000-0000-00001F190000}"/>
    <cellStyle name="Comma 2 2 2 2 2 2 2 2 2 2 2 2 2 2 2 2 4 2 2 7" xfId="6435" xr:uid="{00000000-0005-0000-0000-000020190000}"/>
    <cellStyle name="Comma 2 2 2 2 2 2 2 2 2 2 2 2 2 2 2 2 4 2 2 8" xfId="6436" xr:uid="{00000000-0005-0000-0000-000021190000}"/>
    <cellStyle name="Comma 2 2 2 2 2 2 2 2 2 2 2 2 2 2 2 2 4 2 2 9" xfId="6437" xr:uid="{00000000-0005-0000-0000-000022190000}"/>
    <cellStyle name="Comma 2 2 2 2 2 2 2 2 2 2 2 2 2 2 2 2 4 2 3" xfId="6438" xr:uid="{00000000-0005-0000-0000-000023190000}"/>
    <cellStyle name="Comma 2 2 2 2 2 2 2 2 2 2 2 2 2 2 2 2 4 2 3 10" xfId="6439" xr:uid="{00000000-0005-0000-0000-000024190000}"/>
    <cellStyle name="Comma 2 2 2 2 2 2 2 2 2 2 2 2 2 2 2 2 4 2 3 11" xfId="6440" xr:uid="{00000000-0005-0000-0000-000025190000}"/>
    <cellStyle name="Comma 2 2 2 2 2 2 2 2 2 2 2 2 2 2 2 2 4 2 3 12" xfId="6441" xr:uid="{00000000-0005-0000-0000-000026190000}"/>
    <cellStyle name="Comma 2 2 2 2 2 2 2 2 2 2 2 2 2 2 2 2 4 2 3 2" xfId="6442" xr:uid="{00000000-0005-0000-0000-000027190000}"/>
    <cellStyle name="Comma 2 2 2 2 2 2 2 2 2 2 2 2 2 2 2 2 4 2 3 3" xfId="6443" xr:uid="{00000000-0005-0000-0000-000028190000}"/>
    <cellStyle name="Comma 2 2 2 2 2 2 2 2 2 2 2 2 2 2 2 2 4 2 3 4" xfId="6444" xr:uid="{00000000-0005-0000-0000-000029190000}"/>
    <cellStyle name="Comma 2 2 2 2 2 2 2 2 2 2 2 2 2 2 2 2 4 2 3 5" xfId="6445" xr:uid="{00000000-0005-0000-0000-00002A190000}"/>
    <cellStyle name="Comma 2 2 2 2 2 2 2 2 2 2 2 2 2 2 2 2 4 2 3 6" xfId="6446" xr:uid="{00000000-0005-0000-0000-00002B190000}"/>
    <cellStyle name="Comma 2 2 2 2 2 2 2 2 2 2 2 2 2 2 2 2 4 2 3 6 2" xfId="6447" xr:uid="{00000000-0005-0000-0000-00002C190000}"/>
    <cellStyle name="Comma 2 2 2 2 2 2 2 2 2 2 2 2 2 2 2 2 4 2 3 7" xfId="6448" xr:uid="{00000000-0005-0000-0000-00002D190000}"/>
    <cellStyle name="Comma 2 2 2 2 2 2 2 2 2 2 2 2 2 2 2 2 4 2 3 8" xfId="6449" xr:uid="{00000000-0005-0000-0000-00002E190000}"/>
    <cellStyle name="Comma 2 2 2 2 2 2 2 2 2 2 2 2 2 2 2 2 4 2 3 9" xfId="6450" xr:uid="{00000000-0005-0000-0000-00002F190000}"/>
    <cellStyle name="Comma 2 2 2 2 2 2 2 2 2 2 2 2 2 2 2 2 4 2 4" xfId="6451" xr:uid="{00000000-0005-0000-0000-000030190000}"/>
    <cellStyle name="Comma 2 2 2 2 2 2 2 2 2 2 2 2 2 2 2 2 4 2 4 10" xfId="6452" xr:uid="{00000000-0005-0000-0000-000031190000}"/>
    <cellStyle name="Comma 2 2 2 2 2 2 2 2 2 2 2 2 2 2 2 2 4 2 4 11" xfId="6453" xr:uid="{00000000-0005-0000-0000-000032190000}"/>
    <cellStyle name="Comma 2 2 2 2 2 2 2 2 2 2 2 2 2 2 2 2 4 2 4 12" xfId="6454" xr:uid="{00000000-0005-0000-0000-000033190000}"/>
    <cellStyle name="Comma 2 2 2 2 2 2 2 2 2 2 2 2 2 2 2 2 4 2 4 2" xfId="6455" xr:uid="{00000000-0005-0000-0000-000034190000}"/>
    <cellStyle name="Comma 2 2 2 2 2 2 2 2 2 2 2 2 2 2 2 2 4 2 4 3" xfId="6456" xr:uid="{00000000-0005-0000-0000-000035190000}"/>
    <cellStyle name="Comma 2 2 2 2 2 2 2 2 2 2 2 2 2 2 2 2 4 2 4 4" xfId="6457" xr:uid="{00000000-0005-0000-0000-000036190000}"/>
    <cellStyle name="Comma 2 2 2 2 2 2 2 2 2 2 2 2 2 2 2 2 4 2 4 5" xfId="6458" xr:uid="{00000000-0005-0000-0000-000037190000}"/>
    <cellStyle name="Comma 2 2 2 2 2 2 2 2 2 2 2 2 2 2 2 2 4 2 4 6" xfId="6459" xr:uid="{00000000-0005-0000-0000-000038190000}"/>
    <cellStyle name="Comma 2 2 2 2 2 2 2 2 2 2 2 2 2 2 2 2 4 2 4 6 2" xfId="6460" xr:uid="{00000000-0005-0000-0000-000039190000}"/>
    <cellStyle name="Comma 2 2 2 2 2 2 2 2 2 2 2 2 2 2 2 2 4 2 4 7" xfId="6461" xr:uid="{00000000-0005-0000-0000-00003A190000}"/>
    <cellStyle name="Comma 2 2 2 2 2 2 2 2 2 2 2 2 2 2 2 2 4 2 4 8" xfId="6462" xr:uid="{00000000-0005-0000-0000-00003B190000}"/>
    <cellStyle name="Comma 2 2 2 2 2 2 2 2 2 2 2 2 2 2 2 2 4 2 4 9" xfId="6463" xr:uid="{00000000-0005-0000-0000-00003C190000}"/>
    <cellStyle name="Comma 2 2 2 2 2 2 2 2 2 2 2 2 2 2 2 2 4 2 5" xfId="6464" xr:uid="{00000000-0005-0000-0000-00003D190000}"/>
    <cellStyle name="Comma 2 2 2 2 2 2 2 2 2 2 2 2 2 2 2 2 4 2 5 10" xfId="6465" xr:uid="{00000000-0005-0000-0000-00003E190000}"/>
    <cellStyle name="Comma 2 2 2 2 2 2 2 2 2 2 2 2 2 2 2 2 4 2 5 11" xfId="6466" xr:uid="{00000000-0005-0000-0000-00003F190000}"/>
    <cellStyle name="Comma 2 2 2 2 2 2 2 2 2 2 2 2 2 2 2 2 4 2 5 12" xfId="6467" xr:uid="{00000000-0005-0000-0000-000040190000}"/>
    <cellStyle name="Comma 2 2 2 2 2 2 2 2 2 2 2 2 2 2 2 2 4 2 5 2" xfId="6468" xr:uid="{00000000-0005-0000-0000-000041190000}"/>
    <cellStyle name="Comma 2 2 2 2 2 2 2 2 2 2 2 2 2 2 2 2 4 2 5 3" xfId="6469" xr:uid="{00000000-0005-0000-0000-000042190000}"/>
    <cellStyle name="Comma 2 2 2 2 2 2 2 2 2 2 2 2 2 2 2 2 4 2 5 4" xfId="6470" xr:uid="{00000000-0005-0000-0000-000043190000}"/>
    <cellStyle name="Comma 2 2 2 2 2 2 2 2 2 2 2 2 2 2 2 2 4 2 5 5" xfId="6471" xr:uid="{00000000-0005-0000-0000-000044190000}"/>
    <cellStyle name="Comma 2 2 2 2 2 2 2 2 2 2 2 2 2 2 2 2 4 2 5 6" xfId="6472" xr:uid="{00000000-0005-0000-0000-000045190000}"/>
    <cellStyle name="Comma 2 2 2 2 2 2 2 2 2 2 2 2 2 2 2 2 4 2 5 6 2" xfId="6473" xr:uid="{00000000-0005-0000-0000-000046190000}"/>
    <cellStyle name="Comma 2 2 2 2 2 2 2 2 2 2 2 2 2 2 2 2 4 2 5 7" xfId="6474" xr:uid="{00000000-0005-0000-0000-000047190000}"/>
    <cellStyle name="Comma 2 2 2 2 2 2 2 2 2 2 2 2 2 2 2 2 4 2 5 8" xfId="6475" xr:uid="{00000000-0005-0000-0000-000048190000}"/>
    <cellStyle name="Comma 2 2 2 2 2 2 2 2 2 2 2 2 2 2 2 2 4 2 5 9" xfId="6476" xr:uid="{00000000-0005-0000-0000-000049190000}"/>
    <cellStyle name="Comma 2 2 2 2 2 2 2 2 2 2 2 2 2 2 2 2 4 2 6" xfId="6477" xr:uid="{00000000-0005-0000-0000-00004A190000}"/>
    <cellStyle name="Comma 2 2 2 2 2 2 2 2 2 2 2 2 2 2 2 2 4 2 6 10" xfId="6478" xr:uid="{00000000-0005-0000-0000-00004B190000}"/>
    <cellStyle name="Comma 2 2 2 2 2 2 2 2 2 2 2 2 2 2 2 2 4 2 6 11" xfId="6479" xr:uid="{00000000-0005-0000-0000-00004C190000}"/>
    <cellStyle name="Comma 2 2 2 2 2 2 2 2 2 2 2 2 2 2 2 2 4 2 6 12" xfId="6480" xr:uid="{00000000-0005-0000-0000-00004D190000}"/>
    <cellStyle name="Comma 2 2 2 2 2 2 2 2 2 2 2 2 2 2 2 2 4 2 6 2" xfId="6481" xr:uid="{00000000-0005-0000-0000-00004E190000}"/>
    <cellStyle name="Comma 2 2 2 2 2 2 2 2 2 2 2 2 2 2 2 2 4 2 6 3" xfId="6482" xr:uid="{00000000-0005-0000-0000-00004F190000}"/>
    <cellStyle name="Comma 2 2 2 2 2 2 2 2 2 2 2 2 2 2 2 2 4 2 6 4" xfId="6483" xr:uid="{00000000-0005-0000-0000-000050190000}"/>
    <cellStyle name="Comma 2 2 2 2 2 2 2 2 2 2 2 2 2 2 2 2 4 2 6 5" xfId="6484" xr:uid="{00000000-0005-0000-0000-000051190000}"/>
    <cellStyle name="Comma 2 2 2 2 2 2 2 2 2 2 2 2 2 2 2 2 4 2 6 6" xfId="6485" xr:uid="{00000000-0005-0000-0000-000052190000}"/>
    <cellStyle name="Comma 2 2 2 2 2 2 2 2 2 2 2 2 2 2 2 2 4 2 6 6 2" xfId="6486" xr:uid="{00000000-0005-0000-0000-000053190000}"/>
    <cellStyle name="Comma 2 2 2 2 2 2 2 2 2 2 2 2 2 2 2 2 4 2 6 7" xfId="6487" xr:uid="{00000000-0005-0000-0000-000054190000}"/>
    <cellStyle name="Comma 2 2 2 2 2 2 2 2 2 2 2 2 2 2 2 2 4 2 6 8" xfId="6488" xr:uid="{00000000-0005-0000-0000-000055190000}"/>
    <cellStyle name="Comma 2 2 2 2 2 2 2 2 2 2 2 2 2 2 2 2 4 2 6 9" xfId="6489" xr:uid="{00000000-0005-0000-0000-000056190000}"/>
    <cellStyle name="Comma 2 2 2 2 2 2 2 2 2 2 2 2 2 2 2 2 4 2 7" xfId="6490" xr:uid="{00000000-0005-0000-0000-000057190000}"/>
    <cellStyle name="Comma 2 2 2 2 2 2 2 2 2 2 2 2 2 2 2 2 4 2 7 2" xfId="6491" xr:uid="{00000000-0005-0000-0000-000058190000}"/>
    <cellStyle name="Comma 2 2 2 2 2 2 2 2 2 2 2 2 2 2 2 2 4 2 8" xfId="6492" xr:uid="{00000000-0005-0000-0000-000059190000}"/>
    <cellStyle name="Comma 2 2 2 2 2 2 2 2 2 2 2 2 2 2 2 2 4 20" xfId="6493" xr:uid="{00000000-0005-0000-0000-00005A190000}"/>
    <cellStyle name="Comma 2 2 2 2 2 2 2 2 2 2 2 2 2 2 2 2 4 21" xfId="6494" xr:uid="{00000000-0005-0000-0000-00005B190000}"/>
    <cellStyle name="Comma 2 2 2 2 2 2 2 2 2 2 2 2 2 2 2 2 4 22" xfId="6495" xr:uid="{00000000-0005-0000-0000-00005C190000}"/>
    <cellStyle name="Comma 2 2 2 2 2 2 2 2 2 2 2 2 2 2 2 2 4 23" xfId="6496" xr:uid="{00000000-0005-0000-0000-00005D190000}"/>
    <cellStyle name="Comma 2 2 2 2 2 2 2 2 2 2 2 2 2 2 2 2 4 3" xfId="6497" xr:uid="{00000000-0005-0000-0000-00005E190000}"/>
    <cellStyle name="Comma 2 2 2 2 2 2 2 2 2 2 2 2 2 2 2 2 4 3 2" xfId="6498" xr:uid="{00000000-0005-0000-0000-00005F190000}"/>
    <cellStyle name="Comma 2 2 2 2 2 2 2 2 2 2 2 2 2 2 2 2 4 3 2 10" xfId="6499" xr:uid="{00000000-0005-0000-0000-000060190000}"/>
    <cellStyle name="Comma 2 2 2 2 2 2 2 2 2 2 2 2 2 2 2 2 4 3 2 11" xfId="6500" xr:uid="{00000000-0005-0000-0000-000061190000}"/>
    <cellStyle name="Comma 2 2 2 2 2 2 2 2 2 2 2 2 2 2 2 2 4 3 2 12" xfId="6501" xr:uid="{00000000-0005-0000-0000-000062190000}"/>
    <cellStyle name="Comma 2 2 2 2 2 2 2 2 2 2 2 2 2 2 2 2 4 3 2 2" xfId="6502" xr:uid="{00000000-0005-0000-0000-000063190000}"/>
    <cellStyle name="Comma 2 2 2 2 2 2 2 2 2 2 2 2 2 2 2 2 4 3 2 3" xfId="6503" xr:uid="{00000000-0005-0000-0000-000064190000}"/>
    <cellStyle name="Comma 2 2 2 2 2 2 2 2 2 2 2 2 2 2 2 2 4 3 2 4" xfId="6504" xr:uid="{00000000-0005-0000-0000-000065190000}"/>
    <cellStyle name="Comma 2 2 2 2 2 2 2 2 2 2 2 2 2 2 2 2 4 3 2 5" xfId="6505" xr:uid="{00000000-0005-0000-0000-000066190000}"/>
    <cellStyle name="Comma 2 2 2 2 2 2 2 2 2 2 2 2 2 2 2 2 4 3 2 6" xfId="6506" xr:uid="{00000000-0005-0000-0000-000067190000}"/>
    <cellStyle name="Comma 2 2 2 2 2 2 2 2 2 2 2 2 2 2 2 2 4 3 2 6 2" xfId="6507" xr:uid="{00000000-0005-0000-0000-000068190000}"/>
    <cellStyle name="Comma 2 2 2 2 2 2 2 2 2 2 2 2 2 2 2 2 4 3 2 7" xfId="6508" xr:uid="{00000000-0005-0000-0000-000069190000}"/>
    <cellStyle name="Comma 2 2 2 2 2 2 2 2 2 2 2 2 2 2 2 2 4 3 2 8" xfId="6509" xr:uid="{00000000-0005-0000-0000-00006A190000}"/>
    <cellStyle name="Comma 2 2 2 2 2 2 2 2 2 2 2 2 2 2 2 2 4 3 2 9" xfId="6510" xr:uid="{00000000-0005-0000-0000-00006B190000}"/>
    <cellStyle name="Comma 2 2 2 2 2 2 2 2 2 2 2 2 2 2 2 2 4 3 3" xfId="6511" xr:uid="{00000000-0005-0000-0000-00006C190000}"/>
    <cellStyle name="Comma 2 2 2 2 2 2 2 2 2 2 2 2 2 2 2 2 4 3 3 10" xfId="6512" xr:uid="{00000000-0005-0000-0000-00006D190000}"/>
    <cellStyle name="Comma 2 2 2 2 2 2 2 2 2 2 2 2 2 2 2 2 4 3 3 11" xfId="6513" xr:uid="{00000000-0005-0000-0000-00006E190000}"/>
    <cellStyle name="Comma 2 2 2 2 2 2 2 2 2 2 2 2 2 2 2 2 4 3 3 12" xfId="6514" xr:uid="{00000000-0005-0000-0000-00006F190000}"/>
    <cellStyle name="Comma 2 2 2 2 2 2 2 2 2 2 2 2 2 2 2 2 4 3 3 2" xfId="6515" xr:uid="{00000000-0005-0000-0000-000070190000}"/>
    <cellStyle name="Comma 2 2 2 2 2 2 2 2 2 2 2 2 2 2 2 2 4 3 3 3" xfId="6516" xr:uid="{00000000-0005-0000-0000-000071190000}"/>
    <cellStyle name="Comma 2 2 2 2 2 2 2 2 2 2 2 2 2 2 2 2 4 3 3 4" xfId="6517" xr:uid="{00000000-0005-0000-0000-000072190000}"/>
    <cellStyle name="Comma 2 2 2 2 2 2 2 2 2 2 2 2 2 2 2 2 4 3 3 5" xfId="6518" xr:uid="{00000000-0005-0000-0000-000073190000}"/>
    <cellStyle name="Comma 2 2 2 2 2 2 2 2 2 2 2 2 2 2 2 2 4 3 3 6" xfId="6519" xr:uid="{00000000-0005-0000-0000-000074190000}"/>
    <cellStyle name="Comma 2 2 2 2 2 2 2 2 2 2 2 2 2 2 2 2 4 3 3 6 2" xfId="6520" xr:uid="{00000000-0005-0000-0000-000075190000}"/>
    <cellStyle name="Comma 2 2 2 2 2 2 2 2 2 2 2 2 2 2 2 2 4 3 3 7" xfId="6521" xr:uid="{00000000-0005-0000-0000-000076190000}"/>
    <cellStyle name="Comma 2 2 2 2 2 2 2 2 2 2 2 2 2 2 2 2 4 3 3 8" xfId="6522" xr:uid="{00000000-0005-0000-0000-000077190000}"/>
    <cellStyle name="Comma 2 2 2 2 2 2 2 2 2 2 2 2 2 2 2 2 4 3 3 9" xfId="6523" xr:uid="{00000000-0005-0000-0000-000078190000}"/>
    <cellStyle name="Comma 2 2 2 2 2 2 2 2 2 2 2 2 2 2 2 2 4 3 4" xfId="6524" xr:uid="{00000000-0005-0000-0000-000079190000}"/>
    <cellStyle name="Comma 2 2 2 2 2 2 2 2 2 2 2 2 2 2 2 2 4 3 4 10" xfId="6525" xr:uid="{00000000-0005-0000-0000-00007A190000}"/>
    <cellStyle name="Comma 2 2 2 2 2 2 2 2 2 2 2 2 2 2 2 2 4 3 4 11" xfId="6526" xr:uid="{00000000-0005-0000-0000-00007B190000}"/>
    <cellStyle name="Comma 2 2 2 2 2 2 2 2 2 2 2 2 2 2 2 2 4 3 4 12" xfId="6527" xr:uid="{00000000-0005-0000-0000-00007C190000}"/>
    <cellStyle name="Comma 2 2 2 2 2 2 2 2 2 2 2 2 2 2 2 2 4 3 4 2" xfId="6528" xr:uid="{00000000-0005-0000-0000-00007D190000}"/>
    <cellStyle name="Comma 2 2 2 2 2 2 2 2 2 2 2 2 2 2 2 2 4 3 4 3" xfId="6529" xr:uid="{00000000-0005-0000-0000-00007E190000}"/>
    <cellStyle name="Comma 2 2 2 2 2 2 2 2 2 2 2 2 2 2 2 2 4 3 4 4" xfId="6530" xr:uid="{00000000-0005-0000-0000-00007F190000}"/>
    <cellStyle name="Comma 2 2 2 2 2 2 2 2 2 2 2 2 2 2 2 2 4 3 4 5" xfId="6531" xr:uid="{00000000-0005-0000-0000-000080190000}"/>
    <cellStyle name="Comma 2 2 2 2 2 2 2 2 2 2 2 2 2 2 2 2 4 3 4 6" xfId="6532" xr:uid="{00000000-0005-0000-0000-000081190000}"/>
    <cellStyle name="Comma 2 2 2 2 2 2 2 2 2 2 2 2 2 2 2 2 4 3 4 6 2" xfId="6533" xr:uid="{00000000-0005-0000-0000-000082190000}"/>
    <cellStyle name="Comma 2 2 2 2 2 2 2 2 2 2 2 2 2 2 2 2 4 3 4 7" xfId="6534" xr:uid="{00000000-0005-0000-0000-000083190000}"/>
    <cellStyle name="Comma 2 2 2 2 2 2 2 2 2 2 2 2 2 2 2 2 4 3 4 8" xfId="6535" xr:uid="{00000000-0005-0000-0000-000084190000}"/>
    <cellStyle name="Comma 2 2 2 2 2 2 2 2 2 2 2 2 2 2 2 2 4 3 4 9" xfId="6536" xr:uid="{00000000-0005-0000-0000-000085190000}"/>
    <cellStyle name="Comma 2 2 2 2 2 2 2 2 2 2 2 2 2 2 2 2 4 3 5" xfId="6537" xr:uid="{00000000-0005-0000-0000-000086190000}"/>
    <cellStyle name="Comma 2 2 2 2 2 2 2 2 2 2 2 2 2 2 2 2 4 3 5 10" xfId="6538" xr:uid="{00000000-0005-0000-0000-000087190000}"/>
    <cellStyle name="Comma 2 2 2 2 2 2 2 2 2 2 2 2 2 2 2 2 4 3 5 11" xfId="6539" xr:uid="{00000000-0005-0000-0000-000088190000}"/>
    <cellStyle name="Comma 2 2 2 2 2 2 2 2 2 2 2 2 2 2 2 2 4 3 5 12" xfId="6540" xr:uid="{00000000-0005-0000-0000-000089190000}"/>
    <cellStyle name="Comma 2 2 2 2 2 2 2 2 2 2 2 2 2 2 2 2 4 3 5 2" xfId="6541" xr:uid="{00000000-0005-0000-0000-00008A190000}"/>
    <cellStyle name="Comma 2 2 2 2 2 2 2 2 2 2 2 2 2 2 2 2 4 3 5 3" xfId="6542" xr:uid="{00000000-0005-0000-0000-00008B190000}"/>
    <cellStyle name="Comma 2 2 2 2 2 2 2 2 2 2 2 2 2 2 2 2 4 3 5 4" xfId="6543" xr:uid="{00000000-0005-0000-0000-00008C190000}"/>
    <cellStyle name="Comma 2 2 2 2 2 2 2 2 2 2 2 2 2 2 2 2 4 3 5 5" xfId="6544" xr:uid="{00000000-0005-0000-0000-00008D190000}"/>
    <cellStyle name="Comma 2 2 2 2 2 2 2 2 2 2 2 2 2 2 2 2 4 3 5 6" xfId="6545" xr:uid="{00000000-0005-0000-0000-00008E190000}"/>
    <cellStyle name="Comma 2 2 2 2 2 2 2 2 2 2 2 2 2 2 2 2 4 3 5 6 2" xfId="6546" xr:uid="{00000000-0005-0000-0000-00008F190000}"/>
    <cellStyle name="Comma 2 2 2 2 2 2 2 2 2 2 2 2 2 2 2 2 4 3 5 7" xfId="6547" xr:uid="{00000000-0005-0000-0000-000090190000}"/>
    <cellStyle name="Comma 2 2 2 2 2 2 2 2 2 2 2 2 2 2 2 2 4 3 5 8" xfId="6548" xr:uid="{00000000-0005-0000-0000-000091190000}"/>
    <cellStyle name="Comma 2 2 2 2 2 2 2 2 2 2 2 2 2 2 2 2 4 3 5 9" xfId="6549" xr:uid="{00000000-0005-0000-0000-000092190000}"/>
    <cellStyle name="Comma 2 2 2 2 2 2 2 2 2 2 2 2 2 2 2 2 4 3 6" xfId="6550" xr:uid="{00000000-0005-0000-0000-000093190000}"/>
    <cellStyle name="Comma 2 2 2 2 2 2 2 2 2 2 2 2 2 2 2 2 4 4" xfId="6551" xr:uid="{00000000-0005-0000-0000-000094190000}"/>
    <cellStyle name="Comma 2 2 2 2 2 2 2 2 2 2 2 2 2 2 2 2 4 4 2" xfId="6552" xr:uid="{00000000-0005-0000-0000-000095190000}"/>
    <cellStyle name="Comma 2 2 2 2 2 2 2 2 2 2 2 2 2 2 2 2 4 4 2 10" xfId="6553" xr:uid="{00000000-0005-0000-0000-000096190000}"/>
    <cellStyle name="Comma 2 2 2 2 2 2 2 2 2 2 2 2 2 2 2 2 4 4 2 11" xfId="6554" xr:uid="{00000000-0005-0000-0000-000097190000}"/>
    <cellStyle name="Comma 2 2 2 2 2 2 2 2 2 2 2 2 2 2 2 2 4 4 2 12" xfId="6555" xr:uid="{00000000-0005-0000-0000-000098190000}"/>
    <cellStyle name="Comma 2 2 2 2 2 2 2 2 2 2 2 2 2 2 2 2 4 4 2 2" xfId="6556" xr:uid="{00000000-0005-0000-0000-000099190000}"/>
    <cellStyle name="Comma 2 2 2 2 2 2 2 2 2 2 2 2 2 2 2 2 4 4 2 3" xfId="6557" xr:uid="{00000000-0005-0000-0000-00009A190000}"/>
    <cellStyle name="Comma 2 2 2 2 2 2 2 2 2 2 2 2 2 2 2 2 4 4 2 4" xfId="6558" xr:uid="{00000000-0005-0000-0000-00009B190000}"/>
    <cellStyle name="Comma 2 2 2 2 2 2 2 2 2 2 2 2 2 2 2 2 4 4 2 5" xfId="6559" xr:uid="{00000000-0005-0000-0000-00009C190000}"/>
    <cellStyle name="Comma 2 2 2 2 2 2 2 2 2 2 2 2 2 2 2 2 4 4 2 6" xfId="6560" xr:uid="{00000000-0005-0000-0000-00009D190000}"/>
    <cellStyle name="Comma 2 2 2 2 2 2 2 2 2 2 2 2 2 2 2 2 4 4 2 6 2" xfId="6561" xr:uid="{00000000-0005-0000-0000-00009E190000}"/>
    <cellStyle name="Comma 2 2 2 2 2 2 2 2 2 2 2 2 2 2 2 2 4 4 2 7" xfId="6562" xr:uid="{00000000-0005-0000-0000-00009F190000}"/>
    <cellStyle name="Comma 2 2 2 2 2 2 2 2 2 2 2 2 2 2 2 2 4 4 2 8" xfId="6563" xr:uid="{00000000-0005-0000-0000-0000A0190000}"/>
    <cellStyle name="Comma 2 2 2 2 2 2 2 2 2 2 2 2 2 2 2 2 4 4 2 9" xfId="6564" xr:uid="{00000000-0005-0000-0000-0000A1190000}"/>
    <cellStyle name="Comma 2 2 2 2 2 2 2 2 2 2 2 2 2 2 2 2 4 4 3" xfId="6565" xr:uid="{00000000-0005-0000-0000-0000A2190000}"/>
    <cellStyle name="Comma 2 2 2 2 2 2 2 2 2 2 2 2 2 2 2 2 4 4 3 10" xfId="6566" xr:uid="{00000000-0005-0000-0000-0000A3190000}"/>
    <cellStyle name="Comma 2 2 2 2 2 2 2 2 2 2 2 2 2 2 2 2 4 4 3 11" xfId="6567" xr:uid="{00000000-0005-0000-0000-0000A4190000}"/>
    <cellStyle name="Comma 2 2 2 2 2 2 2 2 2 2 2 2 2 2 2 2 4 4 3 12" xfId="6568" xr:uid="{00000000-0005-0000-0000-0000A5190000}"/>
    <cellStyle name="Comma 2 2 2 2 2 2 2 2 2 2 2 2 2 2 2 2 4 4 3 2" xfId="6569" xr:uid="{00000000-0005-0000-0000-0000A6190000}"/>
    <cellStyle name="Comma 2 2 2 2 2 2 2 2 2 2 2 2 2 2 2 2 4 4 3 3" xfId="6570" xr:uid="{00000000-0005-0000-0000-0000A7190000}"/>
    <cellStyle name="Comma 2 2 2 2 2 2 2 2 2 2 2 2 2 2 2 2 4 4 3 4" xfId="6571" xr:uid="{00000000-0005-0000-0000-0000A8190000}"/>
    <cellStyle name="Comma 2 2 2 2 2 2 2 2 2 2 2 2 2 2 2 2 4 4 3 5" xfId="6572" xr:uid="{00000000-0005-0000-0000-0000A9190000}"/>
    <cellStyle name="Comma 2 2 2 2 2 2 2 2 2 2 2 2 2 2 2 2 4 4 3 6" xfId="6573" xr:uid="{00000000-0005-0000-0000-0000AA190000}"/>
    <cellStyle name="Comma 2 2 2 2 2 2 2 2 2 2 2 2 2 2 2 2 4 4 3 6 2" xfId="6574" xr:uid="{00000000-0005-0000-0000-0000AB190000}"/>
    <cellStyle name="Comma 2 2 2 2 2 2 2 2 2 2 2 2 2 2 2 2 4 4 3 7" xfId="6575" xr:uid="{00000000-0005-0000-0000-0000AC190000}"/>
    <cellStyle name="Comma 2 2 2 2 2 2 2 2 2 2 2 2 2 2 2 2 4 4 3 8" xfId="6576" xr:uid="{00000000-0005-0000-0000-0000AD190000}"/>
    <cellStyle name="Comma 2 2 2 2 2 2 2 2 2 2 2 2 2 2 2 2 4 4 3 9" xfId="6577" xr:uid="{00000000-0005-0000-0000-0000AE190000}"/>
    <cellStyle name="Comma 2 2 2 2 2 2 2 2 2 2 2 2 2 2 2 2 4 4 4" xfId="6578" xr:uid="{00000000-0005-0000-0000-0000AF190000}"/>
    <cellStyle name="Comma 2 2 2 2 2 2 2 2 2 2 2 2 2 2 2 2 4 4 4 10" xfId="6579" xr:uid="{00000000-0005-0000-0000-0000B0190000}"/>
    <cellStyle name="Comma 2 2 2 2 2 2 2 2 2 2 2 2 2 2 2 2 4 4 4 11" xfId="6580" xr:uid="{00000000-0005-0000-0000-0000B1190000}"/>
    <cellStyle name="Comma 2 2 2 2 2 2 2 2 2 2 2 2 2 2 2 2 4 4 4 12" xfId="6581" xr:uid="{00000000-0005-0000-0000-0000B2190000}"/>
    <cellStyle name="Comma 2 2 2 2 2 2 2 2 2 2 2 2 2 2 2 2 4 4 4 2" xfId="6582" xr:uid="{00000000-0005-0000-0000-0000B3190000}"/>
    <cellStyle name="Comma 2 2 2 2 2 2 2 2 2 2 2 2 2 2 2 2 4 4 4 3" xfId="6583" xr:uid="{00000000-0005-0000-0000-0000B4190000}"/>
    <cellStyle name="Comma 2 2 2 2 2 2 2 2 2 2 2 2 2 2 2 2 4 4 4 4" xfId="6584" xr:uid="{00000000-0005-0000-0000-0000B5190000}"/>
    <cellStyle name="Comma 2 2 2 2 2 2 2 2 2 2 2 2 2 2 2 2 4 4 4 5" xfId="6585" xr:uid="{00000000-0005-0000-0000-0000B6190000}"/>
    <cellStyle name="Comma 2 2 2 2 2 2 2 2 2 2 2 2 2 2 2 2 4 4 4 6" xfId="6586" xr:uid="{00000000-0005-0000-0000-0000B7190000}"/>
    <cellStyle name="Comma 2 2 2 2 2 2 2 2 2 2 2 2 2 2 2 2 4 4 4 6 2" xfId="6587" xr:uid="{00000000-0005-0000-0000-0000B8190000}"/>
    <cellStyle name="Comma 2 2 2 2 2 2 2 2 2 2 2 2 2 2 2 2 4 4 4 7" xfId="6588" xr:uid="{00000000-0005-0000-0000-0000B9190000}"/>
    <cellStyle name="Comma 2 2 2 2 2 2 2 2 2 2 2 2 2 2 2 2 4 4 4 8" xfId="6589" xr:uid="{00000000-0005-0000-0000-0000BA190000}"/>
    <cellStyle name="Comma 2 2 2 2 2 2 2 2 2 2 2 2 2 2 2 2 4 4 4 9" xfId="6590" xr:uid="{00000000-0005-0000-0000-0000BB190000}"/>
    <cellStyle name="Comma 2 2 2 2 2 2 2 2 2 2 2 2 2 2 2 2 4 5" xfId="6591" xr:uid="{00000000-0005-0000-0000-0000BC190000}"/>
    <cellStyle name="Comma 2 2 2 2 2 2 2 2 2 2 2 2 2 2 2 2 4 5 2" xfId="6592" xr:uid="{00000000-0005-0000-0000-0000BD190000}"/>
    <cellStyle name="Comma 2 2 2 2 2 2 2 2 2 2 2 2 2 2 2 2 4 5 2 10" xfId="6593" xr:uid="{00000000-0005-0000-0000-0000BE190000}"/>
    <cellStyle name="Comma 2 2 2 2 2 2 2 2 2 2 2 2 2 2 2 2 4 5 2 11" xfId="6594" xr:uid="{00000000-0005-0000-0000-0000BF190000}"/>
    <cellStyle name="Comma 2 2 2 2 2 2 2 2 2 2 2 2 2 2 2 2 4 5 2 12" xfId="6595" xr:uid="{00000000-0005-0000-0000-0000C0190000}"/>
    <cellStyle name="Comma 2 2 2 2 2 2 2 2 2 2 2 2 2 2 2 2 4 5 2 2" xfId="6596" xr:uid="{00000000-0005-0000-0000-0000C1190000}"/>
    <cellStyle name="Comma 2 2 2 2 2 2 2 2 2 2 2 2 2 2 2 2 4 5 2 3" xfId="6597" xr:uid="{00000000-0005-0000-0000-0000C2190000}"/>
    <cellStyle name="Comma 2 2 2 2 2 2 2 2 2 2 2 2 2 2 2 2 4 5 2 4" xfId="6598" xr:uid="{00000000-0005-0000-0000-0000C3190000}"/>
    <cellStyle name="Comma 2 2 2 2 2 2 2 2 2 2 2 2 2 2 2 2 4 5 2 5" xfId="6599" xr:uid="{00000000-0005-0000-0000-0000C4190000}"/>
    <cellStyle name="Comma 2 2 2 2 2 2 2 2 2 2 2 2 2 2 2 2 4 5 2 6" xfId="6600" xr:uid="{00000000-0005-0000-0000-0000C5190000}"/>
    <cellStyle name="Comma 2 2 2 2 2 2 2 2 2 2 2 2 2 2 2 2 4 5 2 6 2" xfId="6601" xr:uid="{00000000-0005-0000-0000-0000C6190000}"/>
    <cellStyle name="Comma 2 2 2 2 2 2 2 2 2 2 2 2 2 2 2 2 4 5 2 7" xfId="6602" xr:uid="{00000000-0005-0000-0000-0000C7190000}"/>
    <cellStyle name="Comma 2 2 2 2 2 2 2 2 2 2 2 2 2 2 2 2 4 5 2 8" xfId="6603" xr:uid="{00000000-0005-0000-0000-0000C8190000}"/>
    <cellStyle name="Comma 2 2 2 2 2 2 2 2 2 2 2 2 2 2 2 2 4 5 2 9" xfId="6604" xr:uid="{00000000-0005-0000-0000-0000C9190000}"/>
    <cellStyle name="Comma 2 2 2 2 2 2 2 2 2 2 2 2 2 2 2 2 4 5 3" xfId="6605" xr:uid="{00000000-0005-0000-0000-0000CA190000}"/>
    <cellStyle name="Comma 2 2 2 2 2 2 2 2 2 2 2 2 2 2 2 2 4 5 3 10" xfId="6606" xr:uid="{00000000-0005-0000-0000-0000CB190000}"/>
    <cellStyle name="Comma 2 2 2 2 2 2 2 2 2 2 2 2 2 2 2 2 4 5 3 11" xfId="6607" xr:uid="{00000000-0005-0000-0000-0000CC190000}"/>
    <cellStyle name="Comma 2 2 2 2 2 2 2 2 2 2 2 2 2 2 2 2 4 5 3 12" xfId="6608" xr:uid="{00000000-0005-0000-0000-0000CD190000}"/>
    <cellStyle name="Comma 2 2 2 2 2 2 2 2 2 2 2 2 2 2 2 2 4 5 3 2" xfId="6609" xr:uid="{00000000-0005-0000-0000-0000CE190000}"/>
    <cellStyle name="Comma 2 2 2 2 2 2 2 2 2 2 2 2 2 2 2 2 4 5 3 3" xfId="6610" xr:uid="{00000000-0005-0000-0000-0000CF190000}"/>
    <cellStyle name="Comma 2 2 2 2 2 2 2 2 2 2 2 2 2 2 2 2 4 5 3 4" xfId="6611" xr:uid="{00000000-0005-0000-0000-0000D0190000}"/>
    <cellStyle name="Comma 2 2 2 2 2 2 2 2 2 2 2 2 2 2 2 2 4 5 3 5" xfId="6612" xr:uid="{00000000-0005-0000-0000-0000D1190000}"/>
    <cellStyle name="Comma 2 2 2 2 2 2 2 2 2 2 2 2 2 2 2 2 4 5 3 6" xfId="6613" xr:uid="{00000000-0005-0000-0000-0000D2190000}"/>
    <cellStyle name="Comma 2 2 2 2 2 2 2 2 2 2 2 2 2 2 2 2 4 5 3 6 2" xfId="6614" xr:uid="{00000000-0005-0000-0000-0000D3190000}"/>
    <cellStyle name="Comma 2 2 2 2 2 2 2 2 2 2 2 2 2 2 2 2 4 5 3 7" xfId="6615" xr:uid="{00000000-0005-0000-0000-0000D4190000}"/>
    <cellStyle name="Comma 2 2 2 2 2 2 2 2 2 2 2 2 2 2 2 2 4 5 3 8" xfId="6616" xr:uid="{00000000-0005-0000-0000-0000D5190000}"/>
    <cellStyle name="Comma 2 2 2 2 2 2 2 2 2 2 2 2 2 2 2 2 4 5 3 9" xfId="6617" xr:uid="{00000000-0005-0000-0000-0000D6190000}"/>
    <cellStyle name="Comma 2 2 2 2 2 2 2 2 2 2 2 2 2 2 2 2 4 6" xfId="6618" xr:uid="{00000000-0005-0000-0000-0000D7190000}"/>
    <cellStyle name="Comma 2 2 2 2 2 2 2 2 2 2 2 2 2 2 2 2 4 6 2" xfId="6619" xr:uid="{00000000-0005-0000-0000-0000D8190000}"/>
    <cellStyle name="Comma 2 2 2 2 2 2 2 2 2 2 2 2 2 2 2 2 4 6 2 10" xfId="6620" xr:uid="{00000000-0005-0000-0000-0000D9190000}"/>
    <cellStyle name="Comma 2 2 2 2 2 2 2 2 2 2 2 2 2 2 2 2 4 6 2 11" xfId="6621" xr:uid="{00000000-0005-0000-0000-0000DA190000}"/>
    <cellStyle name="Comma 2 2 2 2 2 2 2 2 2 2 2 2 2 2 2 2 4 6 2 12" xfId="6622" xr:uid="{00000000-0005-0000-0000-0000DB190000}"/>
    <cellStyle name="Comma 2 2 2 2 2 2 2 2 2 2 2 2 2 2 2 2 4 6 2 2" xfId="6623" xr:uid="{00000000-0005-0000-0000-0000DC190000}"/>
    <cellStyle name="Comma 2 2 2 2 2 2 2 2 2 2 2 2 2 2 2 2 4 6 2 3" xfId="6624" xr:uid="{00000000-0005-0000-0000-0000DD190000}"/>
    <cellStyle name="Comma 2 2 2 2 2 2 2 2 2 2 2 2 2 2 2 2 4 6 2 4" xfId="6625" xr:uid="{00000000-0005-0000-0000-0000DE190000}"/>
    <cellStyle name="Comma 2 2 2 2 2 2 2 2 2 2 2 2 2 2 2 2 4 6 2 5" xfId="6626" xr:uid="{00000000-0005-0000-0000-0000DF190000}"/>
    <cellStyle name="Comma 2 2 2 2 2 2 2 2 2 2 2 2 2 2 2 2 4 6 2 6" xfId="6627" xr:uid="{00000000-0005-0000-0000-0000E0190000}"/>
    <cellStyle name="Comma 2 2 2 2 2 2 2 2 2 2 2 2 2 2 2 2 4 6 2 6 2" xfId="6628" xr:uid="{00000000-0005-0000-0000-0000E1190000}"/>
    <cellStyle name="Comma 2 2 2 2 2 2 2 2 2 2 2 2 2 2 2 2 4 6 2 7" xfId="6629" xr:uid="{00000000-0005-0000-0000-0000E2190000}"/>
    <cellStyle name="Comma 2 2 2 2 2 2 2 2 2 2 2 2 2 2 2 2 4 6 2 8" xfId="6630" xr:uid="{00000000-0005-0000-0000-0000E3190000}"/>
    <cellStyle name="Comma 2 2 2 2 2 2 2 2 2 2 2 2 2 2 2 2 4 6 2 9" xfId="6631" xr:uid="{00000000-0005-0000-0000-0000E4190000}"/>
    <cellStyle name="Comma 2 2 2 2 2 2 2 2 2 2 2 2 2 2 2 2 4 7" xfId="6632" xr:uid="{00000000-0005-0000-0000-0000E5190000}"/>
    <cellStyle name="Comma 2 2 2 2 2 2 2 2 2 2 2 2 2 2 2 2 4 7 10" xfId="6633" xr:uid="{00000000-0005-0000-0000-0000E6190000}"/>
    <cellStyle name="Comma 2 2 2 2 2 2 2 2 2 2 2 2 2 2 2 2 4 7 11" xfId="6634" xr:uid="{00000000-0005-0000-0000-0000E7190000}"/>
    <cellStyle name="Comma 2 2 2 2 2 2 2 2 2 2 2 2 2 2 2 2 4 7 12" xfId="6635" xr:uid="{00000000-0005-0000-0000-0000E8190000}"/>
    <cellStyle name="Comma 2 2 2 2 2 2 2 2 2 2 2 2 2 2 2 2 4 7 2" xfId="6636" xr:uid="{00000000-0005-0000-0000-0000E9190000}"/>
    <cellStyle name="Comma 2 2 2 2 2 2 2 2 2 2 2 2 2 2 2 2 4 7 3" xfId="6637" xr:uid="{00000000-0005-0000-0000-0000EA190000}"/>
    <cellStyle name="Comma 2 2 2 2 2 2 2 2 2 2 2 2 2 2 2 2 4 7 4" xfId="6638" xr:uid="{00000000-0005-0000-0000-0000EB190000}"/>
    <cellStyle name="Comma 2 2 2 2 2 2 2 2 2 2 2 2 2 2 2 2 4 7 5" xfId="6639" xr:uid="{00000000-0005-0000-0000-0000EC190000}"/>
    <cellStyle name="Comma 2 2 2 2 2 2 2 2 2 2 2 2 2 2 2 2 4 7 6" xfId="6640" xr:uid="{00000000-0005-0000-0000-0000ED190000}"/>
    <cellStyle name="Comma 2 2 2 2 2 2 2 2 2 2 2 2 2 2 2 2 4 7 6 2" xfId="6641" xr:uid="{00000000-0005-0000-0000-0000EE190000}"/>
    <cellStyle name="Comma 2 2 2 2 2 2 2 2 2 2 2 2 2 2 2 2 4 7 7" xfId="6642" xr:uid="{00000000-0005-0000-0000-0000EF190000}"/>
    <cellStyle name="Comma 2 2 2 2 2 2 2 2 2 2 2 2 2 2 2 2 4 7 8" xfId="6643" xr:uid="{00000000-0005-0000-0000-0000F0190000}"/>
    <cellStyle name="Comma 2 2 2 2 2 2 2 2 2 2 2 2 2 2 2 2 4 7 9" xfId="6644" xr:uid="{00000000-0005-0000-0000-0000F1190000}"/>
    <cellStyle name="Comma 2 2 2 2 2 2 2 2 2 2 2 2 2 2 2 2 4 8" xfId="6645" xr:uid="{00000000-0005-0000-0000-0000F2190000}"/>
    <cellStyle name="Comma 2 2 2 2 2 2 2 2 2 2 2 2 2 2 2 2 4 9" xfId="6646" xr:uid="{00000000-0005-0000-0000-0000F3190000}"/>
    <cellStyle name="Comma 2 2 2 2 2 2 2 2 2 2 2 2 2 2 2 2 5" xfId="6647" xr:uid="{00000000-0005-0000-0000-0000F4190000}"/>
    <cellStyle name="Comma 2 2 2 2 2 2 2 2 2 2 2 2 2 2 2 2 5 10" xfId="6648" xr:uid="{00000000-0005-0000-0000-0000F5190000}"/>
    <cellStyle name="Comma 2 2 2 2 2 2 2 2 2 2 2 2 2 2 2 2 5 11" xfId="6649" xr:uid="{00000000-0005-0000-0000-0000F6190000}"/>
    <cellStyle name="Comma 2 2 2 2 2 2 2 2 2 2 2 2 2 2 2 2 5 12" xfId="6650" xr:uid="{00000000-0005-0000-0000-0000F7190000}"/>
    <cellStyle name="Comma 2 2 2 2 2 2 2 2 2 2 2 2 2 2 2 2 5 13" xfId="6651" xr:uid="{00000000-0005-0000-0000-0000F8190000}"/>
    <cellStyle name="Comma 2 2 2 2 2 2 2 2 2 2 2 2 2 2 2 2 5 14" xfId="6652" xr:uid="{00000000-0005-0000-0000-0000F9190000}"/>
    <cellStyle name="Comma 2 2 2 2 2 2 2 2 2 2 2 2 2 2 2 2 5 14 2" xfId="6653" xr:uid="{00000000-0005-0000-0000-0000FA190000}"/>
    <cellStyle name="Comma 2 2 2 2 2 2 2 2 2 2 2 2 2 2 2 2 5 15" xfId="6654" xr:uid="{00000000-0005-0000-0000-0000FB190000}"/>
    <cellStyle name="Comma 2 2 2 2 2 2 2 2 2 2 2 2 2 2 2 2 5 15 2" xfId="6655" xr:uid="{00000000-0005-0000-0000-0000FC190000}"/>
    <cellStyle name="Comma 2 2 2 2 2 2 2 2 2 2 2 2 2 2 2 2 5 16" xfId="6656" xr:uid="{00000000-0005-0000-0000-0000FD190000}"/>
    <cellStyle name="Comma 2 2 2 2 2 2 2 2 2 2 2 2 2 2 2 2 5 17" xfId="6657" xr:uid="{00000000-0005-0000-0000-0000FE190000}"/>
    <cellStyle name="Comma 2 2 2 2 2 2 2 2 2 2 2 2 2 2 2 2 5 18" xfId="6658" xr:uid="{00000000-0005-0000-0000-0000FF190000}"/>
    <cellStyle name="Comma 2 2 2 2 2 2 2 2 2 2 2 2 2 2 2 2 5 19" xfId="6659" xr:uid="{00000000-0005-0000-0000-0000001A0000}"/>
    <cellStyle name="Comma 2 2 2 2 2 2 2 2 2 2 2 2 2 2 2 2 5 2" xfId="6660" xr:uid="{00000000-0005-0000-0000-0000011A0000}"/>
    <cellStyle name="Comma 2 2 2 2 2 2 2 2 2 2 2 2 2 2 2 2 5 2 2" xfId="6661" xr:uid="{00000000-0005-0000-0000-0000021A0000}"/>
    <cellStyle name="Comma 2 2 2 2 2 2 2 2 2 2 2 2 2 2 2 2 5 2 2 2" xfId="6662" xr:uid="{00000000-0005-0000-0000-0000031A0000}"/>
    <cellStyle name="Comma 2 2 2 2 2 2 2 2 2 2 2 2 2 2 2 2 5 2 2 3" xfId="6663" xr:uid="{00000000-0005-0000-0000-0000041A0000}"/>
    <cellStyle name="Comma 2 2 2 2 2 2 2 2 2 2 2 2 2 2 2 2 5 2 2 4" xfId="6664" xr:uid="{00000000-0005-0000-0000-0000051A0000}"/>
    <cellStyle name="Comma 2 2 2 2 2 2 2 2 2 2 2 2 2 2 2 2 5 2 2 5" xfId="6665" xr:uid="{00000000-0005-0000-0000-0000061A0000}"/>
    <cellStyle name="Comma 2 2 2 2 2 2 2 2 2 2 2 2 2 2 2 2 5 2 3" xfId="6666" xr:uid="{00000000-0005-0000-0000-0000071A0000}"/>
    <cellStyle name="Comma 2 2 2 2 2 2 2 2 2 2 2 2 2 2 2 2 5 2 3 2" xfId="6667" xr:uid="{00000000-0005-0000-0000-0000081A0000}"/>
    <cellStyle name="Comma 2 2 2 2 2 2 2 2 2 2 2 2 2 2 2 2 5 2 3 3" xfId="6668" xr:uid="{00000000-0005-0000-0000-0000091A0000}"/>
    <cellStyle name="Comma 2 2 2 2 2 2 2 2 2 2 2 2 2 2 2 2 5 2 3 4" xfId="6669" xr:uid="{00000000-0005-0000-0000-00000A1A0000}"/>
    <cellStyle name="Comma 2 2 2 2 2 2 2 2 2 2 2 2 2 2 2 2 5 2 4" xfId="6670" xr:uid="{00000000-0005-0000-0000-00000B1A0000}"/>
    <cellStyle name="Comma 2 2 2 2 2 2 2 2 2 2 2 2 2 2 2 2 5 2 4 2" xfId="6671" xr:uid="{00000000-0005-0000-0000-00000C1A0000}"/>
    <cellStyle name="Comma 2 2 2 2 2 2 2 2 2 2 2 2 2 2 2 2 5 2 4 3" xfId="6672" xr:uid="{00000000-0005-0000-0000-00000D1A0000}"/>
    <cellStyle name="Comma 2 2 2 2 2 2 2 2 2 2 2 2 2 2 2 2 5 20" xfId="6673" xr:uid="{00000000-0005-0000-0000-00000E1A0000}"/>
    <cellStyle name="Comma 2 2 2 2 2 2 2 2 2 2 2 2 2 2 2 2 5 3" xfId="6674" xr:uid="{00000000-0005-0000-0000-00000F1A0000}"/>
    <cellStyle name="Comma 2 2 2 2 2 2 2 2 2 2 2 2 2 2 2 2 5 3 2" xfId="6675" xr:uid="{00000000-0005-0000-0000-0000101A0000}"/>
    <cellStyle name="Comma 2 2 2 2 2 2 2 2 2 2 2 2 2 2 2 2 5 3 2 2" xfId="6676" xr:uid="{00000000-0005-0000-0000-0000111A0000}"/>
    <cellStyle name="Comma 2 2 2 2 2 2 2 2 2 2 2 2 2 2 2 2 5 3 2 3" xfId="6677" xr:uid="{00000000-0005-0000-0000-0000121A0000}"/>
    <cellStyle name="Comma 2 2 2 2 2 2 2 2 2 2 2 2 2 2 2 2 5 3 3" xfId="6678" xr:uid="{00000000-0005-0000-0000-0000131A0000}"/>
    <cellStyle name="Comma 2 2 2 2 2 2 2 2 2 2 2 2 2 2 2 2 5 3 3 2" xfId="6679" xr:uid="{00000000-0005-0000-0000-0000141A0000}"/>
    <cellStyle name="Comma 2 2 2 2 2 2 2 2 2 2 2 2 2 2 2 2 5 4" xfId="6680" xr:uid="{00000000-0005-0000-0000-0000151A0000}"/>
    <cellStyle name="Comma 2 2 2 2 2 2 2 2 2 2 2 2 2 2 2 2 5 5" xfId="6681" xr:uid="{00000000-0005-0000-0000-0000161A0000}"/>
    <cellStyle name="Comma 2 2 2 2 2 2 2 2 2 2 2 2 2 2 2 2 5 6" xfId="6682" xr:uid="{00000000-0005-0000-0000-0000171A0000}"/>
    <cellStyle name="Comma 2 2 2 2 2 2 2 2 2 2 2 2 2 2 2 2 5 6 2" xfId="6683" xr:uid="{00000000-0005-0000-0000-0000181A0000}"/>
    <cellStyle name="Comma 2 2 2 2 2 2 2 2 2 2 2 2 2 2 2 2 5 6 3" xfId="6684" xr:uid="{00000000-0005-0000-0000-0000191A0000}"/>
    <cellStyle name="Comma 2 2 2 2 2 2 2 2 2 2 2 2 2 2 2 2 5 7" xfId="6685" xr:uid="{00000000-0005-0000-0000-00001A1A0000}"/>
    <cellStyle name="Comma 2 2 2 2 2 2 2 2 2 2 2 2 2 2 2 2 5 8" xfId="6686" xr:uid="{00000000-0005-0000-0000-00001B1A0000}"/>
    <cellStyle name="Comma 2 2 2 2 2 2 2 2 2 2 2 2 2 2 2 2 5 9" xfId="6687" xr:uid="{00000000-0005-0000-0000-00001C1A0000}"/>
    <cellStyle name="Comma 2 2 2 2 2 2 2 2 2 2 2 2 2 2 2 2 6" xfId="6688" xr:uid="{00000000-0005-0000-0000-00001D1A0000}"/>
    <cellStyle name="Comma 2 2 2 2 2 2 2 2 2 2 2 2 2 2 2 2 6 10" xfId="6689" xr:uid="{00000000-0005-0000-0000-00001E1A0000}"/>
    <cellStyle name="Comma 2 2 2 2 2 2 2 2 2 2 2 2 2 2 2 2 6 11" xfId="6690" xr:uid="{00000000-0005-0000-0000-00001F1A0000}"/>
    <cellStyle name="Comma 2 2 2 2 2 2 2 2 2 2 2 2 2 2 2 2 6 12" xfId="6691" xr:uid="{00000000-0005-0000-0000-0000201A0000}"/>
    <cellStyle name="Comma 2 2 2 2 2 2 2 2 2 2 2 2 2 2 2 2 6 12 2" xfId="6692" xr:uid="{00000000-0005-0000-0000-0000211A0000}"/>
    <cellStyle name="Comma 2 2 2 2 2 2 2 2 2 2 2 2 2 2 2 2 6 13" xfId="6693" xr:uid="{00000000-0005-0000-0000-0000221A0000}"/>
    <cellStyle name="Comma 2 2 2 2 2 2 2 2 2 2 2 2 2 2 2 2 6 14" xfId="6694" xr:uid="{00000000-0005-0000-0000-0000231A0000}"/>
    <cellStyle name="Comma 2 2 2 2 2 2 2 2 2 2 2 2 2 2 2 2 6 15" xfId="6695" xr:uid="{00000000-0005-0000-0000-0000241A0000}"/>
    <cellStyle name="Comma 2 2 2 2 2 2 2 2 2 2 2 2 2 2 2 2 6 16" xfId="6696" xr:uid="{00000000-0005-0000-0000-0000251A0000}"/>
    <cellStyle name="Comma 2 2 2 2 2 2 2 2 2 2 2 2 2 2 2 2 6 17" xfId="6697" xr:uid="{00000000-0005-0000-0000-0000261A0000}"/>
    <cellStyle name="Comma 2 2 2 2 2 2 2 2 2 2 2 2 2 2 2 2 6 18" xfId="6698" xr:uid="{00000000-0005-0000-0000-0000271A0000}"/>
    <cellStyle name="Comma 2 2 2 2 2 2 2 2 2 2 2 2 2 2 2 2 6 2" xfId="6699" xr:uid="{00000000-0005-0000-0000-0000281A0000}"/>
    <cellStyle name="Comma 2 2 2 2 2 2 2 2 2 2 2 2 2 2 2 2 6 2 2" xfId="6700" xr:uid="{00000000-0005-0000-0000-0000291A0000}"/>
    <cellStyle name="Comma 2 2 2 2 2 2 2 2 2 2 2 2 2 2 2 2 6 2 2 2" xfId="6701" xr:uid="{00000000-0005-0000-0000-00002A1A0000}"/>
    <cellStyle name="Comma 2 2 2 2 2 2 2 2 2 2 2 2 2 2 2 2 6 2 2 3" xfId="6702" xr:uid="{00000000-0005-0000-0000-00002B1A0000}"/>
    <cellStyle name="Comma 2 2 2 2 2 2 2 2 2 2 2 2 2 2 2 2 6 2 3" xfId="6703" xr:uid="{00000000-0005-0000-0000-00002C1A0000}"/>
    <cellStyle name="Comma 2 2 2 2 2 2 2 2 2 2 2 2 2 2 2 2 6 2 3 2" xfId="6704" xr:uid="{00000000-0005-0000-0000-00002D1A0000}"/>
    <cellStyle name="Comma 2 2 2 2 2 2 2 2 2 2 2 2 2 2 2 2 6 3" xfId="6705" xr:uid="{00000000-0005-0000-0000-00002E1A0000}"/>
    <cellStyle name="Comma 2 2 2 2 2 2 2 2 2 2 2 2 2 2 2 2 6 4" xfId="6706" xr:uid="{00000000-0005-0000-0000-00002F1A0000}"/>
    <cellStyle name="Comma 2 2 2 2 2 2 2 2 2 2 2 2 2 2 2 2 6 5" xfId="6707" xr:uid="{00000000-0005-0000-0000-0000301A0000}"/>
    <cellStyle name="Comma 2 2 2 2 2 2 2 2 2 2 2 2 2 2 2 2 6 5 2" xfId="6708" xr:uid="{00000000-0005-0000-0000-0000311A0000}"/>
    <cellStyle name="Comma 2 2 2 2 2 2 2 2 2 2 2 2 2 2 2 2 6 5 3" xfId="6709" xr:uid="{00000000-0005-0000-0000-0000321A0000}"/>
    <cellStyle name="Comma 2 2 2 2 2 2 2 2 2 2 2 2 2 2 2 2 6 6" xfId="6710" xr:uid="{00000000-0005-0000-0000-0000331A0000}"/>
    <cellStyle name="Comma 2 2 2 2 2 2 2 2 2 2 2 2 2 2 2 2 6 7" xfId="6711" xr:uid="{00000000-0005-0000-0000-0000341A0000}"/>
    <cellStyle name="Comma 2 2 2 2 2 2 2 2 2 2 2 2 2 2 2 2 6 8" xfId="6712" xr:uid="{00000000-0005-0000-0000-0000351A0000}"/>
    <cellStyle name="Comma 2 2 2 2 2 2 2 2 2 2 2 2 2 2 2 2 6 9" xfId="6713" xr:uid="{00000000-0005-0000-0000-0000361A0000}"/>
    <cellStyle name="Comma 2 2 2 2 2 2 2 2 2 2 2 2 2 2 2 2 7" xfId="6714" xr:uid="{00000000-0005-0000-0000-0000371A0000}"/>
    <cellStyle name="Comma 2 2 2 2 2 2 2 2 2 2 2 2 2 2 2 2 7 10" xfId="6715" xr:uid="{00000000-0005-0000-0000-0000381A0000}"/>
    <cellStyle name="Comma 2 2 2 2 2 2 2 2 2 2 2 2 2 2 2 2 7 10 2" xfId="6716" xr:uid="{00000000-0005-0000-0000-0000391A0000}"/>
    <cellStyle name="Comma 2 2 2 2 2 2 2 2 2 2 2 2 2 2 2 2 7 11" xfId="6717" xr:uid="{00000000-0005-0000-0000-00003A1A0000}"/>
    <cellStyle name="Comma 2 2 2 2 2 2 2 2 2 2 2 2 2 2 2 2 7 12" xfId="6718" xr:uid="{00000000-0005-0000-0000-00003B1A0000}"/>
    <cellStyle name="Comma 2 2 2 2 2 2 2 2 2 2 2 2 2 2 2 2 7 13" xfId="6719" xr:uid="{00000000-0005-0000-0000-00003C1A0000}"/>
    <cellStyle name="Comma 2 2 2 2 2 2 2 2 2 2 2 2 2 2 2 2 7 14" xfId="6720" xr:uid="{00000000-0005-0000-0000-00003D1A0000}"/>
    <cellStyle name="Comma 2 2 2 2 2 2 2 2 2 2 2 2 2 2 2 2 7 15" xfId="6721" xr:uid="{00000000-0005-0000-0000-00003E1A0000}"/>
    <cellStyle name="Comma 2 2 2 2 2 2 2 2 2 2 2 2 2 2 2 2 7 16" xfId="6722" xr:uid="{00000000-0005-0000-0000-00003F1A0000}"/>
    <cellStyle name="Comma 2 2 2 2 2 2 2 2 2 2 2 2 2 2 2 2 7 2" xfId="6723" xr:uid="{00000000-0005-0000-0000-0000401A0000}"/>
    <cellStyle name="Comma 2 2 2 2 2 2 2 2 2 2 2 2 2 2 2 2 7 2 2" xfId="6724" xr:uid="{00000000-0005-0000-0000-0000411A0000}"/>
    <cellStyle name="Comma 2 2 2 2 2 2 2 2 2 2 2 2 2 2 2 2 7 2 2 2" xfId="6725" xr:uid="{00000000-0005-0000-0000-0000421A0000}"/>
    <cellStyle name="Comma 2 2 2 2 2 2 2 2 2 2 2 2 2 2 2 2 7 2 2 3" xfId="6726" xr:uid="{00000000-0005-0000-0000-0000431A0000}"/>
    <cellStyle name="Comma 2 2 2 2 2 2 2 2 2 2 2 2 2 2 2 2 7 2 3" xfId="6727" xr:uid="{00000000-0005-0000-0000-0000441A0000}"/>
    <cellStyle name="Comma 2 2 2 2 2 2 2 2 2 2 2 2 2 2 2 2 7 2 3 2" xfId="6728" xr:uid="{00000000-0005-0000-0000-0000451A0000}"/>
    <cellStyle name="Comma 2 2 2 2 2 2 2 2 2 2 2 2 2 2 2 2 7 3" xfId="6729" xr:uid="{00000000-0005-0000-0000-0000461A0000}"/>
    <cellStyle name="Comma 2 2 2 2 2 2 2 2 2 2 2 2 2 2 2 2 7 4" xfId="6730" xr:uid="{00000000-0005-0000-0000-0000471A0000}"/>
    <cellStyle name="Comma 2 2 2 2 2 2 2 2 2 2 2 2 2 2 2 2 7 4 2" xfId="6731" xr:uid="{00000000-0005-0000-0000-0000481A0000}"/>
    <cellStyle name="Comma 2 2 2 2 2 2 2 2 2 2 2 2 2 2 2 2 7 4 3" xfId="6732" xr:uid="{00000000-0005-0000-0000-0000491A0000}"/>
    <cellStyle name="Comma 2 2 2 2 2 2 2 2 2 2 2 2 2 2 2 2 7 5" xfId="6733" xr:uid="{00000000-0005-0000-0000-00004A1A0000}"/>
    <cellStyle name="Comma 2 2 2 2 2 2 2 2 2 2 2 2 2 2 2 2 7 6" xfId="6734" xr:uid="{00000000-0005-0000-0000-00004B1A0000}"/>
    <cellStyle name="Comma 2 2 2 2 2 2 2 2 2 2 2 2 2 2 2 2 7 7" xfId="6735" xr:uid="{00000000-0005-0000-0000-00004C1A0000}"/>
    <cellStyle name="Comma 2 2 2 2 2 2 2 2 2 2 2 2 2 2 2 2 7 8" xfId="6736" xr:uid="{00000000-0005-0000-0000-00004D1A0000}"/>
    <cellStyle name="Comma 2 2 2 2 2 2 2 2 2 2 2 2 2 2 2 2 7 9" xfId="6737" xr:uid="{00000000-0005-0000-0000-00004E1A0000}"/>
    <cellStyle name="Comma 2 2 2 2 2 2 2 2 2 2 2 2 2 2 2 2 8" xfId="6738" xr:uid="{00000000-0005-0000-0000-00004F1A0000}"/>
    <cellStyle name="Comma 2 2 2 2 2 2 2 2 2 2 2 2 2 2 2 2 8 10" xfId="6739" xr:uid="{00000000-0005-0000-0000-0000501A0000}"/>
    <cellStyle name="Comma 2 2 2 2 2 2 2 2 2 2 2 2 2 2 2 2 8 11" xfId="6740" xr:uid="{00000000-0005-0000-0000-0000511A0000}"/>
    <cellStyle name="Comma 2 2 2 2 2 2 2 2 2 2 2 2 2 2 2 2 8 12" xfId="6741" xr:uid="{00000000-0005-0000-0000-0000521A0000}"/>
    <cellStyle name="Comma 2 2 2 2 2 2 2 2 2 2 2 2 2 2 2 2 8 13" xfId="6742" xr:uid="{00000000-0005-0000-0000-0000531A0000}"/>
    <cellStyle name="Comma 2 2 2 2 2 2 2 2 2 2 2 2 2 2 2 2 8 14" xfId="6743" xr:uid="{00000000-0005-0000-0000-0000541A0000}"/>
    <cellStyle name="Comma 2 2 2 2 2 2 2 2 2 2 2 2 2 2 2 2 8 2" xfId="6744" xr:uid="{00000000-0005-0000-0000-0000551A0000}"/>
    <cellStyle name="Comma 2 2 2 2 2 2 2 2 2 2 2 2 2 2 2 2 8 2 2" xfId="6745" xr:uid="{00000000-0005-0000-0000-0000561A0000}"/>
    <cellStyle name="Comma 2 2 2 2 2 2 2 2 2 2 2 2 2 2 2 2 8 2 2 2" xfId="6746" xr:uid="{00000000-0005-0000-0000-0000571A0000}"/>
    <cellStyle name="Comma 2 2 2 2 2 2 2 2 2 2 2 2 2 2 2 2 8 2 2 3" xfId="6747" xr:uid="{00000000-0005-0000-0000-0000581A0000}"/>
    <cellStyle name="Comma 2 2 2 2 2 2 2 2 2 2 2 2 2 2 2 2 8 2 3" xfId="6748" xr:uid="{00000000-0005-0000-0000-0000591A0000}"/>
    <cellStyle name="Comma 2 2 2 2 2 2 2 2 2 2 2 2 2 2 2 2 8 2 3 2" xfId="6749" xr:uid="{00000000-0005-0000-0000-00005A1A0000}"/>
    <cellStyle name="Comma 2 2 2 2 2 2 2 2 2 2 2 2 2 2 2 2 8 3" xfId="6750" xr:uid="{00000000-0005-0000-0000-00005B1A0000}"/>
    <cellStyle name="Comma 2 2 2 2 2 2 2 2 2 2 2 2 2 2 2 2 8 3 2" xfId="6751" xr:uid="{00000000-0005-0000-0000-00005C1A0000}"/>
    <cellStyle name="Comma 2 2 2 2 2 2 2 2 2 2 2 2 2 2 2 2 8 3 3" xfId="6752" xr:uid="{00000000-0005-0000-0000-00005D1A0000}"/>
    <cellStyle name="Comma 2 2 2 2 2 2 2 2 2 2 2 2 2 2 2 2 8 4" xfId="6753" xr:uid="{00000000-0005-0000-0000-00005E1A0000}"/>
    <cellStyle name="Comma 2 2 2 2 2 2 2 2 2 2 2 2 2 2 2 2 8 5" xfId="6754" xr:uid="{00000000-0005-0000-0000-00005F1A0000}"/>
    <cellStyle name="Comma 2 2 2 2 2 2 2 2 2 2 2 2 2 2 2 2 8 6" xfId="6755" xr:uid="{00000000-0005-0000-0000-0000601A0000}"/>
    <cellStyle name="Comma 2 2 2 2 2 2 2 2 2 2 2 2 2 2 2 2 8 7" xfId="6756" xr:uid="{00000000-0005-0000-0000-0000611A0000}"/>
    <cellStyle name="Comma 2 2 2 2 2 2 2 2 2 2 2 2 2 2 2 2 8 8" xfId="6757" xr:uid="{00000000-0005-0000-0000-0000621A0000}"/>
    <cellStyle name="Comma 2 2 2 2 2 2 2 2 2 2 2 2 2 2 2 2 8 8 2" xfId="6758" xr:uid="{00000000-0005-0000-0000-0000631A0000}"/>
    <cellStyle name="Comma 2 2 2 2 2 2 2 2 2 2 2 2 2 2 2 2 8 9" xfId="6759" xr:uid="{00000000-0005-0000-0000-0000641A0000}"/>
    <cellStyle name="Comma 2 2 2 2 2 2 2 2 2 2 2 2 2 2 2 2 9" xfId="6760" xr:uid="{00000000-0005-0000-0000-0000651A0000}"/>
    <cellStyle name="Comma 2 2 2 2 2 2 2 2 2 2 2 2 2 2 2 2 9 10" xfId="6761" xr:uid="{00000000-0005-0000-0000-0000661A0000}"/>
    <cellStyle name="Comma 2 2 2 2 2 2 2 2 2 2 2 2 2 2 2 2 9 11" xfId="6762" xr:uid="{00000000-0005-0000-0000-0000671A0000}"/>
    <cellStyle name="Comma 2 2 2 2 2 2 2 2 2 2 2 2 2 2 2 2 9 12" xfId="6763" xr:uid="{00000000-0005-0000-0000-0000681A0000}"/>
    <cellStyle name="Comma 2 2 2 2 2 2 2 2 2 2 2 2 2 2 2 2 9 13" xfId="6764" xr:uid="{00000000-0005-0000-0000-0000691A0000}"/>
    <cellStyle name="Comma 2 2 2 2 2 2 2 2 2 2 2 2 2 2 2 2 9 2" xfId="6765" xr:uid="{00000000-0005-0000-0000-00006A1A0000}"/>
    <cellStyle name="Comma 2 2 2 2 2 2 2 2 2 2 2 2 2 2 2 2 9 3" xfId="6766" xr:uid="{00000000-0005-0000-0000-00006B1A0000}"/>
    <cellStyle name="Comma 2 2 2 2 2 2 2 2 2 2 2 2 2 2 2 2 9 4" xfId="6767" xr:uid="{00000000-0005-0000-0000-00006C1A0000}"/>
    <cellStyle name="Comma 2 2 2 2 2 2 2 2 2 2 2 2 2 2 2 2 9 5" xfId="6768" xr:uid="{00000000-0005-0000-0000-00006D1A0000}"/>
    <cellStyle name="Comma 2 2 2 2 2 2 2 2 2 2 2 2 2 2 2 2 9 6" xfId="6769" xr:uid="{00000000-0005-0000-0000-00006E1A0000}"/>
    <cellStyle name="Comma 2 2 2 2 2 2 2 2 2 2 2 2 2 2 2 2 9 7" xfId="6770" xr:uid="{00000000-0005-0000-0000-00006F1A0000}"/>
    <cellStyle name="Comma 2 2 2 2 2 2 2 2 2 2 2 2 2 2 2 2 9 7 2" xfId="6771" xr:uid="{00000000-0005-0000-0000-0000701A0000}"/>
    <cellStyle name="Comma 2 2 2 2 2 2 2 2 2 2 2 2 2 2 2 2 9 8" xfId="6772" xr:uid="{00000000-0005-0000-0000-0000711A0000}"/>
    <cellStyle name="Comma 2 2 2 2 2 2 2 2 2 2 2 2 2 2 2 2 9 9" xfId="6773" xr:uid="{00000000-0005-0000-0000-0000721A0000}"/>
    <cellStyle name="Comma 2 2 2 2 2 2 2 2 2 2 2 2 2 2 2 20" xfId="6774" xr:uid="{00000000-0005-0000-0000-0000731A0000}"/>
    <cellStyle name="Comma 2 2 2 2 2 2 2 2 2 2 2 2 2 2 2 21" xfId="6775" xr:uid="{00000000-0005-0000-0000-0000741A0000}"/>
    <cellStyle name="Comma 2 2 2 2 2 2 2 2 2 2 2 2 2 2 2 22" xfId="6776" xr:uid="{00000000-0005-0000-0000-0000751A0000}"/>
    <cellStyle name="Comma 2 2 2 2 2 2 2 2 2 2 2 2 2 2 2 23" xfId="6777" xr:uid="{00000000-0005-0000-0000-0000761A0000}"/>
    <cellStyle name="Comma 2 2 2 2 2 2 2 2 2 2 2 2 2 2 2 23 2" xfId="6778" xr:uid="{00000000-0005-0000-0000-0000771A0000}"/>
    <cellStyle name="Comma 2 2 2 2 2 2 2 2 2 2 2 2 2 2 2 23 3" xfId="6779" xr:uid="{00000000-0005-0000-0000-0000781A0000}"/>
    <cellStyle name="Comma 2 2 2 2 2 2 2 2 2 2 2 2 2 2 2 24" xfId="6780" xr:uid="{00000000-0005-0000-0000-0000791A0000}"/>
    <cellStyle name="Comma 2 2 2 2 2 2 2 2 2 2 2 2 2 2 2 25" xfId="6781" xr:uid="{00000000-0005-0000-0000-00007A1A0000}"/>
    <cellStyle name="Comma 2 2 2 2 2 2 2 2 2 2 2 2 2 2 2 26" xfId="6782" xr:uid="{00000000-0005-0000-0000-00007B1A0000}"/>
    <cellStyle name="Comma 2 2 2 2 2 2 2 2 2 2 2 2 2 2 2 26 2" xfId="6783" xr:uid="{00000000-0005-0000-0000-00007C1A0000}"/>
    <cellStyle name="Comma 2 2 2 2 2 2 2 2 2 2 2 2 2 2 2 27" xfId="6784" xr:uid="{00000000-0005-0000-0000-00007D1A0000}"/>
    <cellStyle name="Comma 2 2 2 2 2 2 2 2 2 2 2 2 2 2 2 28" xfId="6785" xr:uid="{00000000-0005-0000-0000-00007E1A0000}"/>
    <cellStyle name="Comma 2 2 2 2 2 2 2 2 2 2 2 2 2 2 2 29" xfId="6786" xr:uid="{00000000-0005-0000-0000-00007F1A0000}"/>
    <cellStyle name="Comma 2 2 2 2 2 2 2 2 2 2 2 2 2 2 2 3" xfId="6787" xr:uid="{00000000-0005-0000-0000-0000801A0000}"/>
    <cellStyle name="Comma 2 2 2 2 2 2 2 2 2 2 2 2 2 2 2 30" xfId="6788" xr:uid="{00000000-0005-0000-0000-0000811A0000}"/>
    <cellStyle name="Comma 2 2 2 2 2 2 2 2 2 2 2 2 2 2 2 31" xfId="6789" xr:uid="{00000000-0005-0000-0000-0000821A0000}"/>
    <cellStyle name="Comma 2 2 2 2 2 2 2 2 2 2 2 2 2 2 2 32" xfId="6790" xr:uid="{00000000-0005-0000-0000-0000831A0000}"/>
    <cellStyle name="Comma 2 2 2 2 2 2 2 2 2 2 2 2 2 2 2 33" xfId="6791" xr:uid="{00000000-0005-0000-0000-0000841A0000}"/>
    <cellStyle name="Comma 2 2 2 2 2 2 2 2 2 2 2 2 2 2 2 34" xfId="6792" xr:uid="{00000000-0005-0000-0000-0000851A0000}"/>
    <cellStyle name="Comma 2 2 2 2 2 2 2 2 2 2 2 2 2 2 2 4" xfId="6793" xr:uid="{00000000-0005-0000-0000-0000861A0000}"/>
    <cellStyle name="Comma 2 2 2 2 2 2 2 2 2 2 2 2 2 2 2 5" xfId="6794" xr:uid="{00000000-0005-0000-0000-0000871A0000}"/>
    <cellStyle name="Comma 2 2 2 2 2 2 2 2 2 2 2 2 2 2 2 5 10" xfId="6795" xr:uid="{00000000-0005-0000-0000-0000881A0000}"/>
    <cellStyle name="Comma 2 2 2 2 2 2 2 2 2 2 2 2 2 2 2 5 10 2" xfId="6796" xr:uid="{00000000-0005-0000-0000-0000891A0000}"/>
    <cellStyle name="Comma 2 2 2 2 2 2 2 2 2 2 2 2 2 2 2 5 10 3" xfId="6797" xr:uid="{00000000-0005-0000-0000-00008A1A0000}"/>
    <cellStyle name="Comma 2 2 2 2 2 2 2 2 2 2 2 2 2 2 2 5 10 4" xfId="6798" xr:uid="{00000000-0005-0000-0000-00008B1A0000}"/>
    <cellStyle name="Comma 2 2 2 2 2 2 2 2 2 2 2 2 2 2 2 5 10 5" xfId="6799" xr:uid="{00000000-0005-0000-0000-00008C1A0000}"/>
    <cellStyle name="Comma 2 2 2 2 2 2 2 2 2 2 2 2 2 2 2 5 10 6" xfId="6800" xr:uid="{00000000-0005-0000-0000-00008D1A0000}"/>
    <cellStyle name="Comma 2 2 2 2 2 2 2 2 2 2 2 2 2 2 2 5 10 7" xfId="6801" xr:uid="{00000000-0005-0000-0000-00008E1A0000}"/>
    <cellStyle name="Comma 2 2 2 2 2 2 2 2 2 2 2 2 2 2 2 5 10 8" xfId="6802" xr:uid="{00000000-0005-0000-0000-00008F1A0000}"/>
    <cellStyle name="Comma 2 2 2 2 2 2 2 2 2 2 2 2 2 2 2 5 11" xfId="6803" xr:uid="{00000000-0005-0000-0000-0000901A0000}"/>
    <cellStyle name="Comma 2 2 2 2 2 2 2 2 2 2 2 2 2 2 2 5 11 2" xfId="6804" xr:uid="{00000000-0005-0000-0000-0000911A0000}"/>
    <cellStyle name="Comma 2 2 2 2 2 2 2 2 2 2 2 2 2 2 2 5 11 3" xfId="6805" xr:uid="{00000000-0005-0000-0000-0000921A0000}"/>
    <cellStyle name="Comma 2 2 2 2 2 2 2 2 2 2 2 2 2 2 2 5 11 4" xfId="6806" xr:uid="{00000000-0005-0000-0000-0000931A0000}"/>
    <cellStyle name="Comma 2 2 2 2 2 2 2 2 2 2 2 2 2 2 2 5 11 5" xfId="6807" xr:uid="{00000000-0005-0000-0000-0000941A0000}"/>
    <cellStyle name="Comma 2 2 2 2 2 2 2 2 2 2 2 2 2 2 2 5 11 6" xfId="6808" xr:uid="{00000000-0005-0000-0000-0000951A0000}"/>
    <cellStyle name="Comma 2 2 2 2 2 2 2 2 2 2 2 2 2 2 2 5 11 7" xfId="6809" xr:uid="{00000000-0005-0000-0000-0000961A0000}"/>
    <cellStyle name="Comma 2 2 2 2 2 2 2 2 2 2 2 2 2 2 2 5 11 8" xfId="6810" xr:uid="{00000000-0005-0000-0000-0000971A0000}"/>
    <cellStyle name="Comma 2 2 2 2 2 2 2 2 2 2 2 2 2 2 2 5 12" xfId="6811" xr:uid="{00000000-0005-0000-0000-0000981A0000}"/>
    <cellStyle name="Comma 2 2 2 2 2 2 2 2 2 2 2 2 2 2 2 5 12 2" xfId="6812" xr:uid="{00000000-0005-0000-0000-0000991A0000}"/>
    <cellStyle name="Comma 2 2 2 2 2 2 2 2 2 2 2 2 2 2 2 5 12 3" xfId="6813" xr:uid="{00000000-0005-0000-0000-00009A1A0000}"/>
    <cellStyle name="Comma 2 2 2 2 2 2 2 2 2 2 2 2 2 2 2 5 12 4" xfId="6814" xr:uid="{00000000-0005-0000-0000-00009B1A0000}"/>
    <cellStyle name="Comma 2 2 2 2 2 2 2 2 2 2 2 2 2 2 2 5 12 5" xfId="6815" xr:uid="{00000000-0005-0000-0000-00009C1A0000}"/>
    <cellStyle name="Comma 2 2 2 2 2 2 2 2 2 2 2 2 2 2 2 5 12 6" xfId="6816" xr:uid="{00000000-0005-0000-0000-00009D1A0000}"/>
    <cellStyle name="Comma 2 2 2 2 2 2 2 2 2 2 2 2 2 2 2 5 12 7" xfId="6817" xr:uid="{00000000-0005-0000-0000-00009E1A0000}"/>
    <cellStyle name="Comma 2 2 2 2 2 2 2 2 2 2 2 2 2 2 2 5 12 8" xfId="6818" xr:uid="{00000000-0005-0000-0000-00009F1A0000}"/>
    <cellStyle name="Comma 2 2 2 2 2 2 2 2 2 2 2 2 2 2 2 5 13" xfId="6819" xr:uid="{00000000-0005-0000-0000-0000A01A0000}"/>
    <cellStyle name="Comma 2 2 2 2 2 2 2 2 2 2 2 2 2 2 2 5 13 2" xfId="6820" xr:uid="{00000000-0005-0000-0000-0000A11A0000}"/>
    <cellStyle name="Comma 2 2 2 2 2 2 2 2 2 2 2 2 2 2 2 5 13 3" xfId="6821" xr:uid="{00000000-0005-0000-0000-0000A21A0000}"/>
    <cellStyle name="Comma 2 2 2 2 2 2 2 2 2 2 2 2 2 2 2 5 13 4" xfId="6822" xr:uid="{00000000-0005-0000-0000-0000A31A0000}"/>
    <cellStyle name="Comma 2 2 2 2 2 2 2 2 2 2 2 2 2 2 2 5 13 5" xfId="6823" xr:uid="{00000000-0005-0000-0000-0000A41A0000}"/>
    <cellStyle name="Comma 2 2 2 2 2 2 2 2 2 2 2 2 2 2 2 5 13 6" xfId="6824" xr:uid="{00000000-0005-0000-0000-0000A51A0000}"/>
    <cellStyle name="Comma 2 2 2 2 2 2 2 2 2 2 2 2 2 2 2 5 13 7" xfId="6825" xr:uid="{00000000-0005-0000-0000-0000A61A0000}"/>
    <cellStyle name="Comma 2 2 2 2 2 2 2 2 2 2 2 2 2 2 2 5 13 8" xfId="6826" xr:uid="{00000000-0005-0000-0000-0000A71A0000}"/>
    <cellStyle name="Comma 2 2 2 2 2 2 2 2 2 2 2 2 2 2 2 5 14" xfId="6827" xr:uid="{00000000-0005-0000-0000-0000A81A0000}"/>
    <cellStyle name="Comma 2 2 2 2 2 2 2 2 2 2 2 2 2 2 2 5 14 2" xfId="6828" xr:uid="{00000000-0005-0000-0000-0000A91A0000}"/>
    <cellStyle name="Comma 2 2 2 2 2 2 2 2 2 2 2 2 2 2 2 5 2" xfId="6829" xr:uid="{00000000-0005-0000-0000-0000AA1A0000}"/>
    <cellStyle name="Comma 2 2 2 2 2 2 2 2 2 2 2 2 2 2 2 5 2 10" xfId="6830" xr:uid="{00000000-0005-0000-0000-0000AB1A0000}"/>
    <cellStyle name="Comma 2 2 2 2 2 2 2 2 2 2 2 2 2 2 2 5 2 11" xfId="6831" xr:uid="{00000000-0005-0000-0000-0000AC1A0000}"/>
    <cellStyle name="Comma 2 2 2 2 2 2 2 2 2 2 2 2 2 2 2 5 2 12" xfId="6832" xr:uid="{00000000-0005-0000-0000-0000AD1A0000}"/>
    <cellStyle name="Comma 2 2 2 2 2 2 2 2 2 2 2 2 2 2 2 5 2 12 2" xfId="6833" xr:uid="{00000000-0005-0000-0000-0000AE1A0000}"/>
    <cellStyle name="Comma 2 2 2 2 2 2 2 2 2 2 2 2 2 2 2 5 2 13" xfId="6834" xr:uid="{00000000-0005-0000-0000-0000AF1A0000}"/>
    <cellStyle name="Comma 2 2 2 2 2 2 2 2 2 2 2 2 2 2 2 5 2 14" xfId="6835" xr:uid="{00000000-0005-0000-0000-0000B01A0000}"/>
    <cellStyle name="Comma 2 2 2 2 2 2 2 2 2 2 2 2 2 2 2 5 2 15" xfId="6836" xr:uid="{00000000-0005-0000-0000-0000B11A0000}"/>
    <cellStyle name="Comma 2 2 2 2 2 2 2 2 2 2 2 2 2 2 2 5 2 16" xfId="6837" xr:uid="{00000000-0005-0000-0000-0000B21A0000}"/>
    <cellStyle name="Comma 2 2 2 2 2 2 2 2 2 2 2 2 2 2 2 5 2 17" xfId="6838" xr:uid="{00000000-0005-0000-0000-0000B31A0000}"/>
    <cellStyle name="Comma 2 2 2 2 2 2 2 2 2 2 2 2 2 2 2 5 2 18" xfId="6839" xr:uid="{00000000-0005-0000-0000-0000B41A0000}"/>
    <cellStyle name="Comma 2 2 2 2 2 2 2 2 2 2 2 2 2 2 2 5 2 2" xfId="6840" xr:uid="{00000000-0005-0000-0000-0000B51A0000}"/>
    <cellStyle name="Comma 2 2 2 2 2 2 2 2 2 2 2 2 2 2 2 5 2 2 2" xfId="6841" xr:uid="{00000000-0005-0000-0000-0000B61A0000}"/>
    <cellStyle name="Comma 2 2 2 2 2 2 2 2 2 2 2 2 2 2 2 5 2 2 3" xfId="6842" xr:uid="{00000000-0005-0000-0000-0000B71A0000}"/>
    <cellStyle name="Comma 2 2 2 2 2 2 2 2 2 2 2 2 2 2 2 5 2 2 4" xfId="6843" xr:uid="{00000000-0005-0000-0000-0000B81A0000}"/>
    <cellStyle name="Comma 2 2 2 2 2 2 2 2 2 2 2 2 2 2 2 5 2 3" xfId="6844" xr:uid="{00000000-0005-0000-0000-0000B91A0000}"/>
    <cellStyle name="Comma 2 2 2 2 2 2 2 2 2 2 2 2 2 2 2 5 2 4" xfId="6845" xr:uid="{00000000-0005-0000-0000-0000BA1A0000}"/>
    <cellStyle name="Comma 2 2 2 2 2 2 2 2 2 2 2 2 2 2 2 5 2 5" xfId="6846" xr:uid="{00000000-0005-0000-0000-0000BB1A0000}"/>
    <cellStyle name="Comma 2 2 2 2 2 2 2 2 2 2 2 2 2 2 2 5 2 6" xfId="6847" xr:uid="{00000000-0005-0000-0000-0000BC1A0000}"/>
    <cellStyle name="Comma 2 2 2 2 2 2 2 2 2 2 2 2 2 2 2 5 2 7" xfId="6848" xr:uid="{00000000-0005-0000-0000-0000BD1A0000}"/>
    <cellStyle name="Comma 2 2 2 2 2 2 2 2 2 2 2 2 2 2 2 5 2 8" xfId="6849" xr:uid="{00000000-0005-0000-0000-0000BE1A0000}"/>
    <cellStyle name="Comma 2 2 2 2 2 2 2 2 2 2 2 2 2 2 2 5 2 9" xfId="6850" xr:uid="{00000000-0005-0000-0000-0000BF1A0000}"/>
    <cellStyle name="Comma 2 2 2 2 2 2 2 2 2 2 2 2 2 2 2 5 3" xfId="6851" xr:uid="{00000000-0005-0000-0000-0000C01A0000}"/>
    <cellStyle name="Comma 2 2 2 2 2 2 2 2 2 2 2 2 2 2 2 5 3 10" xfId="6852" xr:uid="{00000000-0005-0000-0000-0000C11A0000}"/>
    <cellStyle name="Comma 2 2 2 2 2 2 2 2 2 2 2 2 2 2 2 5 3 10 2" xfId="6853" xr:uid="{00000000-0005-0000-0000-0000C21A0000}"/>
    <cellStyle name="Comma 2 2 2 2 2 2 2 2 2 2 2 2 2 2 2 5 3 11" xfId="6854" xr:uid="{00000000-0005-0000-0000-0000C31A0000}"/>
    <cellStyle name="Comma 2 2 2 2 2 2 2 2 2 2 2 2 2 2 2 5 3 12" xfId="6855" xr:uid="{00000000-0005-0000-0000-0000C41A0000}"/>
    <cellStyle name="Comma 2 2 2 2 2 2 2 2 2 2 2 2 2 2 2 5 3 13" xfId="6856" xr:uid="{00000000-0005-0000-0000-0000C51A0000}"/>
    <cellStyle name="Comma 2 2 2 2 2 2 2 2 2 2 2 2 2 2 2 5 3 14" xfId="6857" xr:uid="{00000000-0005-0000-0000-0000C61A0000}"/>
    <cellStyle name="Comma 2 2 2 2 2 2 2 2 2 2 2 2 2 2 2 5 3 15" xfId="6858" xr:uid="{00000000-0005-0000-0000-0000C71A0000}"/>
    <cellStyle name="Comma 2 2 2 2 2 2 2 2 2 2 2 2 2 2 2 5 3 16" xfId="6859" xr:uid="{00000000-0005-0000-0000-0000C81A0000}"/>
    <cellStyle name="Comma 2 2 2 2 2 2 2 2 2 2 2 2 2 2 2 5 3 2" xfId="6860" xr:uid="{00000000-0005-0000-0000-0000C91A0000}"/>
    <cellStyle name="Comma 2 2 2 2 2 2 2 2 2 2 2 2 2 2 2 5 3 2 2" xfId="6861" xr:uid="{00000000-0005-0000-0000-0000CA1A0000}"/>
    <cellStyle name="Comma 2 2 2 2 2 2 2 2 2 2 2 2 2 2 2 5 3 2 2 2" xfId="6862" xr:uid="{00000000-0005-0000-0000-0000CB1A0000}"/>
    <cellStyle name="Comma 2 2 2 2 2 2 2 2 2 2 2 2 2 2 2 5 3 2 2 3" xfId="6863" xr:uid="{00000000-0005-0000-0000-0000CC1A0000}"/>
    <cellStyle name="Comma 2 2 2 2 2 2 2 2 2 2 2 2 2 2 2 5 3 3" xfId="6864" xr:uid="{00000000-0005-0000-0000-0000CD1A0000}"/>
    <cellStyle name="Comma 2 2 2 2 2 2 2 2 2 2 2 2 2 2 2 5 3 4" xfId="6865" xr:uid="{00000000-0005-0000-0000-0000CE1A0000}"/>
    <cellStyle name="Comma 2 2 2 2 2 2 2 2 2 2 2 2 2 2 2 5 3 5" xfId="6866" xr:uid="{00000000-0005-0000-0000-0000CF1A0000}"/>
    <cellStyle name="Comma 2 2 2 2 2 2 2 2 2 2 2 2 2 2 2 5 3 6" xfId="6867" xr:uid="{00000000-0005-0000-0000-0000D01A0000}"/>
    <cellStyle name="Comma 2 2 2 2 2 2 2 2 2 2 2 2 2 2 2 5 3 7" xfId="6868" xr:uid="{00000000-0005-0000-0000-0000D11A0000}"/>
    <cellStyle name="Comma 2 2 2 2 2 2 2 2 2 2 2 2 2 2 2 5 3 8" xfId="6869" xr:uid="{00000000-0005-0000-0000-0000D21A0000}"/>
    <cellStyle name="Comma 2 2 2 2 2 2 2 2 2 2 2 2 2 2 2 5 3 9" xfId="6870" xr:uid="{00000000-0005-0000-0000-0000D31A0000}"/>
    <cellStyle name="Comma 2 2 2 2 2 2 2 2 2 2 2 2 2 2 2 5 4" xfId="6871" xr:uid="{00000000-0005-0000-0000-0000D41A0000}"/>
    <cellStyle name="Comma 2 2 2 2 2 2 2 2 2 2 2 2 2 2 2 5 4 10" xfId="6872" xr:uid="{00000000-0005-0000-0000-0000D51A0000}"/>
    <cellStyle name="Comma 2 2 2 2 2 2 2 2 2 2 2 2 2 2 2 5 4 11" xfId="6873" xr:uid="{00000000-0005-0000-0000-0000D61A0000}"/>
    <cellStyle name="Comma 2 2 2 2 2 2 2 2 2 2 2 2 2 2 2 5 4 12" xfId="6874" xr:uid="{00000000-0005-0000-0000-0000D71A0000}"/>
    <cellStyle name="Comma 2 2 2 2 2 2 2 2 2 2 2 2 2 2 2 5 4 13" xfId="6875" xr:uid="{00000000-0005-0000-0000-0000D81A0000}"/>
    <cellStyle name="Comma 2 2 2 2 2 2 2 2 2 2 2 2 2 2 2 5 4 14" xfId="6876" xr:uid="{00000000-0005-0000-0000-0000D91A0000}"/>
    <cellStyle name="Comma 2 2 2 2 2 2 2 2 2 2 2 2 2 2 2 5 4 15" xfId="6877" xr:uid="{00000000-0005-0000-0000-0000DA1A0000}"/>
    <cellStyle name="Comma 2 2 2 2 2 2 2 2 2 2 2 2 2 2 2 5 4 2" xfId="6878" xr:uid="{00000000-0005-0000-0000-0000DB1A0000}"/>
    <cellStyle name="Comma 2 2 2 2 2 2 2 2 2 2 2 2 2 2 2 5 4 3" xfId="6879" xr:uid="{00000000-0005-0000-0000-0000DC1A0000}"/>
    <cellStyle name="Comma 2 2 2 2 2 2 2 2 2 2 2 2 2 2 2 5 4 4" xfId="6880" xr:uid="{00000000-0005-0000-0000-0000DD1A0000}"/>
    <cellStyle name="Comma 2 2 2 2 2 2 2 2 2 2 2 2 2 2 2 5 4 5" xfId="6881" xr:uid="{00000000-0005-0000-0000-0000DE1A0000}"/>
    <cellStyle name="Comma 2 2 2 2 2 2 2 2 2 2 2 2 2 2 2 5 4 6" xfId="6882" xr:uid="{00000000-0005-0000-0000-0000DF1A0000}"/>
    <cellStyle name="Comma 2 2 2 2 2 2 2 2 2 2 2 2 2 2 2 5 4 7" xfId="6883" xr:uid="{00000000-0005-0000-0000-0000E01A0000}"/>
    <cellStyle name="Comma 2 2 2 2 2 2 2 2 2 2 2 2 2 2 2 5 4 8" xfId="6884" xr:uid="{00000000-0005-0000-0000-0000E11A0000}"/>
    <cellStyle name="Comma 2 2 2 2 2 2 2 2 2 2 2 2 2 2 2 5 4 9" xfId="6885" xr:uid="{00000000-0005-0000-0000-0000E21A0000}"/>
    <cellStyle name="Comma 2 2 2 2 2 2 2 2 2 2 2 2 2 2 2 5 4 9 2" xfId="6886" xr:uid="{00000000-0005-0000-0000-0000E31A0000}"/>
    <cellStyle name="Comma 2 2 2 2 2 2 2 2 2 2 2 2 2 2 2 5 5" xfId="6887" xr:uid="{00000000-0005-0000-0000-0000E41A0000}"/>
    <cellStyle name="Comma 2 2 2 2 2 2 2 2 2 2 2 2 2 2 2 5 5 10" xfId="6888" xr:uid="{00000000-0005-0000-0000-0000E51A0000}"/>
    <cellStyle name="Comma 2 2 2 2 2 2 2 2 2 2 2 2 2 2 2 5 5 11" xfId="6889" xr:uid="{00000000-0005-0000-0000-0000E61A0000}"/>
    <cellStyle name="Comma 2 2 2 2 2 2 2 2 2 2 2 2 2 2 2 5 5 12" xfId="6890" xr:uid="{00000000-0005-0000-0000-0000E71A0000}"/>
    <cellStyle name="Comma 2 2 2 2 2 2 2 2 2 2 2 2 2 2 2 5 5 13" xfId="6891" xr:uid="{00000000-0005-0000-0000-0000E81A0000}"/>
    <cellStyle name="Comma 2 2 2 2 2 2 2 2 2 2 2 2 2 2 2 5 5 14" xfId="6892" xr:uid="{00000000-0005-0000-0000-0000E91A0000}"/>
    <cellStyle name="Comma 2 2 2 2 2 2 2 2 2 2 2 2 2 2 2 5 5 2" xfId="6893" xr:uid="{00000000-0005-0000-0000-0000EA1A0000}"/>
    <cellStyle name="Comma 2 2 2 2 2 2 2 2 2 2 2 2 2 2 2 5 5 3" xfId="6894" xr:uid="{00000000-0005-0000-0000-0000EB1A0000}"/>
    <cellStyle name="Comma 2 2 2 2 2 2 2 2 2 2 2 2 2 2 2 5 5 4" xfId="6895" xr:uid="{00000000-0005-0000-0000-0000EC1A0000}"/>
    <cellStyle name="Comma 2 2 2 2 2 2 2 2 2 2 2 2 2 2 2 5 5 5" xfId="6896" xr:uid="{00000000-0005-0000-0000-0000ED1A0000}"/>
    <cellStyle name="Comma 2 2 2 2 2 2 2 2 2 2 2 2 2 2 2 5 5 6" xfId="6897" xr:uid="{00000000-0005-0000-0000-0000EE1A0000}"/>
    <cellStyle name="Comma 2 2 2 2 2 2 2 2 2 2 2 2 2 2 2 5 5 7" xfId="6898" xr:uid="{00000000-0005-0000-0000-0000EF1A0000}"/>
    <cellStyle name="Comma 2 2 2 2 2 2 2 2 2 2 2 2 2 2 2 5 5 8" xfId="6899" xr:uid="{00000000-0005-0000-0000-0000F01A0000}"/>
    <cellStyle name="Comma 2 2 2 2 2 2 2 2 2 2 2 2 2 2 2 5 5 8 2" xfId="6900" xr:uid="{00000000-0005-0000-0000-0000F11A0000}"/>
    <cellStyle name="Comma 2 2 2 2 2 2 2 2 2 2 2 2 2 2 2 5 5 9" xfId="6901" xr:uid="{00000000-0005-0000-0000-0000F21A0000}"/>
    <cellStyle name="Comma 2 2 2 2 2 2 2 2 2 2 2 2 2 2 2 5 6" xfId="6902" xr:uid="{00000000-0005-0000-0000-0000F31A0000}"/>
    <cellStyle name="Comma 2 2 2 2 2 2 2 2 2 2 2 2 2 2 2 5 6 10" xfId="6903" xr:uid="{00000000-0005-0000-0000-0000F41A0000}"/>
    <cellStyle name="Comma 2 2 2 2 2 2 2 2 2 2 2 2 2 2 2 5 6 11" xfId="6904" xr:uid="{00000000-0005-0000-0000-0000F51A0000}"/>
    <cellStyle name="Comma 2 2 2 2 2 2 2 2 2 2 2 2 2 2 2 5 6 12" xfId="6905" xr:uid="{00000000-0005-0000-0000-0000F61A0000}"/>
    <cellStyle name="Comma 2 2 2 2 2 2 2 2 2 2 2 2 2 2 2 5 6 13" xfId="6906" xr:uid="{00000000-0005-0000-0000-0000F71A0000}"/>
    <cellStyle name="Comma 2 2 2 2 2 2 2 2 2 2 2 2 2 2 2 5 6 2" xfId="6907" xr:uid="{00000000-0005-0000-0000-0000F81A0000}"/>
    <cellStyle name="Comma 2 2 2 2 2 2 2 2 2 2 2 2 2 2 2 5 6 3" xfId="6908" xr:uid="{00000000-0005-0000-0000-0000F91A0000}"/>
    <cellStyle name="Comma 2 2 2 2 2 2 2 2 2 2 2 2 2 2 2 5 6 4" xfId="6909" xr:uid="{00000000-0005-0000-0000-0000FA1A0000}"/>
    <cellStyle name="Comma 2 2 2 2 2 2 2 2 2 2 2 2 2 2 2 5 6 5" xfId="6910" xr:uid="{00000000-0005-0000-0000-0000FB1A0000}"/>
    <cellStyle name="Comma 2 2 2 2 2 2 2 2 2 2 2 2 2 2 2 5 6 6" xfId="6911" xr:uid="{00000000-0005-0000-0000-0000FC1A0000}"/>
    <cellStyle name="Comma 2 2 2 2 2 2 2 2 2 2 2 2 2 2 2 5 6 7" xfId="6912" xr:uid="{00000000-0005-0000-0000-0000FD1A0000}"/>
    <cellStyle name="Comma 2 2 2 2 2 2 2 2 2 2 2 2 2 2 2 5 6 7 2" xfId="6913" xr:uid="{00000000-0005-0000-0000-0000FE1A0000}"/>
    <cellStyle name="Comma 2 2 2 2 2 2 2 2 2 2 2 2 2 2 2 5 6 8" xfId="6914" xr:uid="{00000000-0005-0000-0000-0000FF1A0000}"/>
    <cellStyle name="Comma 2 2 2 2 2 2 2 2 2 2 2 2 2 2 2 5 6 9" xfId="6915" xr:uid="{00000000-0005-0000-0000-0000001B0000}"/>
    <cellStyle name="Comma 2 2 2 2 2 2 2 2 2 2 2 2 2 2 2 5 7" xfId="6916" xr:uid="{00000000-0005-0000-0000-0000011B0000}"/>
    <cellStyle name="Comma 2 2 2 2 2 2 2 2 2 2 2 2 2 2 2 5 8" xfId="6917" xr:uid="{00000000-0005-0000-0000-0000021B0000}"/>
    <cellStyle name="Comma 2 2 2 2 2 2 2 2 2 2 2 2 2 2 2 5 9" xfId="6918" xr:uid="{00000000-0005-0000-0000-0000031B0000}"/>
    <cellStyle name="Comma 2 2 2 2 2 2 2 2 2 2 2 2 2 2 2 5 9 2" xfId="6919" xr:uid="{00000000-0005-0000-0000-0000041B0000}"/>
    <cellStyle name="Comma 2 2 2 2 2 2 2 2 2 2 2 2 2 2 2 5 9 3" xfId="6920" xr:uid="{00000000-0005-0000-0000-0000051B0000}"/>
    <cellStyle name="Comma 2 2 2 2 2 2 2 2 2 2 2 2 2 2 2 5 9 4" xfId="6921" xr:uid="{00000000-0005-0000-0000-0000061B0000}"/>
    <cellStyle name="Comma 2 2 2 2 2 2 2 2 2 2 2 2 2 2 2 5 9 5" xfId="6922" xr:uid="{00000000-0005-0000-0000-0000071B0000}"/>
    <cellStyle name="Comma 2 2 2 2 2 2 2 2 2 2 2 2 2 2 2 5 9 6" xfId="6923" xr:uid="{00000000-0005-0000-0000-0000081B0000}"/>
    <cellStyle name="Comma 2 2 2 2 2 2 2 2 2 2 2 2 2 2 2 5 9 7" xfId="6924" xr:uid="{00000000-0005-0000-0000-0000091B0000}"/>
    <cellStyle name="Comma 2 2 2 2 2 2 2 2 2 2 2 2 2 2 2 5 9 8" xfId="6925" xr:uid="{00000000-0005-0000-0000-00000A1B0000}"/>
    <cellStyle name="Comma 2 2 2 2 2 2 2 2 2 2 2 2 2 2 2 6" xfId="6926" xr:uid="{00000000-0005-0000-0000-00000B1B0000}"/>
    <cellStyle name="Comma 2 2 2 2 2 2 2 2 2 2 2 2 2 2 2 6 2" xfId="6927" xr:uid="{00000000-0005-0000-0000-00000C1B0000}"/>
    <cellStyle name="Comma 2 2 2 2 2 2 2 2 2 2 2 2 2 2 2 6 2 10" xfId="6928" xr:uid="{00000000-0005-0000-0000-00000D1B0000}"/>
    <cellStyle name="Comma 2 2 2 2 2 2 2 2 2 2 2 2 2 2 2 6 2 11" xfId="6929" xr:uid="{00000000-0005-0000-0000-00000E1B0000}"/>
    <cellStyle name="Comma 2 2 2 2 2 2 2 2 2 2 2 2 2 2 2 6 2 12" xfId="6930" xr:uid="{00000000-0005-0000-0000-00000F1B0000}"/>
    <cellStyle name="Comma 2 2 2 2 2 2 2 2 2 2 2 2 2 2 2 6 2 2" xfId="6931" xr:uid="{00000000-0005-0000-0000-0000101B0000}"/>
    <cellStyle name="Comma 2 2 2 2 2 2 2 2 2 2 2 2 2 2 2 6 2 2 2" xfId="6932" xr:uid="{00000000-0005-0000-0000-0000111B0000}"/>
    <cellStyle name="Comma 2 2 2 2 2 2 2 2 2 2 2 2 2 2 2 6 2 2 2 2" xfId="6933" xr:uid="{00000000-0005-0000-0000-0000121B0000}"/>
    <cellStyle name="Comma 2 2 2 2 2 2 2 2 2 2 2 2 2 2 2 6 2 2 3" xfId="6934" xr:uid="{00000000-0005-0000-0000-0000131B0000}"/>
    <cellStyle name="Comma 2 2 2 2 2 2 2 2 2 2 2 2 2 2 2 6 2 2 3 2" xfId="6935" xr:uid="{00000000-0005-0000-0000-0000141B0000}"/>
    <cellStyle name="Comma 2 2 2 2 2 2 2 2 2 2 2 2 2 2 2 6 2 2 4" xfId="6936" xr:uid="{00000000-0005-0000-0000-0000151B0000}"/>
    <cellStyle name="Comma 2 2 2 2 2 2 2 2 2 2 2 2 2 2 2 6 2 2 4 2" xfId="6937" xr:uid="{00000000-0005-0000-0000-0000161B0000}"/>
    <cellStyle name="Comma 2 2 2 2 2 2 2 2 2 2 2 2 2 2 2 6 2 2 5" xfId="6938" xr:uid="{00000000-0005-0000-0000-0000171B0000}"/>
    <cellStyle name="Comma 2 2 2 2 2 2 2 2 2 2 2 2 2 2 2 6 2 3" xfId="6939" xr:uid="{00000000-0005-0000-0000-0000181B0000}"/>
    <cellStyle name="Comma 2 2 2 2 2 2 2 2 2 2 2 2 2 2 2 6 2 3 2" xfId="6940" xr:uid="{00000000-0005-0000-0000-0000191B0000}"/>
    <cellStyle name="Comma 2 2 2 2 2 2 2 2 2 2 2 2 2 2 2 6 2 3 3" xfId="6941" xr:uid="{00000000-0005-0000-0000-00001A1B0000}"/>
    <cellStyle name="Comma 2 2 2 2 2 2 2 2 2 2 2 2 2 2 2 6 2 4" xfId="6942" xr:uid="{00000000-0005-0000-0000-00001B1B0000}"/>
    <cellStyle name="Comma 2 2 2 2 2 2 2 2 2 2 2 2 2 2 2 6 2 4 2" xfId="6943" xr:uid="{00000000-0005-0000-0000-00001C1B0000}"/>
    <cellStyle name="Comma 2 2 2 2 2 2 2 2 2 2 2 2 2 2 2 6 2 5" xfId="6944" xr:uid="{00000000-0005-0000-0000-00001D1B0000}"/>
    <cellStyle name="Comma 2 2 2 2 2 2 2 2 2 2 2 2 2 2 2 6 2 6" xfId="6945" xr:uid="{00000000-0005-0000-0000-00001E1B0000}"/>
    <cellStyle name="Comma 2 2 2 2 2 2 2 2 2 2 2 2 2 2 2 6 2 6 2" xfId="6946" xr:uid="{00000000-0005-0000-0000-00001F1B0000}"/>
    <cellStyle name="Comma 2 2 2 2 2 2 2 2 2 2 2 2 2 2 2 6 2 7" xfId="6947" xr:uid="{00000000-0005-0000-0000-0000201B0000}"/>
    <cellStyle name="Comma 2 2 2 2 2 2 2 2 2 2 2 2 2 2 2 6 2 8" xfId="6948" xr:uid="{00000000-0005-0000-0000-0000211B0000}"/>
    <cellStyle name="Comma 2 2 2 2 2 2 2 2 2 2 2 2 2 2 2 6 2 9" xfId="6949" xr:uid="{00000000-0005-0000-0000-0000221B0000}"/>
    <cellStyle name="Comma 2 2 2 2 2 2 2 2 2 2 2 2 2 2 2 6 3" xfId="6950" xr:uid="{00000000-0005-0000-0000-0000231B0000}"/>
    <cellStyle name="Comma 2 2 2 2 2 2 2 2 2 2 2 2 2 2 2 6 3 10" xfId="6951" xr:uid="{00000000-0005-0000-0000-0000241B0000}"/>
    <cellStyle name="Comma 2 2 2 2 2 2 2 2 2 2 2 2 2 2 2 6 3 11" xfId="6952" xr:uid="{00000000-0005-0000-0000-0000251B0000}"/>
    <cellStyle name="Comma 2 2 2 2 2 2 2 2 2 2 2 2 2 2 2 6 3 12" xfId="6953" xr:uid="{00000000-0005-0000-0000-0000261B0000}"/>
    <cellStyle name="Comma 2 2 2 2 2 2 2 2 2 2 2 2 2 2 2 6 3 2" xfId="6954" xr:uid="{00000000-0005-0000-0000-0000271B0000}"/>
    <cellStyle name="Comma 2 2 2 2 2 2 2 2 2 2 2 2 2 2 2 6 3 2 2" xfId="6955" xr:uid="{00000000-0005-0000-0000-0000281B0000}"/>
    <cellStyle name="Comma 2 2 2 2 2 2 2 2 2 2 2 2 2 2 2 6 3 2 3" xfId="6956" xr:uid="{00000000-0005-0000-0000-0000291B0000}"/>
    <cellStyle name="Comma 2 2 2 2 2 2 2 2 2 2 2 2 2 2 2 6 3 2 4" xfId="6957" xr:uid="{00000000-0005-0000-0000-00002A1B0000}"/>
    <cellStyle name="Comma 2 2 2 2 2 2 2 2 2 2 2 2 2 2 2 6 3 3" xfId="6958" xr:uid="{00000000-0005-0000-0000-00002B1B0000}"/>
    <cellStyle name="Comma 2 2 2 2 2 2 2 2 2 2 2 2 2 2 2 6 3 3 2" xfId="6959" xr:uid="{00000000-0005-0000-0000-00002C1B0000}"/>
    <cellStyle name="Comma 2 2 2 2 2 2 2 2 2 2 2 2 2 2 2 6 3 4" xfId="6960" xr:uid="{00000000-0005-0000-0000-00002D1B0000}"/>
    <cellStyle name="Comma 2 2 2 2 2 2 2 2 2 2 2 2 2 2 2 6 3 5" xfId="6961" xr:uid="{00000000-0005-0000-0000-00002E1B0000}"/>
    <cellStyle name="Comma 2 2 2 2 2 2 2 2 2 2 2 2 2 2 2 6 3 6" xfId="6962" xr:uid="{00000000-0005-0000-0000-00002F1B0000}"/>
    <cellStyle name="Comma 2 2 2 2 2 2 2 2 2 2 2 2 2 2 2 6 3 6 2" xfId="6963" xr:uid="{00000000-0005-0000-0000-0000301B0000}"/>
    <cellStyle name="Comma 2 2 2 2 2 2 2 2 2 2 2 2 2 2 2 6 3 7" xfId="6964" xr:uid="{00000000-0005-0000-0000-0000311B0000}"/>
    <cellStyle name="Comma 2 2 2 2 2 2 2 2 2 2 2 2 2 2 2 6 3 8" xfId="6965" xr:uid="{00000000-0005-0000-0000-0000321B0000}"/>
    <cellStyle name="Comma 2 2 2 2 2 2 2 2 2 2 2 2 2 2 2 6 3 9" xfId="6966" xr:uid="{00000000-0005-0000-0000-0000331B0000}"/>
    <cellStyle name="Comma 2 2 2 2 2 2 2 2 2 2 2 2 2 2 2 6 4" xfId="6967" xr:uid="{00000000-0005-0000-0000-0000341B0000}"/>
    <cellStyle name="Comma 2 2 2 2 2 2 2 2 2 2 2 2 2 2 2 6 4 10" xfId="6968" xr:uid="{00000000-0005-0000-0000-0000351B0000}"/>
    <cellStyle name="Comma 2 2 2 2 2 2 2 2 2 2 2 2 2 2 2 6 4 11" xfId="6969" xr:uid="{00000000-0005-0000-0000-0000361B0000}"/>
    <cellStyle name="Comma 2 2 2 2 2 2 2 2 2 2 2 2 2 2 2 6 4 12" xfId="6970" xr:uid="{00000000-0005-0000-0000-0000371B0000}"/>
    <cellStyle name="Comma 2 2 2 2 2 2 2 2 2 2 2 2 2 2 2 6 4 2" xfId="6971" xr:uid="{00000000-0005-0000-0000-0000381B0000}"/>
    <cellStyle name="Comma 2 2 2 2 2 2 2 2 2 2 2 2 2 2 2 6 4 3" xfId="6972" xr:uid="{00000000-0005-0000-0000-0000391B0000}"/>
    <cellStyle name="Comma 2 2 2 2 2 2 2 2 2 2 2 2 2 2 2 6 4 4" xfId="6973" xr:uid="{00000000-0005-0000-0000-00003A1B0000}"/>
    <cellStyle name="Comma 2 2 2 2 2 2 2 2 2 2 2 2 2 2 2 6 4 5" xfId="6974" xr:uid="{00000000-0005-0000-0000-00003B1B0000}"/>
    <cellStyle name="Comma 2 2 2 2 2 2 2 2 2 2 2 2 2 2 2 6 4 6" xfId="6975" xr:uid="{00000000-0005-0000-0000-00003C1B0000}"/>
    <cellStyle name="Comma 2 2 2 2 2 2 2 2 2 2 2 2 2 2 2 6 4 6 2" xfId="6976" xr:uid="{00000000-0005-0000-0000-00003D1B0000}"/>
    <cellStyle name="Comma 2 2 2 2 2 2 2 2 2 2 2 2 2 2 2 6 4 7" xfId="6977" xr:uid="{00000000-0005-0000-0000-00003E1B0000}"/>
    <cellStyle name="Comma 2 2 2 2 2 2 2 2 2 2 2 2 2 2 2 6 4 8" xfId="6978" xr:uid="{00000000-0005-0000-0000-00003F1B0000}"/>
    <cellStyle name="Comma 2 2 2 2 2 2 2 2 2 2 2 2 2 2 2 6 4 9" xfId="6979" xr:uid="{00000000-0005-0000-0000-0000401B0000}"/>
    <cellStyle name="Comma 2 2 2 2 2 2 2 2 2 2 2 2 2 2 2 6 5" xfId="6980" xr:uid="{00000000-0005-0000-0000-0000411B0000}"/>
    <cellStyle name="Comma 2 2 2 2 2 2 2 2 2 2 2 2 2 2 2 6 5 10" xfId="6981" xr:uid="{00000000-0005-0000-0000-0000421B0000}"/>
    <cellStyle name="Comma 2 2 2 2 2 2 2 2 2 2 2 2 2 2 2 6 5 11" xfId="6982" xr:uid="{00000000-0005-0000-0000-0000431B0000}"/>
    <cellStyle name="Comma 2 2 2 2 2 2 2 2 2 2 2 2 2 2 2 6 5 12" xfId="6983" xr:uid="{00000000-0005-0000-0000-0000441B0000}"/>
    <cellStyle name="Comma 2 2 2 2 2 2 2 2 2 2 2 2 2 2 2 6 5 2" xfId="6984" xr:uid="{00000000-0005-0000-0000-0000451B0000}"/>
    <cellStyle name="Comma 2 2 2 2 2 2 2 2 2 2 2 2 2 2 2 6 5 3" xfId="6985" xr:uid="{00000000-0005-0000-0000-0000461B0000}"/>
    <cellStyle name="Comma 2 2 2 2 2 2 2 2 2 2 2 2 2 2 2 6 5 4" xfId="6986" xr:uid="{00000000-0005-0000-0000-0000471B0000}"/>
    <cellStyle name="Comma 2 2 2 2 2 2 2 2 2 2 2 2 2 2 2 6 5 5" xfId="6987" xr:uid="{00000000-0005-0000-0000-0000481B0000}"/>
    <cellStyle name="Comma 2 2 2 2 2 2 2 2 2 2 2 2 2 2 2 6 5 6" xfId="6988" xr:uid="{00000000-0005-0000-0000-0000491B0000}"/>
    <cellStyle name="Comma 2 2 2 2 2 2 2 2 2 2 2 2 2 2 2 6 5 6 2" xfId="6989" xr:uid="{00000000-0005-0000-0000-00004A1B0000}"/>
    <cellStyle name="Comma 2 2 2 2 2 2 2 2 2 2 2 2 2 2 2 6 5 7" xfId="6990" xr:uid="{00000000-0005-0000-0000-00004B1B0000}"/>
    <cellStyle name="Comma 2 2 2 2 2 2 2 2 2 2 2 2 2 2 2 6 5 8" xfId="6991" xr:uid="{00000000-0005-0000-0000-00004C1B0000}"/>
    <cellStyle name="Comma 2 2 2 2 2 2 2 2 2 2 2 2 2 2 2 6 5 9" xfId="6992" xr:uid="{00000000-0005-0000-0000-00004D1B0000}"/>
    <cellStyle name="Comma 2 2 2 2 2 2 2 2 2 2 2 2 2 2 2 6 6" xfId="6993" xr:uid="{00000000-0005-0000-0000-00004E1B0000}"/>
    <cellStyle name="Comma 2 2 2 2 2 2 2 2 2 2 2 2 2 2 2 6 6 2" xfId="6994" xr:uid="{00000000-0005-0000-0000-00004F1B0000}"/>
    <cellStyle name="Comma 2 2 2 2 2 2 2 2 2 2 2 2 2 2 2 6 6 3" xfId="6995" xr:uid="{00000000-0005-0000-0000-0000501B0000}"/>
    <cellStyle name="Comma 2 2 2 2 2 2 2 2 2 2 2 2 2 2 2 6 6 4" xfId="6996" xr:uid="{00000000-0005-0000-0000-0000511B0000}"/>
    <cellStyle name="Comma 2 2 2 2 2 2 2 2 2 2 2 2 2 2 2 6 6 5" xfId="6997" xr:uid="{00000000-0005-0000-0000-0000521B0000}"/>
    <cellStyle name="Comma 2 2 2 2 2 2 2 2 2 2 2 2 2 2 2 6 6 6" xfId="6998" xr:uid="{00000000-0005-0000-0000-0000531B0000}"/>
    <cellStyle name="Comma 2 2 2 2 2 2 2 2 2 2 2 2 2 2 2 6 6 7" xfId="6999" xr:uid="{00000000-0005-0000-0000-0000541B0000}"/>
    <cellStyle name="Comma 2 2 2 2 2 2 2 2 2 2 2 2 2 2 2 6 6 8" xfId="7000" xr:uid="{00000000-0005-0000-0000-0000551B0000}"/>
    <cellStyle name="Comma 2 2 2 2 2 2 2 2 2 2 2 2 2 2 2 6 7" xfId="7001" xr:uid="{00000000-0005-0000-0000-0000561B0000}"/>
    <cellStyle name="Comma 2 2 2 2 2 2 2 2 2 2 2 2 2 2 2 6 7 2" xfId="7002" xr:uid="{00000000-0005-0000-0000-0000571B0000}"/>
    <cellStyle name="Comma 2 2 2 2 2 2 2 2 2 2 2 2 2 2 2 6 7 3" xfId="7003" xr:uid="{00000000-0005-0000-0000-0000581B0000}"/>
    <cellStyle name="Comma 2 2 2 2 2 2 2 2 2 2 2 2 2 2 2 6 7 4" xfId="7004" xr:uid="{00000000-0005-0000-0000-0000591B0000}"/>
    <cellStyle name="Comma 2 2 2 2 2 2 2 2 2 2 2 2 2 2 2 6 7 5" xfId="7005" xr:uid="{00000000-0005-0000-0000-00005A1B0000}"/>
    <cellStyle name="Comma 2 2 2 2 2 2 2 2 2 2 2 2 2 2 2 6 7 6" xfId="7006" xr:uid="{00000000-0005-0000-0000-00005B1B0000}"/>
    <cellStyle name="Comma 2 2 2 2 2 2 2 2 2 2 2 2 2 2 2 6 7 7" xfId="7007" xr:uid="{00000000-0005-0000-0000-00005C1B0000}"/>
    <cellStyle name="Comma 2 2 2 2 2 2 2 2 2 2 2 2 2 2 2 6 7 8" xfId="7008" xr:uid="{00000000-0005-0000-0000-00005D1B0000}"/>
    <cellStyle name="Comma 2 2 2 2 2 2 2 2 2 2 2 2 2 2 2 6 8" xfId="7009" xr:uid="{00000000-0005-0000-0000-00005E1B0000}"/>
    <cellStyle name="Comma 2 2 2 2 2 2 2 2 2 2 2 2 2 2 2 6 8 2" xfId="7010" xr:uid="{00000000-0005-0000-0000-00005F1B0000}"/>
    <cellStyle name="Comma 2 2 2 2 2 2 2 2 2 2 2 2 2 2 2 6 8 3" xfId="7011" xr:uid="{00000000-0005-0000-0000-0000601B0000}"/>
    <cellStyle name="Comma 2 2 2 2 2 2 2 2 2 2 2 2 2 2 2 6 8 4" xfId="7012" xr:uid="{00000000-0005-0000-0000-0000611B0000}"/>
    <cellStyle name="Comma 2 2 2 2 2 2 2 2 2 2 2 2 2 2 2 6 8 5" xfId="7013" xr:uid="{00000000-0005-0000-0000-0000621B0000}"/>
    <cellStyle name="Comma 2 2 2 2 2 2 2 2 2 2 2 2 2 2 2 6 8 6" xfId="7014" xr:uid="{00000000-0005-0000-0000-0000631B0000}"/>
    <cellStyle name="Comma 2 2 2 2 2 2 2 2 2 2 2 2 2 2 2 6 8 7" xfId="7015" xr:uid="{00000000-0005-0000-0000-0000641B0000}"/>
    <cellStyle name="Comma 2 2 2 2 2 2 2 2 2 2 2 2 2 2 2 6 8 8" xfId="7016" xr:uid="{00000000-0005-0000-0000-0000651B0000}"/>
    <cellStyle name="Comma 2 2 2 2 2 2 2 2 2 2 2 2 2 2 2 6 9" xfId="7017" xr:uid="{00000000-0005-0000-0000-0000661B0000}"/>
    <cellStyle name="Comma 2 2 2 2 2 2 2 2 2 2 2 2 2 2 2 6 9 2" xfId="7018" xr:uid="{00000000-0005-0000-0000-0000671B0000}"/>
    <cellStyle name="Comma 2 2 2 2 2 2 2 2 2 2 2 2 2 2 2 6 9 3" xfId="7019" xr:uid="{00000000-0005-0000-0000-0000681B0000}"/>
    <cellStyle name="Comma 2 2 2 2 2 2 2 2 2 2 2 2 2 2 2 6 9 4" xfId="7020" xr:uid="{00000000-0005-0000-0000-0000691B0000}"/>
    <cellStyle name="Comma 2 2 2 2 2 2 2 2 2 2 2 2 2 2 2 6 9 5" xfId="7021" xr:uid="{00000000-0005-0000-0000-00006A1B0000}"/>
    <cellStyle name="Comma 2 2 2 2 2 2 2 2 2 2 2 2 2 2 2 6 9 6" xfId="7022" xr:uid="{00000000-0005-0000-0000-00006B1B0000}"/>
    <cellStyle name="Comma 2 2 2 2 2 2 2 2 2 2 2 2 2 2 2 6 9 7" xfId="7023" xr:uid="{00000000-0005-0000-0000-00006C1B0000}"/>
    <cellStyle name="Comma 2 2 2 2 2 2 2 2 2 2 2 2 2 2 2 6 9 8" xfId="7024" xr:uid="{00000000-0005-0000-0000-00006D1B0000}"/>
    <cellStyle name="Comma 2 2 2 2 2 2 2 2 2 2 2 2 2 2 2 7" xfId="7025" xr:uid="{00000000-0005-0000-0000-00006E1B0000}"/>
    <cellStyle name="Comma 2 2 2 2 2 2 2 2 2 2 2 2 2 2 2 7 2" xfId="7026" xr:uid="{00000000-0005-0000-0000-00006F1B0000}"/>
    <cellStyle name="Comma 2 2 2 2 2 2 2 2 2 2 2 2 2 2 2 7 2 10" xfId="7027" xr:uid="{00000000-0005-0000-0000-0000701B0000}"/>
    <cellStyle name="Comma 2 2 2 2 2 2 2 2 2 2 2 2 2 2 2 7 2 11" xfId="7028" xr:uid="{00000000-0005-0000-0000-0000711B0000}"/>
    <cellStyle name="Comma 2 2 2 2 2 2 2 2 2 2 2 2 2 2 2 7 2 12" xfId="7029" xr:uid="{00000000-0005-0000-0000-0000721B0000}"/>
    <cellStyle name="Comma 2 2 2 2 2 2 2 2 2 2 2 2 2 2 2 7 2 2" xfId="7030" xr:uid="{00000000-0005-0000-0000-0000731B0000}"/>
    <cellStyle name="Comma 2 2 2 2 2 2 2 2 2 2 2 2 2 2 2 7 2 2 2" xfId="7031" xr:uid="{00000000-0005-0000-0000-0000741B0000}"/>
    <cellStyle name="Comma 2 2 2 2 2 2 2 2 2 2 2 2 2 2 2 7 2 2 3" xfId="7032" xr:uid="{00000000-0005-0000-0000-0000751B0000}"/>
    <cellStyle name="Comma 2 2 2 2 2 2 2 2 2 2 2 2 2 2 2 7 2 2 4" xfId="7033" xr:uid="{00000000-0005-0000-0000-0000761B0000}"/>
    <cellStyle name="Comma 2 2 2 2 2 2 2 2 2 2 2 2 2 2 2 7 2 3" xfId="7034" xr:uid="{00000000-0005-0000-0000-0000771B0000}"/>
    <cellStyle name="Comma 2 2 2 2 2 2 2 2 2 2 2 2 2 2 2 7 2 3 2" xfId="7035" xr:uid="{00000000-0005-0000-0000-0000781B0000}"/>
    <cellStyle name="Comma 2 2 2 2 2 2 2 2 2 2 2 2 2 2 2 7 2 4" xfId="7036" xr:uid="{00000000-0005-0000-0000-0000791B0000}"/>
    <cellStyle name="Comma 2 2 2 2 2 2 2 2 2 2 2 2 2 2 2 7 2 5" xfId="7037" xr:uid="{00000000-0005-0000-0000-00007A1B0000}"/>
    <cellStyle name="Comma 2 2 2 2 2 2 2 2 2 2 2 2 2 2 2 7 2 6" xfId="7038" xr:uid="{00000000-0005-0000-0000-00007B1B0000}"/>
    <cellStyle name="Comma 2 2 2 2 2 2 2 2 2 2 2 2 2 2 2 7 2 6 2" xfId="7039" xr:uid="{00000000-0005-0000-0000-00007C1B0000}"/>
    <cellStyle name="Comma 2 2 2 2 2 2 2 2 2 2 2 2 2 2 2 7 2 7" xfId="7040" xr:uid="{00000000-0005-0000-0000-00007D1B0000}"/>
    <cellStyle name="Comma 2 2 2 2 2 2 2 2 2 2 2 2 2 2 2 7 2 8" xfId="7041" xr:uid="{00000000-0005-0000-0000-00007E1B0000}"/>
    <cellStyle name="Comma 2 2 2 2 2 2 2 2 2 2 2 2 2 2 2 7 2 9" xfId="7042" xr:uid="{00000000-0005-0000-0000-00007F1B0000}"/>
    <cellStyle name="Comma 2 2 2 2 2 2 2 2 2 2 2 2 2 2 2 7 3" xfId="7043" xr:uid="{00000000-0005-0000-0000-0000801B0000}"/>
    <cellStyle name="Comma 2 2 2 2 2 2 2 2 2 2 2 2 2 2 2 7 3 10" xfId="7044" xr:uid="{00000000-0005-0000-0000-0000811B0000}"/>
    <cellStyle name="Comma 2 2 2 2 2 2 2 2 2 2 2 2 2 2 2 7 3 11" xfId="7045" xr:uid="{00000000-0005-0000-0000-0000821B0000}"/>
    <cellStyle name="Comma 2 2 2 2 2 2 2 2 2 2 2 2 2 2 2 7 3 12" xfId="7046" xr:uid="{00000000-0005-0000-0000-0000831B0000}"/>
    <cellStyle name="Comma 2 2 2 2 2 2 2 2 2 2 2 2 2 2 2 7 3 2" xfId="7047" xr:uid="{00000000-0005-0000-0000-0000841B0000}"/>
    <cellStyle name="Comma 2 2 2 2 2 2 2 2 2 2 2 2 2 2 2 7 3 3" xfId="7048" xr:uid="{00000000-0005-0000-0000-0000851B0000}"/>
    <cellStyle name="Comma 2 2 2 2 2 2 2 2 2 2 2 2 2 2 2 7 3 4" xfId="7049" xr:uid="{00000000-0005-0000-0000-0000861B0000}"/>
    <cellStyle name="Comma 2 2 2 2 2 2 2 2 2 2 2 2 2 2 2 7 3 5" xfId="7050" xr:uid="{00000000-0005-0000-0000-0000871B0000}"/>
    <cellStyle name="Comma 2 2 2 2 2 2 2 2 2 2 2 2 2 2 2 7 3 6" xfId="7051" xr:uid="{00000000-0005-0000-0000-0000881B0000}"/>
    <cellStyle name="Comma 2 2 2 2 2 2 2 2 2 2 2 2 2 2 2 7 3 6 2" xfId="7052" xr:uid="{00000000-0005-0000-0000-0000891B0000}"/>
    <cellStyle name="Comma 2 2 2 2 2 2 2 2 2 2 2 2 2 2 2 7 3 7" xfId="7053" xr:uid="{00000000-0005-0000-0000-00008A1B0000}"/>
    <cellStyle name="Comma 2 2 2 2 2 2 2 2 2 2 2 2 2 2 2 7 3 8" xfId="7054" xr:uid="{00000000-0005-0000-0000-00008B1B0000}"/>
    <cellStyle name="Comma 2 2 2 2 2 2 2 2 2 2 2 2 2 2 2 7 3 9" xfId="7055" xr:uid="{00000000-0005-0000-0000-00008C1B0000}"/>
    <cellStyle name="Comma 2 2 2 2 2 2 2 2 2 2 2 2 2 2 2 7 4" xfId="7056" xr:uid="{00000000-0005-0000-0000-00008D1B0000}"/>
    <cellStyle name="Comma 2 2 2 2 2 2 2 2 2 2 2 2 2 2 2 7 4 10" xfId="7057" xr:uid="{00000000-0005-0000-0000-00008E1B0000}"/>
    <cellStyle name="Comma 2 2 2 2 2 2 2 2 2 2 2 2 2 2 2 7 4 11" xfId="7058" xr:uid="{00000000-0005-0000-0000-00008F1B0000}"/>
    <cellStyle name="Comma 2 2 2 2 2 2 2 2 2 2 2 2 2 2 2 7 4 12" xfId="7059" xr:uid="{00000000-0005-0000-0000-0000901B0000}"/>
    <cellStyle name="Comma 2 2 2 2 2 2 2 2 2 2 2 2 2 2 2 7 4 2" xfId="7060" xr:uid="{00000000-0005-0000-0000-0000911B0000}"/>
    <cellStyle name="Comma 2 2 2 2 2 2 2 2 2 2 2 2 2 2 2 7 4 3" xfId="7061" xr:uid="{00000000-0005-0000-0000-0000921B0000}"/>
    <cellStyle name="Comma 2 2 2 2 2 2 2 2 2 2 2 2 2 2 2 7 4 4" xfId="7062" xr:uid="{00000000-0005-0000-0000-0000931B0000}"/>
    <cellStyle name="Comma 2 2 2 2 2 2 2 2 2 2 2 2 2 2 2 7 4 5" xfId="7063" xr:uid="{00000000-0005-0000-0000-0000941B0000}"/>
    <cellStyle name="Comma 2 2 2 2 2 2 2 2 2 2 2 2 2 2 2 7 4 6" xfId="7064" xr:uid="{00000000-0005-0000-0000-0000951B0000}"/>
    <cellStyle name="Comma 2 2 2 2 2 2 2 2 2 2 2 2 2 2 2 7 4 6 2" xfId="7065" xr:uid="{00000000-0005-0000-0000-0000961B0000}"/>
    <cellStyle name="Comma 2 2 2 2 2 2 2 2 2 2 2 2 2 2 2 7 4 7" xfId="7066" xr:uid="{00000000-0005-0000-0000-0000971B0000}"/>
    <cellStyle name="Comma 2 2 2 2 2 2 2 2 2 2 2 2 2 2 2 7 4 8" xfId="7067" xr:uid="{00000000-0005-0000-0000-0000981B0000}"/>
    <cellStyle name="Comma 2 2 2 2 2 2 2 2 2 2 2 2 2 2 2 7 4 9" xfId="7068" xr:uid="{00000000-0005-0000-0000-0000991B0000}"/>
    <cellStyle name="Comma 2 2 2 2 2 2 2 2 2 2 2 2 2 2 2 7 5" xfId="7069" xr:uid="{00000000-0005-0000-0000-00009A1B0000}"/>
    <cellStyle name="Comma 2 2 2 2 2 2 2 2 2 2 2 2 2 2 2 7 5 2" xfId="7070" xr:uid="{00000000-0005-0000-0000-00009B1B0000}"/>
    <cellStyle name="Comma 2 2 2 2 2 2 2 2 2 2 2 2 2 2 2 7 5 3" xfId="7071" xr:uid="{00000000-0005-0000-0000-00009C1B0000}"/>
    <cellStyle name="Comma 2 2 2 2 2 2 2 2 2 2 2 2 2 2 2 7 5 4" xfId="7072" xr:uid="{00000000-0005-0000-0000-00009D1B0000}"/>
    <cellStyle name="Comma 2 2 2 2 2 2 2 2 2 2 2 2 2 2 2 7 5 5" xfId="7073" xr:uid="{00000000-0005-0000-0000-00009E1B0000}"/>
    <cellStyle name="Comma 2 2 2 2 2 2 2 2 2 2 2 2 2 2 2 7 5 6" xfId="7074" xr:uid="{00000000-0005-0000-0000-00009F1B0000}"/>
    <cellStyle name="Comma 2 2 2 2 2 2 2 2 2 2 2 2 2 2 2 7 5 7" xfId="7075" xr:uid="{00000000-0005-0000-0000-0000A01B0000}"/>
    <cellStyle name="Comma 2 2 2 2 2 2 2 2 2 2 2 2 2 2 2 7 5 8" xfId="7076" xr:uid="{00000000-0005-0000-0000-0000A11B0000}"/>
    <cellStyle name="Comma 2 2 2 2 2 2 2 2 2 2 2 2 2 2 2 7 6" xfId="7077" xr:uid="{00000000-0005-0000-0000-0000A21B0000}"/>
    <cellStyle name="Comma 2 2 2 2 2 2 2 2 2 2 2 2 2 2 2 7 6 2" xfId="7078" xr:uid="{00000000-0005-0000-0000-0000A31B0000}"/>
    <cellStyle name="Comma 2 2 2 2 2 2 2 2 2 2 2 2 2 2 2 7 6 3" xfId="7079" xr:uid="{00000000-0005-0000-0000-0000A41B0000}"/>
    <cellStyle name="Comma 2 2 2 2 2 2 2 2 2 2 2 2 2 2 2 7 6 4" xfId="7080" xr:uid="{00000000-0005-0000-0000-0000A51B0000}"/>
    <cellStyle name="Comma 2 2 2 2 2 2 2 2 2 2 2 2 2 2 2 7 6 5" xfId="7081" xr:uid="{00000000-0005-0000-0000-0000A61B0000}"/>
    <cellStyle name="Comma 2 2 2 2 2 2 2 2 2 2 2 2 2 2 2 7 6 6" xfId="7082" xr:uid="{00000000-0005-0000-0000-0000A71B0000}"/>
    <cellStyle name="Comma 2 2 2 2 2 2 2 2 2 2 2 2 2 2 2 7 6 7" xfId="7083" xr:uid="{00000000-0005-0000-0000-0000A81B0000}"/>
    <cellStyle name="Comma 2 2 2 2 2 2 2 2 2 2 2 2 2 2 2 7 6 8" xfId="7084" xr:uid="{00000000-0005-0000-0000-0000A91B0000}"/>
    <cellStyle name="Comma 2 2 2 2 2 2 2 2 2 2 2 2 2 2 2 7 7" xfId="7085" xr:uid="{00000000-0005-0000-0000-0000AA1B0000}"/>
    <cellStyle name="Comma 2 2 2 2 2 2 2 2 2 2 2 2 2 2 2 7 7 2" xfId="7086" xr:uid="{00000000-0005-0000-0000-0000AB1B0000}"/>
    <cellStyle name="Comma 2 2 2 2 2 2 2 2 2 2 2 2 2 2 2 7 7 3" xfId="7087" xr:uid="{00000000-0005-0000-0000-0000AC1B0000}"/>
    <cellStyle name="Comma 2 2 2 2 2 2 2 2 2 2 2 2 2 2 2 7 7 4" xfId="7088" xr:uid="{00000000-0005-0000-0000-0000AD1B0000}"/>
    <cellStyle name="Comma 2 2 2 2 2 2 2 2 2 2 2 2 2 2 2 7 7 5" xfId="7089" xr:uid="{00000000-0005-0000-0000-0000AE1B0000}"/>
    <cellStyle name="Comma 2 2 2 2 2 2 2 2 2 2 2 2 2 2 2 7 7 6" xfId="7090" xr:uid="{00000000-0005-0000-0000-0000AF1B0000}"/>
    <cellStyle name="Comma 2 2 2 2 2 2 2 2 2 2 2 2 2 2 2 7 7 7" xfId="7091" xr:uid="{00000000-0005-0000-0000-0000B01B0000}"/>
    <cellStyle name="Comma 2 2 2 2 2 2 2 2 2 2 2 2 2 2 2 7 7 8" xfId="7092" xr:uid="{00000000-0005-0000-0000-0000B11B0000}"/>
    <cellStyle name="Comma 2 2 2 2 2 2 2 2 2 2 2 2 2 2 2 7 8" xfId="7093" xr:uid="{00000000-0005-0000-0000-0000B21B0000}"/>
    <cellStyle name="Comma 2 2 2 2 2 2 2 2 2 2 2 2 2 2 2 8" xfId="7094" xr:uid="{00000000-0005-0000-0000-0000B31B0000}"/>
    <cellStyle name="Comma 2 2 2 2 2 2 2 2 2 2 2 2 2 2 2 8 2" xfId="7095" xr:uid="{00000000-0005-0000-0000-0000B41B0000}"/>
    <cellStyle name="Comma 2 2 2 2 2 2 2 2 2 2 2 2 2 2 2 8 2 10" xfId="7096" xr:uid="{00000000-0005-0000-0000-0000B51B0000}"/>
    <cellStyle name="Comma 2 2 2 2 2 2 2 2 2 2 2 2 2 2 2 8 2 11" xfId="7097" xr:uid="{00000000-0005-0000-0000-0000B61B0000}"/>
    <cellStyle name="Comma 2 2 2 2 2 2 2 2 2 2 2 2 2 2 2 8 2 12" xfId="7098" xr:uid="{00000000-0005-0000-0000-0000B71B0000}"/>
    <cellStyle name="Comma 2 2 2 2 2 2 2 2 2 2 2 2 2 2 2 8 2 13" xfId="7099" xr:uid="{00000000-0005-0000-0000-0000B81B0000}"/>
    <cellStyle name="Comma 2 2 2 2 2 2 2 2 2 2 2 2 2 2 2 8 2 2" xfId="7100" xr:uid="{00000000-0005-0000-0000-0000B91B0000}"/>
    <cellStyle name="Comma 2 2 2 2 2 2 2 2 2 2 2 2 2 2 2 8 2 2 2" xfId="7101" xr:uid="{00000000-0005-0000-0000-0000BA1B0000}"/>
    <cellStyle name="Comma 2 2 2 2 2 2 2 2 2 2 2 2 2 2 2 8 2 2 3" xfId="7102" xr:uid="{00000000-0005-0000-0000-0000BB1B0000}"/>
    <cellStyle name="Comma 2 2 2 2 2 2 2 2 2 2 2 2 2 2 2 8 2 2 4" xfId="7103" xr:uid="{00000000-0005-0000-0000-0000BC1B0000}"/>
    <cellStyle name="Comma 2 2 2 2 2 2 2 2 2 2 2 2 2 2 2 8 2 3" xfId="7104" xr:uid="{00000000-0005-0000-0000-0000BD1B0000}"/>
    <cellStyle name="Comma 2 2 2 2 2 2 2 2 2 2 2 2 2 2 2 8 2 3 2" xfId="7105" xr:uid="{00000000-0005-0000-0000-0000BE1B0000}"/>
    <cellStyle name="Comma 2 2 2 2 2 2 2 2 2 2 2 2 2 2 2 8 2 4" xfId="7106" xr:uid="{00000000-0005-0000-0000-0000BF1B0000}"/>
    <cellStyle name="Comma 2 2 2 2 2 2 2 2 2 2 2 2 2 2 2 8 2 5" xfId="7107" xr:uid="{00000000-0005-0000-0000-0000C01B0000}"/>
    <cellStyle name="Comma 2 2 2 2 2 2 2 2 2 2 2 2 2 2 2 8 2 6" xfId="7108" xr:uid="{00000000-0005-0000-0000-0000C11B0000}"/>
    <cellStyle name="Comma 2 2 2 2 2 2 2 2 2 2 2 2 2 2 2 8 2 6 2" xfId="7109" xr:uid="{00000000-0005-0000-0000-0000C21B0000}"/>
    <cellStyle name="Comma 2 2 2 2 2 2 2 2 2 2 2 2 2 2 2 8 2 7" xfId="7110" xr:uid="{00000000-0005-0000-0000-0000C31B0000}"/>
    <cellStyle name="Comma 2 2 2 2 2 2 2 2 2 2 2 2 2 2 2 8 2 8" xfId="7111" xr:uid="{00000000-0005-0000-0000-0000C41B0000}"/>
    <cellStyle name="Comma 2 2 2 2 2 2 2 2 2 2 2 2 2 2 2 8 2 9" xfId="7112" xr:uid="{00000000-0005-0000-0000-0000C51B0000}"/>
    <cellStyle name="Comma 2 2 2 2 2 2 2 2 2 2 2 2 2 2 2 8 3" xfId="7113" xr:uid="{00000000-0005-0000-0000-0000C61B0000}"/>
    <cellStyle name="Comma 2 2 2 2 2 2 2 2 2 2 2 2 2 2 2 8 3 10" xfId="7114" xr:uid="{00000000-0005-0000-0000-0000C71B0000}"/>
    <cellStyle name="Comma 2 2 2 2 2 2 2 2 2 2 2 2 2 2 2 8 3 11" xfId="7115" xr:uid="{00000000-0005-0000-0000-0000C81B0000}"/>
    <cellStyle name="Comma 2 2 2 2 2 2 2 2 2 2 2 2 2 2 2 8 3 12" xfId="7116" xr:uid="{00000000-0005-0000-0000-0000C91B0000}"/>
    <cellStyle name="Comma 2 2 2 2 2 2 2 2 2 2 2 2 2 2 2 8 3 2" xfId="7117" xr:uid="{00000000-0005-0000-0000-0000CA1B0000}"/>
    <cellStyle name="Comma 2 2 2 2 2 2 2 2 2 2 2 2 2 2 2 8 3 3" xfId="7118" xr:uid="{00000000-0005-0000-0000-0000CB1B0000}"/>
    <cellStyle name="Comma 2 2 2 2 2 2 2 2 2 2 2 2 2 2 2 8 3 4" xfId="7119" xr:uid="{00000000-0005-0000-0000-0000CC1B0000}"/>
    <cellStyle name="Comma 2 2 2 2 2 2 2 2 2 2 2 2 2 2 2 8 3 5" xfId="7120" xr:uid="{00000000-0005-0000-0000-0000CD1B0000}"/>
    <cellStyle name="Comma 2 2 2 2 2 2 2 2 2 2 2 2 2 2 2 8 3 6" xfId="7121" xr:uid="{00000000-0005-0000-0000-0000CE1B0000}"/>
    <cellStyle name="Comma 2 2 2 2 2 2 2 2 2 2 2 2 2 2 2 8 3 6 2" xfId="7122" xr:uid="{00000000-0005-0000-0000-0000CF1B0000}"/>
    <cellStyle name="Comma 2 2 2 2 2 2 2 2 2 2 2 2 2 2 2 8 3 7" xfId="7123" xr:uid="{00000000-0005-0000-0000-0000D01B0000}"/>
    <cellStyle name="Comma 2 2 2 2 2 2 2 2 2 2 2 2 2 2 2 8 3 8" xfId="7124" xr:uid="{00000000-0005-0000-0000-0000D11B0000}"/>
    <cellStyle name="Comma 2 2 2 2 2 2 2 2 2 2 2 2 2 2 2 8 3 9" xfId="7125" xr:uid="{00000000-0005-0000-0000-0000D21B0000}"/>
    <cellStyle name="Comma 2 2 2 2 2 2 2 2 2 2 2 2 2 2 2 8 4" xfId="7126" xr:uid="{00000000-0005-0000-0000-0000D31B0000}"/>
    <cellStyle name="Comma 2 2 2 2 2 2 2 2 2 2 2 2 2 2 2 8 4 2" xfId="7127" xr:uid="{00000000-0005-0000-0000-0000D41B0000}"/>
    <cellStyle name="Comma 2 2 2 2 2 2 2 2 2 2 2 2 2 2 2 8 4 3" xfId="7128" xr:uid="{00000000-0005-0000-0000-0000D51B0000}"/>
    <cellStyle name="Comma 2 2 2 2 2 2 2 2 2 2 2 2 2 2 2 8 4 4" xfId="7129" xr:uid="{00000000-0005-0000-0000-0000D61B0000}"/>
    <cellStyle name="Comma 2 2 2 2 2 2 2 2 2 2 2 2 2 2 2 8 4 5" xfId="7130" xr:uid="{00000000-0005-0000-0000-0000D71B0000}"/>
    <cellStyle name="Comma 2 2 2 2 2 2 2 2 2 2 2 2 2 2 2 8 4 6" xfId="7131" xr:uid="{00000000-0005-0000-0000-0000D81B0000}"/>
    <cellStyle name="Comma 2 2 2 2 2 2 2 2 2 2 2 2 2 2 2 8 4 7" xfId="7132" xr:uid="{00000000-0005-0000-0000-0000D91B0000}"/>
    <cellStyle name="Comma 2 2 2 2 2 2 2 2 2 2 2 2 2 2 2 8 4 8" xfId="7133" xr:uid="{00000000-0005-0000-0000-0000DA1B0000}"/>
    <cellStyle name="Comma 2 2 2 2 2 2 2 2 2 2 2 2 2 2 2 8 5" xfId="7134" xr:uid="{00000000-0005-0000-0000-0000DB1B0000}"/>
    <cellStyle name="Comma 2 2 2 2 2 2 2 2 2 2 2 2 2 2 2 8 5 2" xfId="7135" xr:uid="{00000000-0005-0000-0000-0000DC1B0000}"/>
    <cellStyle name="Comma 2 2 2 2 2 2 2 2 2 2 2 2 2 2 2 8 5 3" xfId="7136" xr:uid="{00000000-0005-0000-0000-0000DD1B0000}"/>
    <cellStyle name="Comma 2 2 2 2 2 2 2 2 2 2 2 2 2 2 2 8 5 4" xfId="7137" xr:uid="{00000000-0005-0000-0000-0000DE1B0000}"/>
    <cellStyle name="Comma 2 2 2 2 2 2 2 2 2 2 2 2 2 2 2 8 5 5" xfId="7138" xr:uid="{00000000-0005-0000-0000-0000DF1B0000}"/>
    <cellStyle name="Comma 2 2 2 2 2 2 2 2 2 2 2 2 2 2 2 8 5 6" xfId="7139" xr:uid="{00000000-0005-0000-0000-0000E01B0000}"/>
    <cellStyle name="Comma 2 2 2 2 2 2 2 2 2 2 2 2 2 2 2 8 5 7" xfId="7140" xr:uid="{00000000-0005-0000-0000-0000E11B0000}"/>
    <cellStyle name="Comma 2 2 2 2 2 2 2 2 2 2 2 2 2 2 2 8 5 8" xfId="7141" xr:uid="{00000000-0005-0000-0000-0000E21B0000}"/>
    <cellStyle name="Comma 2 2 2 2 2 2 2 2 2 2 2 2 2 2 2 8 6" xfId="7142" xr:uid="{00000000-0005-0000-0000-0000E31B0000}"/>
    <cellStyle name="Comma 2 2 2 2 2 2 2 2 2 2 2 2 2 2 2 8 7" xfId="7143" xr:uid="{00000000-0005-0000-0000-0000E41B0000}"/>
    <cellStyle name="Comma 2 2 2 2 2 2 2 2 2 2 2 2 2 2 2 9" xfId="7144" xr:uid="{00000000-0005-0000-0000-0000E51B0000}"/>
    <cellStyle name="Comma 2 2 2 2 2 2 2 2 2 2 2 2 2 2 2 9 2" xfId="7145" xr:uid="{00000000-0005-0000-0000-0000E61B0000}"/>
    <cellStyle name="Comma 2 2 2 2 2 2 2 2 2 2 2 2 2 2 2 9 2 10" xfId="7146" xr:uid="{00000000-0005-0000-0000-0000E71B0000}"/>
    <cellStyle name="Comma 2 2 2 2 2 2 2 2 2 2 2 2 2 2 2 9 2 11" xfId="7147" xr:uid="{00000000-0005-0000-0000-0000E81B0000}"/>
    <cellStyle name="Comma 2 2 2 2 2 2 2 2 2 2 2 2 2 2 2 9 2 12" xfId="7148" xr:uid="{00000000-0005-0000-0000-0000E91B0000}"/>
    <cellStyle name="Comma 2 2 2 2 2 2 2 2 2 2 2 2 2 2 2 9 2 2" xfId="7149" xr:uid="{00000000-0005-0000-0000-0000EA1B0000}"/>
    <cellStyle name="Comma 2 2 2 2 2 2 2 2 2 2 2 2 2 2 2 9 2 2 2" xfId="7150" xr:uid="{00000000-0005-0000-0000-0000EB1B0000}"/>
    <cellStyle name="Comma 2 2 2 2 2 2 2 2 2 2 2 2 2 2 2 9 2 2 3" xfId="7151" xr:uid="{00000000-0005-0000-0000-0000EC1B0000}"/>
    <cellStyle name="Comma 2 2 2 2 2 2 2 2 2 2 2 2 2 2 2 9 2 2 4" xfId="7152" xr:uid="{00000000-0005-0000-0000-0000ED1B0000}"/>
    <cellStyle name="Comma 2 2 2 2 2 2 2 2 2 2 2 2 2 2 2 9 2 3" xfId="7153" xr:uid="{00000000-0005-0000-0000-0000EE1B0000}"/>
    <cellStyle name="Comma 2 2 2 2 2 2 2 2 2 2 2 2 2 2 2 9 2 3 2" xfId="7154" xr:uid="{00000000-0005-0000-0000-0000EF1B0000}"/>
    <cellStyle name="Comma 2 2 2 2 2 2 2 2 2 2 2 2 2 2 2 9 2 4" xfId="7155" xr:uid="{00000000-0005-0000-0000-0000F01B0000}"/>
    <cellStyle name="Comma 2 2 2 2 2 2 2 2 2 2 2 2 2 2 2 9 2 5" xfId="7156" xr:uid="{00000000-0005-0000-0000-0000F11B0000}"/>
    <cellStyle name="Comma 2 2 2 2 2 2 2 2 2 2 2 2 2 2 2 9 2 6" xfId="7157" xr:uid="{00000000-0005-0000-0000-0000F21B0000}"/>
    <cellStyle name="Comma 2 2 2 2 2 2 2 2 2 2 2 2 2 2 2 9 2 6 2" xfId="7158" xr:uid="{00000000-0005-0000-0000-0000F31B0000}"/>
    <cellStyle name="Comma 2 2 2 2 2 2 2 2 2 2 2 2 2 2 2 9 2 7" xfId="7159" xr:uid="{00000000-0005-0000-0000-0000F41B0000}"/>
    <cellStyle name="Comma 2 2 2 2 2 2 2 2 2 2 2 2 2 2 2 9 2 8" xfId="7160" xr:uid="{00000000-0005-0000-0000-0000F51B0000}"/>
    <cellStyle name="Comma 2 2 2 2 2 2 2 2 2 2 2 2 2 2 2 9 2 9" xfId="7161" xr:uid="{00000000-0005-0000-0000-0000F61B0000}"/>
    <cellStyle name="Comma 2 2 2 2 2 2 2 2 2 2 2 2 2 2 2 9 3" xfId="7162" xr:uid="{00000000-0005-0000-0000-0000F71B0000}"/>
    <cellStyle name="Comma 2 2 2 2 2 2 2 2 2 2 2 2 2 2 2 9 3 2" xfId="7163" xr:uid="{00000000-0005-0000-0000-0000F81B0000}"/>
    <cellStyle name="Comma 2 2 2 2 2 2 2 2 2 2 2 2 2 2 2 9 3 3" xfId="7164" xr:uid="{00000000-0005-0000-0000-0000F91B0000}"/>
    <cellStyle name="Comma 2 2 2 2 2 2 2 2 2 2 2 2 2 2 2 9 3 4" xfId="7165" xr:uid="{00000000-0005-0000-0000-0000FA1B0000}"/>
    <cellStyle name="Comma 2 2 2 2 2 2 2 2 2 2 2 2 2 2 2 9 3 5" xfId="7166" xr:uid="{00000000-0005-0000-0000-0000FB1B0000}"/>
    <cellStyle name="Comma 2 2 2 2 2 2 2 2 2 2 2 2 2 2 2 9 3 6" xfId="7167" xr:uid="{00000000-0005-0000-0000-0000FC1B0000}"/>
    <cellStyle name="Comma 2 2 2 2 2 2 2 2 2 2 2 2 2 2 2 9 3 7" xfId="7168" xr:uid="{00000000-0005-0000-0000-0000FD1B0000}"/>
    <cellStyle name="Comma 2 2 2 2 2 2 2 2 2 2 2 2 2 2 2 9 3 8" xfId="7169" xr:uid="{00000000-0005-0000-0000-0000FE1B0000}"/>
    <cellStyle name="Comma 2 2 2 2 2 2 2 2 2 2 2 2 2 2 20" xfId="7170" xr:uid="{00000000-0005-0000-0000-0000FF1B0000}"/>
    <cellStyle name="Comma 2 2 2 2 2 2 2 2 2 2 2 2 2 2 3" xfId="7171" xr:uid="{00000000-0005-0000-0000-0000001C0000}"/>
    <cellStyle name="Comma 2 2 2 2 2 2 2 2 2 2 2 2 2 2 3 10" xfId="7172" xr:uid="{00000000-0005-0000-0000-0000011C0000}"/>
    <cellStyle name="Comma 2 2 2 2 2 2 2 2 2 2 2 2 2 2 3 10 2" xfId="7173" xr:uid="{00000000-0005-0000-0000-0000021C0000}"/>
    <cellStyle name="Comma 2 2 2 2 2 2 2 2 2 2 2 2 2 2 3 10 3" xfId="7174" xr:uid="{00000000-0005-0000-0000-0000031C0000}"/>
    <cellStyle name="Comma 2 2 2 2 2 2 2 2 2 2 2 2 2 2 3 10 4" xfId="7175" xr:uid="{00000000-0005-0000-0000-0000041C0000}"/>
    <cellStyle name="Comma 2 2 2 2 2 2 2 2 2 2 2 2 2 2 3 10 5" xfId="7176" xr:uid="{00000000-0005-0000-0000-0000051C0000}"/>
    <cellStyle name="Comma 2 2 2 2 2 2 2 2 2 2 2 2 2 2 3 10 6" xfId="7177" xr:uid="{00000000-0005-0000-0000-0000061C0000}"/>
    <cellStyle name="Comma 2 2 2 2 2 2 2 2 2 2 2 2 2 2 3 10 7" xfId="7178" xr:uid="{00000000-0005-0000-0000-0000071C0000}"/>
    <cellStyle name="Comma 2 2 2 2 2 2 2 2 2 2 2 2 2 2 3 10 8" xfId="7179" xr:uid="{00000000-0005-0000-0000-0000081C0000}"/>
    <cellStyle name="Comma 2 2 2 2 2 2 2 2 2 2 2 2 2 2 3 11" xfId="7180" xr:uid="{00000000-0005-0000-0000-0000091C0000}"/>
    <cellStyle name="Comma 2 2 2 2 2 2 2 2 2 2 2 2 2 2 3 11 2" xfId="7181" xr:uid="{00000000-0005-0000-0000-00000A1C0000}"/>
    <cellStyle name="Comma 2 2 2 2 2 2 2 2 2 2 2 2 2 2 3 11 3" xfId="7182" xr:uid="{00000000-0005-0000-0000-00000B1C0000}"/>
    <cellStyle name="Comma 2 2 2 2 2 2 2 2 2 2 2 2 2 2 3 11 4" xfId="7183" xr:uid="{00000000-0005-0000-0000-00000C1C0000}"/>
    <cellStyle name="Comma 2 2 2 2 2 2 2 2 2 2 2 2 2 2 3 11 5" xfId="7184" xr:uid="{00000000-0005-0000-0000-00000D1C0000}"/>
    <cellStyle name="Comma 2 2 2 2 2 2 2 2 2 2 2 2 2 2 3 11 6" xfId="7185" xr:uid="{00000000-0005-0000-0000-00000E1C0000}"/>
    <cellStyle name="Comma 2 2 2 2 2 2 2 2 2 2 2 2 2 2 3 11 7" xfId="7186" xr:uid="{00000000-0005-0000-0000-00000F1C0000}"/>
    <cellStyle name="Comma 2 2 2 2 2 2 2 2 2 2 2 2 2 2 3 11 8" xfId="7187" xr:uid="{00000000-0005-0000-0000-0000101C0000}"/>
    <cellStyle name="Comma 2 2 2 2 2 2 2 2 2 2 2 2 2 2 3 12" xfId="7188" xr:uid="{00000000-0005-0000-0000-0000111C0000}"/>
    <cellStyle name="Comma 2 2 2 2 2 2 2 2 2 2 2 2 2 2 3 12 2" xfId="7189" xr:uid="{00000000-0005-0000-0000-0000121C0000}"/>
    <cellStyle name="Comma 2 2 2 2 2 2 2 2 2 2 2 2 2 2 3 12 3" xfId="7190" xr:uid="{00000000-0005-0000-0000-0000131C0000}"/>
    <cellStyle name="Comma 2 2 2 2 2 2 2 2 2 2 2 2 2 2 3 12 4" xfId="7191" xr:uid="{00000000-0005-0000-0000-0000141C0000}"/>
    <cellStyle name="Comma 2 2 2 2 2 2 2 2 2 2 2 2 2 2 3 12 5" xfId="7192" xr:uid="{00000000-0005-0000-0000-0000151C0000}"/>
    <cellStyle name="Comma 2 2 2 2 2 2 2 2 2 2 2 2 2 2 3 12 6" xfId="7193" xr:uid="{00000000-0005-0000-0000-0000161C0000}"/>
    <cellStyle name="Comma 2 2 2 2 2 2 2 2 2 2 2 2 2 2 3 12 7" xfId="7194" xr:uid="{00000000-0005-0000-0000-0000171C0000}"/>
    <cellStyle name="Comma 2 2 2 2 2 2 2 2 2 2 2 2 2 2 3 12 8" xfId="7195" xr:uid="{00000000-0005-0000-0000-0000181C0000}"/>
    <cellStyle name="Comma 2 2 2 2 2 2 2 2 2 2 2 2 2 2 3 13" xfId="7196" xr:uid="{00000000-0005-0000-0000-0000191C0000}"/>
    <cellStyle name="Comma 2 2 2 2 2 2 2 2 2 2 2 2 2 2 3 13 2" xfId="7197" xr:uid="{00000000-0005-0000-0000-00001A1C0000}"/>
    <cellStyle name="Comma 2 2 2 2 2 2 2 2 2 2 2 2 2 2 3 13 3" xfId="7198" xr:uid="{00000000-0005-0000-0000-00001B1C0000}"/>
    <cellStyle name="Comma 2 2 2 2 2 2 2 2 2 2 2 2 2 2 3 13 4" xfId="7199" xr:uid="{00000000-0005-0000-0000-00001C1C0000}"/>
    <cellStyle name="Comma 2 2 2 2 2 2 2 2 2 2 2 2 2 2 3 13 5" xfId="7200" xr:uid="{00000000-0005-0000-0000-00001D1C0000}"/>
    <cellStyle name="Comma 2 2 2 2 2 2 2 2 2 2 2 2 2 2 3 13 6" xfId="7201" xr:uid="{00000000-0005-0000-0000-00001E1C0000}"/>
    <cellStyle name="Comma 2 2 2 2 2 2 2 2 2 2 2 2 2 2 3 13 7" xfId="7202" xr:uid="{00000000-0005-0000-0000-00001F1C0000}"/>
    <cellStyle name="Comma 2 2 2 2 2 2 2 2 2 2 2 2 2 2 3 13 8" xfId="7203" xr:uid="{00000000-0005-0000-0000-0000201C0000}"/>
    <cellStyle name="Comma 2 2 2 2 2 2 2 2 2 2 2 2 2 2 3 14" xfId="7204" xr:uid="{00000000-0005-0000-0000-0000211C0000}"/>
    <cellStyle name="Comma 2 2 2 2 2 2 2 2 2 2 2 2 2 2 3 14 2" xfId="7205" xr:uid="{00000000-0005-0000-0000-0000221C0000}"/>
    <cellStyle name="Comma 2 2 2 2 2 2 2 2 2 2 2 2 2 2 3 14 3" xfId="7206" xr:uid="{00000000-0005-0000-0000-0000231C0000}"/>
    <cellStyle name="Comma 2 2 2 2 2 2 2 2 2 2 2 2 2 2 3 15" xfId="7207" xr:uid="{00000000-0005-0000-0000-0000241C0000}"/>
    <cellStyle name="Comma 2 2 2 2 2 2 2 2 2 2 2 2 2 2 3 16" xfId="7208" xr:uid="{00000000-0005-0000-0000-0000251C0000}"/>
    <cellStyle name="Comma 2 2 2 2 2 2 2 2 2 2 2 2 2 2 3 16 2" xfId="7209" xr:uid="{00000000-0005-0000-0000-0000261C0000}"/>
    <cellStyle name="Comma 2 2 2 2 2 2 2 2 2 2 2 2 2 2 3 17" xfId="7210" xr:uid="{00000000-0005-0000-0000-0000271C0000}"/>
    <cellStyle name="Comma 2 2 2 2 2 2 2 2 2 2 2 2 2 2 3 17 2" xfId="7211" xr:uid="{00000000-0005-0000-0000-0000281C0000}"/>
    <cellStyle name="Comma 2 2 2 2 2 2 2 2 2 2 2 2 2 2 3 18" xfId="7212" xr:uid="{00000000-0005-0000-0000-0000291C0000}"/>
    <cellStyle name="Comma 2 2 2 2 2 2 2 2 2 2 2 2 2 2 3 19" xfId="7213" xr:uid="{00000000-0005-0000-0000-00002A1C0000}"/>
    <cellStyle name="Comma 2 2 2 2 2 2 2 2 2 2 2 2 2 2 3 2" xfId="7214" xr:uid="{00000000-0005-0000-0000-00002B1C0000}"/>
    <cellStyle name="Comma 2 2 2 2 2 2 2 2 2 2 2 2 2 2 3 2 2" xfId="7215" xr:uid="{00000000-0005-0000-0000-00002C1C0000}"/>
    <cellStyle name="Comma 2 2 2 2 2 2 2 2 2 2 2 2 2 2 3 2 3" xfId="7216" xr:uid="{00000000-0005-0000-0000-00002D1C0000}"/>
    <cellStyle name="Comma 2 2 2 2 2 2 2 2 2 2 2 2 2 2 3 2 4" xfId="7217" xr:uid="{00000000-0005-0000-0000-00002E1C0000}"/>
    <cellStyle name="Comma 2 2 2 2 2 2 2 2 2 2 2 2 2 2 3 2 5" xfId="7218" xr:uid="{00000000-0005-0000-0000-00002F1C0000}"/>
    <cellStyle name="Comma 2 2 2 2 2 2 2 2 2 2 2 2 2 2 3 20" xfId="7219" xr:uid="{00000000-0005-0000-0000-0000301C0000}"/>
    <cellStyle name="Comma 2 2 2 2 2 2 2 2 2 2 2 2 2 2 3 21" xfId="7220" xr:uid="{00000000-0005-0000-0000-0000311C0000}"/>
    <cellStyle name="Comma 2 2 2 2 2 2 2 2 2 2 2 2 2 2 3 22" xfId="7221" xr:uid="{00000000-0005-0000-0000-0000321C0000}"/>
    <cellStyle name="Comma 2 2 2 2 2 2 2 2 2 2 2 2 2 2 3 23" xfId="7222" xr:uid="{00000000-0005-0000-0000-0000331C0000}"/>
    <cellStyle name="Comma 2 2 2 2 2 2 2 2 2 2 2 2 2 2 3 24" xfId="7223" xr:uid="{00000000-0005-0000-0000-0000341C0000}"/>
    <cellStyle name="Comma 2 2 2 2 2 2 2 2 2 2 2 2 2 2 3 25" xfId="7224" xr:uid="{00000000-0005-0000-0000-0000351C0000}"/>
    <cellStyle name="Comma 2 2 2 2 2 2 2 2 2 2 2 2 2 2 3 3" xfId="7225" xr:uid="{00000000-0005-0000-0000-0000361C0000}"/>
    <cellStyle name="Comma 2 2 2 2 2 2 2 2 2 2 2 2 2 2 3 3 2" xfId="7226" xr:uid="{00000000-0005-0000-0000-0000371C0000}"/>
    <cellStyle name="Comma 2 2 2 2 2 2 2 2 2 2 2 2 2 2 3 3 3" xfId="7227" xr:uid="{00000000-0005-0000-0000-0000381C0000}"/>
    <cellStyle name="Comma 2 2 2 2 2 2 2 2 2 2 2 2 2 2 3 4" xfId="7228" xr:uid="{00000000-0005-0000-0000-0000391C0000}"/>
    <cellStyle name="Comma 2 2 2 2 2 2 2 2 2 2 2 2 2 2 3 4 2" xfId="7229" xr:uid="{00000000-0005-0000-0000-00003A1C0000}"/>
    <cellStyle name="Comma 2 2 2 2 2 2 2 2 2 2 2 2 2 2 3 5" xfId="7230" xr:uid="{00000000-0005-0000-0000-00003B1C0000}"/>
    <cellStyle name="Comma 2 2 2 2 2 2 2 2 2 2 2 2 2 2 3 5 2" xfId="7231" xr:uid="{00000000-0005-0000-0000-00003C1C0000}"/>
    <cellStyle name="Comma 2 2 2 2 2 2 2 2 2 2 2 2 2 2 3 5 3" xfId="7232" xr:uid="{00000000-0005-0000-0000-00003D1C0000}"/>
    <cellStyle name="Comma 2 2 2 2 2 2 2 2 2 2 2 2 2 2 3 5 4" xfId="7233" xr:uid="{00000000-0005-0000-0000-00003E1C0000}"/>
    <cellStyle name="Comma 2 2 2 2 2 2 2 2 2 2 2 2 2 2 3 5 5" xfId="7234" xr:uid="{00000000-0005-0000-0000-00003F1C0000}"/>
    <cellStyle name="Comma 2 2 2 2 2 2 2 2 2 2 2 2 2 2 3 5 6" xfId="7235" xr:uid="{00000000-0005-0000-0000-0000401C0000}"/>
    <cellStyle name="Comma 2 2 2 2 2 2 2 2 2 2 2 2 2 2 3 5 7" xfId="7236" xr:uid="{00000000-0005-0000-0000-0000411C0000}"/>
    <cellStyle name="Comma 2 2 2 2 2 2 2 2 2 2 2 2 2 2 3 5 8" xfId="7237" xr:uid="{00000000-0005-0000-0000-0000421C0000}"/>
    <cellStyle name="Comma 2 2 2 2 2 2 2 2 2 2 2 2 2 2 3 6" xfId="7238" xr:uid="{00000000-0005-0000-0000-0000431C0000}"/>
    <cellStyle name="Comma 2 2 2 2 2 2 2 2 2 2 2 2 2 2 3 6 2" xfId="7239" xr:uid="{00000000-0005-0000-0000-0000441C0000}"/>
    <cellStyle name="Comma 2 2 2 2 2 2 2 2 2 2 2 2 2 2 3 7" xfId="7240" xr:uid="{00000000-0005-0000-0000-0000451C0000}"/>
    <cellStyle name="Comma 2 2 2 2 2 2 2 2 2 2 2 2 2 2 3 7 2" xfId="7241" xr:uid="{00000000-0005-0000-0000-0000461C0000}"/>
    <cellStyle name="Comma 2 2 2 2 2 2 2 2 2 2 2 2 2 2 3 7 3" xfId="7242" xr:uid="{00000000-0005-0000-0000-0000471C0000}"/>
    <cellStyle name="Comma 2 2 2 2 2 2 2 2 2 2 2 2 2 2 3 7 4" xfId="7243" xr:uid="{00000000-0005-0000-0000-0000481C0000}"/>
    <cellStyle name="Comma 2 2 2 2 2 2 2 2 2 2 2 2 2 2 3 7 5" xfId="7244" xr:uid="{00000000-0005-0000-0000-0000491C0000}"/>
    <cellStyle name="Comma 2 2 2 2 2 2 2 2 2 2 2 2 2 2 3 7 6" xfId="7245" xr:uid="{00000000-0005-0000-0000-00004A1C0000}"/>
    <cellStyle name="Comma 2 2 2 2 2 2 2 2 2 2 2 2 2 2 3 7 7" xfId="7246" xr:uid="{00000000-0005-0000-0000-00004B1C0000}"/>
    <cellStyle name="Comma 2 2 2 2 2 2 2 2 2 2 2 2 2 2 3 7 8" xfId="7247" xr:uid="{00000000-0005-0000-0000-00004C1C0000}"/>
    <cellStyle name="Comma 2 2 2 2 2 2 2 2 2 2 2 2 2 2 3 8" xfId="7248" xr:uid="{00000000-0005-0000-0000-00004D1C0000}"/>
    <cellStyle name="Comma 2 2 2 2 2 2 2 2 2 2 2 2 2 2 3 8 2" xfId="7249" xr:uid="{00000000-0005-0000-0000-00004E1C0000}"/>
    <cellStyle name="Comma 2 2 2 2 2 2 2 2 2 2 2 2 2 2 3 8 3" xfId="7250" xr:uid="{00000000-0005-0000-0000-00004F1C0000}"/>
    <cellStyle name="Comma 2 2 2 2 2 2 2 2 2 2 2 2 2 2 3 8 4" xfId="7251" xr:uid="{00000000-0005-0000-0000-0000501C0000}"/>
    <cellStyle name="Comma 2 2 2 2 2 2 2 2 2 2 2 2 2 2 3 8 5" xfId="7252" xr:uid="{00000000-0005-0000-0000-0000511C0000}"/>
    <cellStyle name="Comma 2 2 2 2 2 2 2 2 2 2 2 2 2 2 3 8 6" xfId="7253" xr:uid="{00000000-0005-0000-0000-0000521C0000}"/>
    <cellStyle name="Comma 2 2 2 2 2 2 2 2 2 2 2 2 2 2 3 8 7" xfId="7254" xr:uid="{00000000-0005-0000-0000-0000531C0000}"/>
    <cellStyle name="Comma 2 2 2 2 2 2 2 2 2 2 2 2 2 2 3 8 8" xfId="7255" xr:uid="{00000000-0005-0000-0000-0000541C0000}"/>
    <cellStyle name="Comma 2 2 2 2 2 2 2 2 2 2 2 2 2 2 3 9" xfId="7256" xr:uid="{00000000-0005-0000-0000-0000551C0000}"/>
    <cellStyle name="Comma 2 2 2 2 2 2 2 2 2 2 2 2 2 2 3 9 2" xfId="7257" xr:uid="{00000000-0005-0000-0000-0000561C0000}"/>
    <cellStyle name="Comma 2 2 2 2 2 2 2 2 2 2 2 2 2 2 3 9 3" xfId="7258" xr:uid="{00000000-0005-0000-0000-0000571C0000}"/>
    <cellStyle name="Comma 2 2 2 2 2 2 2 2 2 2 2 2 2 2 3 9 4" xfId="7259" xr:uid="{00000000-0005-0000-0000-0000581C0000}"/>
    <cellStyle name="Comma 2 2 2 2 2 2 2 2 2 2 2 2 2 2 3 9 5" xfId="7260" xr:uid="{00000000-0005-0000-0000-0000591C0000}"/>
    <cellStyle name="Comma 2 2 2 2 2 2 2 2 2 2 2 2 2 2 3 9 6" xfId="7261" xr:uid="{00000000-0005-0000-0000-00005A1C0000}"/>
    <cellStyle name="Comma 2 2 2 2 2 2 2 2 2 2 2 2 2 2 3 9 7" xfId="7262" xr:uid="{00000000-0005-0000-0000-00005B1C0000}"/>
    <cellStyle name="Comma 2 2 2 2 2 2 2 2 2 2 2 2 2 2 3 9 8" xfId="7263" xr:uid="{00000000-0005-0000-0000-00005C1C0000}"/>
    <cellStyle name="Comma 2 2 2 2 2 2 2 2 2 2 2 2 2 2 4" xfId="7264" xr:uid="{00000000-0005-0000-0000-00005D1C0000}"/>
    <cellStyle name="Comma 2 2 2 2 2 2 2 2 2 2 2 2 2 2 4 10" xfId="7265" xr:uid="{00000000-0005-0000-0000-00005E1C0000}"/>
    <cellStyle name="Comma 2 2 2 2 2 2 2 2 2 2 2 2 2 2 4 10 2" xfId="7266" xr:uid="{00000000-0005-0000-0000-00005F1C0000}"/>
    <cellStyle name="Comma 2 2 2 2 2 2 2 2 2 2 2 2 2 2 4 10 3" xfId="7267" xr:uid="{00000000-0005-0000-0000-0000601C0000}"/>
    <cellStyle name="Comma 2 2 2 2 2 2 2 2 2 2 2 2 2 2 4 10 4" xfId="7268" xr:uid="{00000000-0005-0000-0000-0000611C0000}"/>
    <cellStyle name="Comma 2 2 2 2 2 2 2 2 2 2 2 2 2 2 4 10 5" xfId="7269" xr:uid="{00000000-0005-0000-0000-0000621C0000}"/>
    <cellStyle name="Comma 2 2 2 2 2 2 2 2 2 2 2 2 2 2 4 10 6" xfId="7270" xr:uid="{00000000-0005-0000-0000-0000631C0000}"/>
    <cellStyle name="Comma 2 2 2 2 2 2 2 2 2 2 2 2 2 2 4 10 7" xfId="7271" xr:uid="{00000000-0005-0000-0000-0000641C0000}"/>
    <cellStyle name="Comma 2 2 2 2 2 2 2 2 2 2 2 2 2 2 4 10 8" xfId="7272" xr:uid="{00000000-0005-0000-0000-0000651C0000}"/>
    <cellStyle name="Comma 2 2 2 2 2 2 2 2 2 2 2 2 2 2 4 11" xfId="7273" xr:uid="{00000000-0005-0000-0000-0000661C0000}"/>
    <cellStyle name="Comma 2 2 2 2 2 2 2 2 2 2 2 2 2 2 4 11 2" xfId="7274" xr:uid="{00000000-0005-0000-0000-0000671C0000}"/>
    <cellStyle name="Comma 2 2 2 2 2 2 2 2 2 2 2 2 2 2 4 11 3" xfId="7275" xr:uid="{00000000-0005-0000-0000-0000681C0000}"/>
    <cellStyle name="Comma 2 2 2 2 2 2 2 2 2 2 2 2 2 2 4 11 4" xfId="7276" xr:uid="{00000000-0005-0000-0000-0000691C0000}"/>
    <cellStyle name="Comma 2 2 2 2 2 2 2 2 2 2 2 2 2 2 4 11 5" xfId="7277" xr:uid="{00000000-0005-0000-0000-00006A1C0000}"/>
    <cellStyle name="Comma 2 2 2 2 2 2 2 2 2 2 2 2 2 2 4 11 6" xfId="7278" xr:uid="{00000000-0005-0000-0000-00006B1C0000}"/>
    <cellStyle name="Comma 2 2 2 2 2 2 2 2 2 2 2 2 2 2 4 11 7" xfId="7279" xr:uid="{00000000-0005-0000-0000-00006C1C0000}"/>
    <cellStyle name="Comma 2 2 2 2 2 2 2 2 2 2 2 2 2 2 4 11 8" xfId="7280" xr:uid="{00000000-0005-0000-0000-00006D1C0000}"/>
    <cellStyle name="Comma 2 2 2 2 2 2 2 2 2 2 2 2 2 2 4 12" xfId="7281" xr:uid="{00000000-0005-0000-0000-00006E1C0000}"/>
    <cellStyle name="Comma 2 2 2 2 2 2 2 2 2 2 2 2 2 2 4 12 2" xfId="7282" xr:uid="{00000000-0005-0000-0000-00006F1C0000}"/>
    <cellStyle name="Comma 2 2 2 2 2 2 2 2 2 2 2 2 2 2 4 12 3" xfId="7283" xr:uid="{00000000-0005-0000-0000-0000701C0000}"/>
    <cellStyle name="Comma 2 2 2 2 2 2 2 2 2 2 2 2 2 2 4 12 4" xfId="7284" xr:uid="{00000000-0005-0000-0000-0000711C0000}"/>
    <cellStyle name="Comma 2 2 2 2 2 2 2 2 2 2 2 2 2 2 4 12 5" xfId="7285" xr:uid="{00000000-0005-0000-0000-0000721C0000}"/>
    <cellStyle name="Comma 2 2 2 2 2 2 2 2 2 2 2 2 2 2 4 12 6" xfId="7286" xr:uid="{00000000-0005-0000-0000-0000731C0000}"/>
    <cellStyle name="Comma 2 2 2 2 2 2 2 2 2 2 2 2 2 2 4 12 7" xfId="7287" xr:uid="{00000000-0005-0000-0000-0000741C0000}"/>
    <cellStyle name="Comma 2 2 2 2 2 2 2 2 2 2 2 2 2 2 4 12 8" xfId="7288" xr:uid="{00000000-0005-0000-0000-0000751C0000}"/>
    <cellStyle name="Comma 2 2 2 2 2 2 2 2 2 2 2 2 2 2 4 13" xfId="7289" xr:uid="{00000000-0005-0000-0000-0000761C0000}"/>
    <cellStyle name="Comma 2 2 2 2 2 2 2 2 2 2 2 2 2 2 4 13 2" xfId="7290" xr:uid="{00000000-0005-0000-0000-0000771C0000}"/>
    <cellStyle name="Comma 2 2 2 2 2 2 2 2 2 2 2 2 2 2 4 13 3" xfId="7291" xr:uid="{00000000-0005-0000-0000-0000781C0000}"/>
    <cellStyle name="Comma 2 2 2 2 2 2 2 2 2 2 2 2 2 2 4 13 4" xfId="7292" xr:uid="{00000000-0005-0000-0000-0000791C0000}"/>
    <cellStyle name="Comma 2 2 2 2 2 2 2 2 2 2 2 2 2 2 4 13 5" xfId="7293" xr:uid="{00000000-0005-0000-0000-00007A1C0000}"/>
    <cellStyle name="Comma 2 2 2 2 2 2 2 2 2 2 2 2 2 2 4 13 6" xfId="7294" xr:uid="{00000000-0005-0000-0000-00007B1C0000}"/>
    <cellStyle name="Comma 2 2 2 2 2 2 2 2 2 2 2 2 2 2 4 13 7" xfId="7295" xr:uid="{00000000-0005-0000-0000-00007C1C0000}"/>
    <cellStyle name="Comma 2 2 2 2 2 2 2 2 2 2 2 2 2 2 4 13 8" xfId="7296" xr:uid="{00000000-0005-0000-0000-00007D1C0000}"/>
    <cellStyle name="Comma 2 2 2 2 2 2 2 2 2 2 2 2 2 2 4 14" xfId="7297" xr:uid="{00000000-0005-0000-0000-00007E1C0000}"/>
    <cellStyle name="Comma 2 2 2 2 2 2 2 2 2 2 2 2 2 2 4 14 2" xfId="7298" xr:uid="{00000000-0005-0000-0000-00007F1C0000}"/>
    <cellStyle name="Comma 2 2 2 2 2 2 2 2 2 2 2 2 2 2 4 14 3" xfId="7299" xr:uid="{00000000-0005-0000-0000-0000801C0000}"/>
    <cellStyle name="Comma 2 2 2 2 2 2 2 2 2 2 2 2 2 2 4 15" xfId="7300" xr:uid="{00000000-0005-0000-0000-0000811C0000}"/>
    <cellStyle name="Comma 2 2 2 2 2 2 2 2 2 2 2 2 2 2 4 16" xfId="7301" xr:uid="{00000000-0005-0000-0000-0000821C0000}"/>
    <cellStyle name="Comma 2 2 2 2 2 2 2 2 2 2 2 2 2 2 4 16 2" xfId="7302" xr:uid="{00000000-0005-0000-0000-0000831C0000}"/>
    <cellStyle name="Comma 2 2 2 2 2 2 2 2 2 2 2 2 2 2 4 17" xfId="7303" xr:uid="{00000000-0005-0000-0000-0000841C0000}"/>
    <cellStyle name="Comma 2 2 2 2 2 2 2 2 2 2 2 2 2 2 4 17 2" xfId="7304" xr:uid="{00000000-0005-0000-0000-0000851C0000}"/>
    <cellStyle name="Comma 2 2 2 2 2 2 2 2 2 2 2 2 2 2 4 18" xfId="7305" xr:uid="{00000000-0005-0000-0000-0000861C0000}"/>
    <cellStyle name="Comma 2 2 2 2 2 2 2 2 2 2 2 2 2 2 4 19" xfId="7306" xr:uid="{00000000-0005-0000-0000-0000871C0000}"/>
    <cellStyle name="Comma 2 2 2 2 2 2 2 2 2 2 2 2 2 2 4 2" xfId="7307" xr:uid="{00000000-0005-0000-0000-0000881C0000}"/>
    <cellStyle name="Comma 2 2 2 2 2 2 2 2 2 2 2 2 2 2 4 2 2" xfId="7308" xr:uid="{00000000-0005-0000-0000-0000891C0000}"/>
    <cellStyle name="Comma 2 2 2 2 2 2 2 2 2 2 2 2 2 2 4 2 3" xfId="7309" xr:uid="{00000000-0005-0000-0000-00008A1C0000}"/>
    <cellStyle name="Comma 2 2 2 2 2 2 2 2 2 2 2 2 2 2 4 2 4" xfId="7310" xr:uid="{00000000-0005-0000-0000-00008B1C0000}"/>
    <cellStyle name="Comma 2 2 2 2 2 2 2 2 2 2 2 2 2 2 4 2 5" xfId="7311" xr:uid="{00000000-0005-0000-0000-00008C1C0000}"/>
    <cellStyle name="Comma 2 2 2 2 2 2 2 2 2 2 2 2 2 2 4 20" xfId="7312" xr:uid="{00000000-0005-0000-0000-00008D1C0000}"/>
    <cellStyle name="Comma 2 2 2 2 2 2 2 2 2 2 2 2 2 2 4 21" xfId="7313" xr:uid="{00000000-0005-0000-0000-00008E1C0000}"/>
    <cellStyle name="Comma 2 2 2 2 2 2 2 2 2 2 2 2 2 2 4 22" xfId="7314" xr:uid="{00000000-0005-0000-0000-00008F1C0000}"/>
    <cellStyle name="Comma 2 2 2 2 2 2 2 2 2 2 2 2 2 2 4 23" xfId="7315" xr:uid="{00000000-0005-0000-0000-0000901C0000}"/>
    <cellStyle name="Comma 2 2 2 2 2 2 2 2 2 2 2 2 2 2 4 24" xfId="7316" xr:uid="{00000000-0005-0000-0000-0000911C0000}"/>
    <cellStyle name="Comma 2 2 2 2 2 2 2 2 2 2 2 2 2 2 4 25" xfId="7317" xr:uid="{00000000-0005-0000-0000-0000921C0000}"/>
    <cellStyle name="Comma 2 2 2 2 2 2 2 2 2 2 2 2 2 2 4 3" xfId="7318" xr:uid="{00000000-0005-0000-0000-0000931C0000}"/>
    <cellStyle name="Comma 2 2 2 2 2 2 2 2 2 2 2 2 2 2 4 3 2" xfId="7319" xr:uid="{00000000-0005-0000-0000-0000941C0000}"/>
    <cellStyle name="Comma 2 2 2 2 2 2 2 2 2 2 2 2 2 2 4 3 3" xfId="7320" xr:uid="{00000000-0005-0000-0000-0000951C0000}"/>
    <cellStyle name="Comma 2 2 2 2 2 2 2 2 2 2 2 2 2 2 4 4" xfId="7321" xr:uid="{00000000-0005-0000-0000-0000961C0000}"/>
    <cellStyle name="Comma 2 2 2 2 2 2 2 2 2 2 2 2 2 2 4 4 2" xfId="7322" xr:uid="{00000000-0005-0000-0000-0000971C0000}"/>
    <cellStyle name="Comma 2 2 2 2 2 2 2 2 2 2 2 2 2 2 4 5" xfId="7323" xr:uid="{00000000-0005-0000-0000-0000981C0000}"/>
    <cellStyle name="Comma 2 2 2 2 2 2 2 2 2 2 2 2 2 2 4 5 2" xfId="7324" xr:uid="{00000000-0005-0000-0000-0000991C0000}"/>
    <cellStyle name="Comma 2 2 2 2 2 2 2 2 2 2 2 2 2 2 4 5 3" xfId="7325" xr:uid="{00000000-0005-0000-0000-00009A1C0000}"/>
    <cellStyle name="Comma 2 2 2 2 2 2 2 2 2 2 2 2 2 2 4 5 4" xfId="7326" xr:uid="{00000000-0005-0000-0000-00009B1C0000}"/>
    <cellStyle name="Comma 2 2 2 2 2 2 2 2 2 2 2 2 2 2 4 5 5" xfId="7327" xr:uid="{00000000-0005-0000-0000-00009C1C0000}"/>
    <cellStyle name="Comma 2 2 2 2 2 2 2 2 2 2 2 2 2 2 4 5 6" xfId="7328" xr:uid="{00000000-0005-0000-0000-00009D1C0000}"/>
    <cellStyle name="Comma 2 2 2 2 2 2 2 2 2 2 2 2 2 2 4 5 7" xfId="7329" xr:uid="{00000000-0005-0000-0000-00009E1C0000}"/>
    <cellStyle name="Comma 2 2 2 2 2 2 2 2 2 2 2 2 2 2 4 5 8" xfId="7330" xr:uid="{00000000-0005-0000-0000-00009F1C0000}"/>
    <cellStyle name="Comma 2 2 2 2 2 2 2 2 2 2 2 2 2 2 4 6" xfId="7331" xr:uid="{00000000-0005-0000-0000-0000A01C0000}"/>
    <cellStyle name="Comma 2 2 2 2 2 2 2 2 2 2 2 2 2 2 4 6 2" xfId="7332" xr:uid="{00000000-0005-0000-0000-0000A11C0000}"/>
    <cellStyle name="Comma 2 2 2 2 2 2 2 2 2 2 2 2 2 2 4 7" xfId="7333" xr:uid="{00000000-0005-0000-0000-0000A21C0000}"/>
    <cellStyle name="Comma 2 2 2 2 2 2 2 2 2 2 2 2 2 2 4 7 2" xfId="7334" xr:uid="{00000000-0005-0000-0000-0000A31C0000}"/>
    <cellStyle name="Comma 2 2 2 2 2 2 2 2 2 2 2 2 2 2 4 7 3" xfId="7335" xr:uid="{00000000-0005-0000-0000-0000A41C0000}"/>
    <cellStyle name="Comma 2 2 2 2 2 2 2 2 2 2 2 2 2 2 4 7 4" xfId="7336" xr:uid="{00000000-0005-0000-0000-0000A51C0000}"/>
    <cellStyle name="Comma 2 2 2 2 2 2 2 2 2 2 2 2 2 2 4 7 5" xfId="7337" xr:uid="{00000000-0005-0000-0000-0000A61C0000}"/>
    <cellStyle name="Comma 2 2 2 2 2 2 2 2 2 2 2 2 2 2 4 7 6" xfId="7338" xr:uid="{00000000-0005-0000-0000-0000A71C0000}"/>
    <cellStyle name="Comma 2 2 2 2 2 2 2 2 2 2 2 2 2 2 4 7 7" xfId="7339" xr:uid="{00000000-0005-0000-0000-0000A81C0000}"/>
    <cellStyle name="Comma 2 2 2 2 2 2 2 2 2 2 2 2 2 2 4 7 8" xfId="7340" xr:uid="{00000000-0005-0000-0000-0000A91C0000}"/>
    <cellStyle name="Comma 2 2 2 2 2 2 2 2 2 2 2 2 2 2 4 8" xfId="7341" xr:uid="{00000000-0005-0000-0000-0000AA1C0000}"/>
    <cellStyle name="Comma 2 2 2 2 2 2 2 2 2 2 2 2 2 2 4 8 2" xfId="7342" xr:uid="{00000000-0005-0000-0000-0000AB1C0000}"/>
    <cellStyle name="Comma 2 2 2 2 2 2 2 2 2 2 2 2 2 2 4 8 3" xfId="7343" xr:uid="{00000000-0005-0000-0000-0000AC1C0000}"/>
    <cellStyle name="Comma 2 2 2 2 2 2 2 2 2 2 2 2 2 2 4 8 4" xfId="7344" xr:uid="{00000000-0005-0000-0000-0000AD1C0000}"/>
    <cellStyle name="Comma 2 2 2 2 2 2 2 2 2 2 2 2 2 2 4 8 5" xfId="7345" xr:uid="{00000000-0005-0000-0000-0000AE1C0000}"/>
    <cellStyle name="Comma 2 2 2 2 2 2 2 2 2 2 2 2 2 2 4 8 6" xfId="7346" xr:uid="{00000000-0005-0000-0000-0000AF1C0000}"/>
    <cellStyle name="Comma 2 2 2 2 2 2 2 2 2 2 2 2 2 2 4 8 7" xfId="7347" xr:uid="{00000000-0005-0000-0000-0000B01C0000}"/>
    <cellStyle name="Comma 2 2 2 2 2 2 2 2 2 2 2 2 2 2 4 8 8" xfId="7348" xr:uid="{00000000-0005-0000-0000-0000B11C0000}"/>
    <cellStyle name="Comma 2 2 2 2 2 2 2 2 2 2 2 2 2 2 4 9" xfId="7349" xr:uid="{00000000-0005-0000-0000-0000B21C0000}"/>
    <cellStyle name="Comma 2 2 2 2 2 2 2 2 2 2 2 2 2 2 4 9 2" xfId="7350" xr:uid="{00000000-0005-0000-0000-0000B31C0000}"/>
    <cellStyle name="Comma 2 2 2 2 2 2 2 2 2 2 2 2 2 2 4 9 3" xfId="7351" xr:uid="{00000000-0005-0000-0000-0000B41C0000}"/>
    <cellStyle name="Comma 2 2 2 2 2 2 2 2 2 2 2 2 2 2 4 9 4" xfId="7352" xr:uid="{00000000-0005-0000-0000-0000B51C0000}"/>
    <cellStyle name="Comma 2 2 2 2 2 2 2 2 2 2 2 2 2 2 4 9 5" xfId="7353" xr:uid="{00000000-0005-0000-0000-0000B61C0000}"/>
    <cellStyle name="Comma 2 2 2 2 2 2 2 2 2 2 2 2 2 2 4 9 6" xfId="7354" xr:uid="{00000000-0005-0000-0000-0000B71C0000}"/>
    <cellStyle name="Comma 2 2 2 2 2 2 2 2 2 2 2 2 2 2 4 9 7" xfId="7355" xr:uid="{00000000-0005-0000-0000-0000B81C0000}"/>
    <cellStyle name="Comma 2 2 2 2 2 2 2 2 2 2 2 2 2 2 4 9 8" xfId="7356" xr:uid="{00000000-0005-0000-0000-0000B91C0000}"/>
    <cellStyle name="Comma 2 2 2 2 2 2 2 2 2 2 2 2 2 2 5" xfId="7357" xr:uid="{00000000-0005-0000-0000-0000BA1C0000}"/>
    <cellStyle name="Comma 2 2 2 2 2 2 2 2 2 2 2 2 2 2 5 10" xfId="7358" xr:uid="{00000000-0005-0000-0000-0000BB1C0000}"/>
    <cellStyle name="Comma 2 2 2 2 2 2 2 2 2 2 2 2 2 2 5 11" xfId="7359" xr:uid="{00000000-0005-0000-0000-0000BC1C0000}"/>
    <cellStyle name="Comma 2 2 2 2 2 2 2 2 2 2 2 2 2 2 5 12" xfId="7360" xr:uid="{00000000-0005-0000-0000-0000BD1C0000}"/>
    <cellStyle name="Comma 2 2 2 2 2 2 2 2 2 2 2 2 2 2 5 13" xfId="7361" xr:uid="{00000000-0005-0000-0000-0000BE1C0000}"/>
    <cellStyle name="Comma 2 2 2 2 2 2 2 2 2 2 2 2 2 2 5 14" xfId="7362" xr:uid="{00000000-0005-0000-0000-0000BF1C0000}"/>
    <cellStyle name="Comma 2 2 2 2 2 2 2 2 2 2 2 2 2 2 5 15" xfId="7363" xr:uid="{00000000-0005-0000-0000-0000C01C0000}"/>
    <cellStyle name="Comma 2 2 2 2 2 2 2 2 2 2 2 2 2 2 5 16" xfId="7364" xr:uid="{00000000-0005-0000-0000-0000C11C0000}"/>
    <cellStyle name="Comma 2 2 2 2 2 2 2 2 2 2 2 2 2 2 5 17" xfId="7365" xr:uid="{00000000-0005-0000-0000-0000C21C0000}"/>
    <cellStyle name="Comma 2 2 2 2 2 2 2 2 2 2 2 2 2 2 5 17 2" xfId="7366" xr:uid="{00000000-0005-0000-0000-0000C31C0000}"/>
    <cellStyle name="Comma 2 2 2 2 2 2 2 2 2 2 2 2 2 2 5 18" xfId="7367" xr:uid="{00000000-0005-0000-0000-0000C41C0000}"/>
    <cellStyle name="Comma 2 2 2 2 2 2 2 2 2 2 2 2 2 2 5 19" xfId="7368" xr:uid="{00000000-0005-0000-0000-0000C51C0000}"/>
    <cellStyle name="Comma 2 2 2 2 2 2 2 2 2 2 2 2 2 2 5 2" xfId="7369" xr:uid="{00000000-0005-0000-0000-0000C61C0000}"/>
    <cellStyle name="Comma 2 2 2 2 2 2 2 2 2 2 2 2 2 2 5 2 2" xfId="7370" xr:uid="{00000000-0005-0000-0000-0000C71C0000}"/>
    <cellStyle name="Comma 2 2 2 2 2 2 2 2 2 2 2 2 2 2 5 2 2 10" xfId="7371" xr:uid="{00000000-0005-0000-0000-0000C81C0000}"/>
    <cellStyle name="Comma 2 2 2 2 2 2 2 2 2 2 2 2 2 2 5 2 2 11" xfId="7372" xr:uid="{00000000-0005-0000-0000-0000C91C0000}"/>
    <cellStyle name="Comma 2 2 2 2 2 2 2 2 2 2 2 2 2 2 5 2 2 12" xfId="7373" xr:uid="{00000000-0005-0000-0000-0000CA1C0000}"/>
    <cellStyle name="Comma 2 2 2 2 2 2 2 2 2 2 2 2 2 2 5 2 2 2" xfId="7374" xr:uid="{00000000-0005-0000-0000-0000CB1C0000}"/>
    <cellStyle name="Comma 2 2 2 2 2 2 2 2 2 2 2 2 2 2 5 2 2 3" xfId="7375" xr:uid="{00000000-0005-0000-0000-0000CC1C0000}"/>
    <cellStyle name="Comma 2 2 2 2 2 2 2 2 2 2 2 2 2 2 5 2 2 4" xfId="7376" xr:uid="{00000000-0005-0000-0000-0000CD1C0000}"/>
    <cellStyle name="Comma 2 2 2 2 2 2 2 2 2 2 2 2 2 2 5 2 2 5" xfId="7377" xr:uid="{00000000-0005-0000-0000-0000CE1C0000}"/>
    <cellStyle name="Comma 2 2 2 2 2 2 2 2 2 2 2 2 2 2 5 2 2 6" xfId="7378" xr:uid="{00000000-0005-0000-0000-0000CF1C0000}"/>
    <cellStyle name="Comma 2 2 2 2 2 2 2 2 2 2 2 2 2 2 5 2 2 6 2" xfId="7379" xr:uid="{00000000-0005-0000-0000-0000D01C0000}"/>
    <cellStyle name="Comma 2 2 2 2 2 2 2 2 2 2 2 2 2 2 5 2 2 7" xfId="7380" xr:uid="{00000000-0005-0000-0000-0000D11C0000}"/>
    <cellStyle name="Comma 2 2 2 2 2 2 2 2 2 2 2 2 2 2 5 2 2 8" xfId="7381" xr:uid="{00000000-0005-0000-0000-0000D21C0000}"/>
    <cellStyle name="Comma 2 2 2 2 2 2 2 2 2 2 2 2 2 2 5 2 2 9" xfId="7382" xr:uid="{00000000-0005-0000-0000-0000D31C0000}"/>
    <cellStyle name="Comma 2 2 2 2 2 2 2 2 2 2 2 2 2 2 5 2 3" xfId="7383" xr:uid="{00000000-0005-0000-0000-0000D41C0000}"/>
    <cellStyle name="Comma 2 2 2 2 2 2 2 2 2 2 2 2 2 2 5 2 3 10" xfId="7384" xr:uid="{00000000-0005-0000-0000-0000D51C0000}"/>
    <cellStyle name="Comma 2 2 2 2 2 2 2 2 2 2 2 2 2 2 5 2 3 11" xfId="7385" xr:uid="{00000000-0005-0000-0000-0000D61C0000}"/>
    <cellStyle name="Comma 2 2 2 2 2 2 2 2 2 2 2 2 2 2 5 2 3 12" xfId="7386" xr:uid="{00000000-0005-0000-0000-0000D71C0000}"/>
    <cellStyle name="Comma 2 2 2 2 2 2 2 2 2 2 2 2 2 2 5 2 3 2" xfId="7387" xr:uid="{00000000-0005-0000-0000-0000D81C0000}"/>
    <cellStyle name="Comma 2 2 2 2 2 2 2 2 2 2 2 2 2 2 5 2 3 3" xfId="7388" xr:uid="{00000000-0005-0000-0000-0000D91C0000}"/>
    <cellStyle name="Comma 2 2 2 2 2 2 2 2 2 2 2 2 2 2 5 2 3 4" xfId="7389" xr:uid="{00000000-0005-0000-0000-0000DA1C0000}"/>
    <cellStyle name="Comma 2 2 2 2 2 2 2 2 2 2 2 2 2 2 5 2 3 5" xfId="7390" xr:uid="{00000000-0005-0000-0000-0000DB1C0000}"/>
    <cellStyle name="Comma 2 2 2 2 2 2 2 2 2 2 2 2 2 2 5 2 3 6" xfId="7391" xr:uid="{00000000-0005-0000-0000-0000DC1C0000}"/>
    <cellStyle name="Comma 2 2 2 2 2 2 2 2 2 2 2 2 2 2 5 2 3 6 2" xfId="7392" xr:uid="{00000000-0005-0000-0000-0000DD1C0000}"/>
    <cellStyle name="Comma 2 2 2 2 2 2 2 2 2 2 2 2 2 2 5 2 3 7" xfId="7393" xr:uid="{00000000-0005-0000-0000-0000DE1C0000}"/>
    <cellStyle name="Comma 2 2 2 2 2 2 2 2 2 2 2 2 2 2 5 2 3 8" xfId="7394" xr:uid="{00000000-0005-0000-0000-0000DF1C0000}"/>
    <cellStyle name="Comma 2 2 2 2 2 2 2 2 2 2 2 2 2 2 5 2 3 9" xfId="7395" xr:uid="{00000000-0005-0000-0000-0000E01C0000}"/>
    <cellStyle name="Comma 2 2 2 2 2 2 2 2 2 2 2 2 2 2 5 2 4" xfId="7396" xr:uid="{00000000-0005-0000-0000-0000E11C0000}"/>
    <cellStyle name="Comma 2 2 2 2 2 2 2 2 2 2 2 2 2 2 5 2 4 10" xfId="7397" xr:uid="{00000000-0005-0000-0000-0000E21C0000}"/>
    <cellStyle name="Comma 2 2 2 2 2 2 2 2 2 2 2 2 2 2 5 2 4 11" xfId="7398" xr:uid="{00000000-0005-0000-0000-0000E31C0000}"/>
    <cellStyle name="Comma 2 2 2 2 2 2 2 2 2 2 2 2 2 2 5 2 4 12" xfId="7399" xr:uid="{00000000-0005-0000-0000-0000E41C0000}"/>
    <cellStyle name="Comma 2 2 2 2 2 2 2 2 2 2 2 2 2 2 5 2 4 2" xfId="7400" xr:uid="{00000000-0005-0000-0000-0000E51C0000}"/>
    <cellStyle name="Comma 2 2 2 2 2 2 2 2 2 2 2 2 2 2 5 2 4 3" xfId="7401" xr:uid="{00000000-0005-0000-0000-0000E61C0000}"/>
    <cellStyle name="Comma 2 2 2 2 2 2 2 2 2 2 2 2 2 2 5 2 4 4" xfId="7402" xr:uid="{00000000-0005-0000-0000-0000E71C0000}"/>
    <cellStyle name="Comma 2 2 2 2 2 2 2 2 2 2 2 2 2 2 5 2 4 5" xfId="7403" xr:uid="{00000000-0005-0000-0000-0000E81C0000}"/>
    <cellStyle name="Comma 2 2 2 2 2 2 2 2 2 2 2 2 2 2 5 2 4 6" xfId="7404" xr:uid="{00000000-0005-0000-0000-0000E91C0000}"/>
    <cellStyle name="Comma 2 2 2 2 2 2 2 2 2 2 2 2 2 2 5 2 4 6 2" xfId="7405" xr:uid="{00000000-0005-0000-0000-0000EA1C0000}"/>
    <cellStyle name="Comma 2 2 2 2 2 2 2 2 2 2 2 2 2 2 5 2 4 7" xfId="7406" xr:uid="{00000000-0005-0000-0000-0000EB1C0000}"/>
    <cellStyle name="Comma 2 2 2 2 2 2 2 2 2 2 2 2 2 2 5 2 4 8" xfId="7407" xr:uid="{00000000-0005-0000-0000-0000EC1C0000}"/>
    <cellStyle name="Comma 2 2 2 2 2 2 2 2 2 2 2 2 2 2 5 2 4 9" xfId="7408" xr:uid="{00000000-0005-0000-0000-0000ED1C0000}"/>
    <cellStyle name="Comma 2 2 2 2 2 2 2 2 2 2 2 2 2 2 5 2 5" xfId="7409" xr:uid="{00000000-0005-0000-0000-0000EE1C0000}"/>
    <cellStyle name="Comma 2 2 2 2 2 2 2 2 2 2 2 2 2 2 5 2 5 10" xfId="7410" xr:uid="{00000000-0005-0000-0000-0000EF1C0000}"/>
    <cellStyle name="Comma 2 2 2 2 2 2 2 2 2 2 2 2 2 2 5 2 5 11" xfId="7411" xr:uid="{00000000-0005-0000-0000-0000F01C0000}"/>
    <cellStyle name="Comma 2 2 2 2 2 2 2 2 2 2 2 2 2 2 5 2 5 12" xfId="7412" xr:uid="{00000000-0005-0000-0000-0000F11C0000}"/>
    <cellStyle name="Comma 2 2 2 2 2 2 2 2 2 2 2 2 2 2 5 2 5 2" xfId="7413" xr:uid="{00000000-0005-0000-0000-0000F21C0000}"/>
    <cellStyle name="Comma 2 2 2 2 2 2 2 2 2 2 2 2 2 2 5 2 5 3" xfId="7414" xr:uid="{00000000-0005-0000-0000-0000F31C0000}"/>
    <cellStyle name="Comma 2 2 2 2 2 2 2 2 2 2 2 2 2 2 5 2 5 4" xfId="7415" xr:uid="{00000000-0005-0000-0000-0000F41C0000}"/>
    <cellStyle name="Comma 2 2 2 2 2 2 2 2 2 2 2 2 2 2 5 2 5 5" xfId="7416" xr:uid="{00000000-0005-0000-0000-0000F51C0000}"/>
    <cellStyle name="Comma 2 2 2 2 2 2 2 2 2 2 2 2 2 2 5 2 5 6" xfId="7417" xr:uid="{00000000-0005-0000-0000-0000F61C0000}"/>
    <cellStyle name="Comma 2 2 2 2 2 2 2 2 2 2 2 2 2 2 5 2 5 6 2" xfId="7418" xr:uid="{00000000-0005-0000-0000-0000F71C0000}"/>
    <cellStyle name="Comma 2 2 2 2 2 2 2 2 2 2 2 2 2 2 5 2 5 7" xfId="7419" xr:uid="{00000000-0005-0000-0000-0000F81C0000}"/>
    <cellStyle name="Comma 2 2 2 2 2 2 2 2 2 2 2 2 2 2 5 2 5 8" xfId="7420" xr:uid="{00000000-0005-0000-0000-0000F91C0000}"/>
    <cellStyle name="Comma 2 2 2 2 2 2 2 2 2 2 2 2 2 2 5 2 5 9" xfId="7421" xr:uid="{00000000-0005-0000-0000-0000FA1C0000}"/>
    <cellStyle name="Comma 2 2 2 2 2 2 2 2 2 2 2 2 2 2 5 2 6" xfId="7422" xr:uid="{00000000-0005-0000-0000-0000FB1C0000}"/>
    <cellStyle name="Comma 2 2 2 2 2 2 2 2 2 2 2 2 2 2 5 2 6 10" xfId="7423" xr:uid="{00000000-0005-0000-0000-0000FC1C0000}"/>
    <cellStyle name="Comma 2 2 2 2 2 2 2 2 2 2 2 2 2 2 5 2 6 11" xfId="7424" xr:uid="{00000000-0005-0000-0000-0000FD1C0000}"/>
    <cellStyle name="Comma 2 2 2 2 2 2 2 2 2 2 2 2 2 2 5 2 6 12" xfId="7425" xr:uid="{00000000-0005-0000-0000-0000FE1C0000}"/>
    <cellStyle name="Comma 2 2 2 2 2 2 2 2 2 2 2 2 2 2 5 2 6 2" xfId="7426" xr:uid="{00000000-0005-0000-0000-0000FF1C0000}"/>
    <cellStyle name="Comma 2 2 2 2 2 2 2 2 2 2 2 2 2 2 5 2 6 3" xfId="7427" xr:uid="{00000000-0005-0000-0000-0000001D0000}"/>
    <cellStyle name="Comma 2 2 2 2 2 2 2 2 2 2 2 2 2 2 5 2 6 4" xfId="7428" xr:uid="{00000000-0005-0000-0000-0000011D0000}"/>
    <cellStyle name="Comma 2 2 2 2 2 2 2 2 2 2 2 2 2 2 5 2 6 5" xfId="7429" xr:uid="{00000000-0005-0000-0000-0000021D0000}"/>
    <cellStyle name="Comma 2 2 2 2 2 2 2 2 2 2 2 2 2 2 5 2 6 6" xfId="7430" xr:uid="{00000000-0005-0000-0000-0000031D0000}"/>
    <cellStyle name="Comma 2 2 2 2 2 2 2 2 2 2 2 2 2 2 5 2 6 6 2" xfId="7431" xr:uid="{00000000-0005-0000-0000-0000041D0000}"/>
    <cellStyle name="Comma 2 2 2 2 2 2 2 2 2 2 2 2 2 2 5 2 6 7" xfId="7432" xr:uid="{00000000-0005-0000-0000-0000051D0000}"/>
    <cellStyle name="Comma 2 2 2 2 2 2 2 2 2 2 2 2 2 2 5 2 6 8" xfId="7433" xr:uid="{00000000-0005-0000-0000-0000061D0000}"/>
    <cellStyle name="Comma 2 2 2 2 2 2 2 2 2 2 2 2 2 2 5 2 6 9" xfId="7434" xr:uid="{00000000-0005-0000-0000-0000071D0000}"/>
    <cellStyle name="Comma 2 2 2 2 2 2 2 2 2 2 2 2 2 2 5 2 7" xfId="7435" xr:uid="{00000000-0005-0000-0000-0000081D0000}"/>
    <cellStyle name="Comma 2 2 2 2 2 2 2 2 2 2 2 2 2 2 5 2 7 2" xfId="7436" xr:uid="{00000000-0005-0000-0000-0000091D0000}"/>
    <cellStyle name="Comma 2 2 2 2 2 2 2 2 2 2 2 2 2 2 5 2 8" xfId="7437" xr:uid="{00000000-0005-0000-0000-00000A1D0000}"/>
    <cellStyle name="Comma 2 2 2 2 2 2 2 2 2 2 2 2 2 2 5 20" xfId="7438" xr:uid="{00000000-0005-0000-0000-00000B1D0000}"/>
    <cellStyle name="Comma 2 2 2 2 2 2 2 2 2 2 2 2 2 2 5 21" xfId="7439" xr:uid="{00000000-0005-0000-0000-00000C1D0000}"/>
    <cellStyle name="Comma 2 2 2 2 2 2 2 2 2 2 2 2 2 2 5 22" xfId="7440" xr:uid="{00000000-0005-0000-0000-00000D1D0000}"/>
    <cellStyle name="Comma 2 2 2 2 2 2 2 2 2 2 2 2 2 2 5 23" xfId="7441" xr:uid="{00000000-0005-0000-0000-00000E1D0000}"/>
    <cellStyle name="Comma 2 2 2 2 2 2 2 2 2 2 2 2 2 2 5 3" xfId="7442" xr:uid="{00000000-0005-0000-0000-00000F1D0000}"/>
    <cellStyle name="Comma 2 2 2 2 2 2 2 2 2 2 2 2 2 2 5 3 2" xfId="7443" xr:uid="{00000000-0005-0000-0000-0000101D0000}"/>
    <cellStyle name="Comma 2 2 2 2 2 2 2 2 2 2 2 2 2 2 5 3 2 10" xfId="7444" xr:uid="{00000000-0005-0000-0000-0000111D0000}"/>
    <cellStyle name="Comma 2 2 2 2 2 2 2 2 2 2 2 2 2 2 5 3 2 11" xfId="7445" xr:uid="{00000000-0005-0000-0000-0000121D0000}"/>
    <cellStyle name="Comma 2 2 2 2 2 2 2 2 2 2 2 2 2 2 5 3 2 12" xfId="7446" xr:uid="{00000000-0005-0000-0000-0000131D0000}"/>
    <cellStyle name="Comma 2 2 2 2 2 2 2 2 2 2 2 2 2 2 5 3 2 2" xfId="7447" xr:uid="{00000000-0005-0000-0000-0000141D0000}"/>
    <cellStyle name="Comma 2 2 2 2 2 2 2 2 2 2 2 2 2 2 5 3 2 3" xfId="7448" xr:uid="{00000000-0005-0000-0000-0000151D0000}"/>
    <cellStyle name="Comma 2 2 2 2 2 2 2 2 2 2 2 2 2 2 5 3 2 4" xfId="7449" xr:uid="{00000000-0005-0000-0000-0000161D0000}"/>
    <cellStyle name="Comma 2 2 2 2 2 2 2 2 2 2 2 2 2 2 5 3 2 5" xfId="7450" xr:uid="{00000000-0005-0000-0000-0000171D0000}"/>
    <cellStyle name="Comma 2 2 2 2 2 2 2 2 2 2 2 2 2 2 5 3 2 6" xfId="7451" xr:uid="{00000000-0005-0000-0000-0000181D0000}"/>
    <cellStyle name="Comma 2 2 2 2 2 2 2 2 2 2 2 2 2 2 5 3 2 6 2" xfId="7452" xr:uid="{00000000-0005-0000-0000-0000191D0000}"/>
    <cellStyle name="Comma 2 2 2 2 2 2 2 2 2 2 2 2 2 2 5 3 2 7" xfId="7453" xr:uid="{00000000-0005-0000-0000-00001A1D0000}"/>
    <cellStyle name="Comma 2 2 2 2 2 2 2 2 2 2 2 2 2 2 5 3 2 8" xfId="7454" xr:uid="{00000000-0005-0000-0000-00001B1D0000}"/>
    <cellStyle name="Comma 2 2 2 2 2 2 2 2 2 2 2 2 2 2 5 3 2 9" xfId="7455" xr:uid="{00000000-0005-0000-0000-00001C1D0000}"/>
    <cellStyle name="Comma 2 2 2 2 2 2 2 2 2 2 2 2 2 2 5 3 3" xfId="7456" xr:uid="{00000000-0005-0000-0000-00001D1D0000}"/>
    <cellStyle name="Comma 2 2 2 2 2 2 2 2 2 2 2 2 2 2 5 3 3 10" xfId="7457" xr:uid="{00000000-0005-0000-0000-00001E1D0000}"/>
    <cellStyle name="Comma 2 2 2 2 2 2 2 2 2 2 2 2 2 2 5 3 3 11" xfId="7458" xr:uid="{00000000-0005-0000-0000-00001F1D0000}"/>
    <cellStyle name="Comma 2 2 2 2 2 2 2 2 2 2 2 2 2 2 5 3 3 12" xfId="7459" xr:uid="{00000000-0005-0000-0000-0000201D0000}"/>
    <cellStyle name="Comma 2 2 2 2 2 2 2 2 2 2 2 2 2 2 5 3 3 2" xfId="7460" xr:uid="{00000000-0005-0000-0000-0000211D0000}"/>
    <cellStyle name="Comma 2 2 2 2 2 2 2 2 2 2 2 2 2 2 5 3 3 3" xfId="7461" xr:uid="{00000000-0005-0000-0000-0000221D0000}"/>
    <cellStyle name="Comma 2 2 2 2 2 2 2 2 2 2 2 2 2 2 5 3 3 4" xfId="7462" xr:uid="{00000000-0005-0000-0000-0000231D0000}"/>
    <cellStyle name="Comma 2 2 2 2 2 2 2 2 2 2 2 2 2 2 5 3 3 5" xfId="7463" xr:uid="{00000000-0005-0000-0000-0000241D0000}"/>
    <cellStyle name="Comma 2 2 2 2 2 2 2 2 2 2 2 2 2 2 5 3 3 6" xfId="7464" xr:uid="{00000000-0005-0000-0000-0000251D0000}"/>
    <cellStyle name="Comma 2 2 2 2 2 2 2 2 2 2 2 2 2 2 5 3 3 6 2" xfId="7465" xr:uid="{00000000-0005-0000-0000-0000261D0000}"/>
    <cellStyle name="Comma 2 2 2 2 2 2 2 2 2 2 2 2 2 2 5 3 3 7" xfId="7466" xr:uid="{00000000-0005-0000-0000-0000271D0000}"/>
    <cellStyle name="Comma 2 2 2 2 2 2 2 2 2 2 2 2 2 2 5 3 3 8" xfId="7467" xr:uid="{00000000-0005-0000-0000-0000281D0000}"/>
    <cellStyle name="Comma 2 2 2 2 2 2 2 2 2 2 2 2 2 2 5 3 3 9" xfId="7468" xr:uid="{00000000-0005-0000-0000-0000291D0000}"/>
    <cellStyle name="Comma 2 2 2 2 2 2 2 2 2 2 2 2 2 2 5 3 4" xfId="7469" xr:uid="{00000000-0005-0000-0000-00002A1D0000}"/>
    <cellStyle name="Comma 2 2 2 2 2 2 2 2 2 2 2 2 2 2 5 3 4 10" xfId="7470" xr:uid="{00000000-0005-0000-0000-00002B1D0000}"/>
    <cellStyle name="Comma 2 2 2 2 2 2 2 2 2 2 2 2 2 2 5 3 4 11" xfId="7471" xr:uid="{00000000-0005-0000-0000-00002C1D0000}"/>
    <cellStyle name="Comma 2 2 2 2 2 2 2 2 2 2 2 2 2 2 5 3 4 12" xfId="7472" xr:uid="{00000000-0005-0000-0000-00002D1D0000}"/>
    <cellStyle name="Comma 2 2 2 2 2 2 2 2 2 2 2 2 2 2 5 3 4 2" xfId="7473" xr:uid="{00000000-0005-0000-0000-00002E1D0000}"/>
    <cellStyle name="Comma 2 2 2 2 2 2 2 2 2 2 2 2 2 2 5 3 4 3" xfId="7474" xr:uid="{00000000-0005-0000-0000-00002F1D0000}"/>
    <cellStyle name="Comma 2 2 2 2 2 2 2 2 2 2 2 2 2 2 5 3 4 4" xfId="7475" xr:uid="{00000000-0005-0000-0000-0000301D0000}"/>
    <cellStyle name="Comma 2 2 2 2 2 2 2 2 2 2 2 2 2 2 5 3 4 5" xfId="7476" xr:uid="{00000000-0005-0000-0000-0000311D0000}"/>
    <cellStyle name="Comma 2 2 2 2 2 2 2 2 2 2 2 2 2 2 5 3 4 6" xfId="7477" xr:uid="{00000000-0005-0000-0000-0000321D0000}"/>
    <cellStyle name="Comma 2 2 2 2 2 2 2 2 2 2 2 2 2 2 5 3 4 6 2" xfId="7478" xr:uid="{00000000-0005-0000-0000-0000331D0000}"/>
    <cellStyle name="Comma 2 2 2 2 2 2 2 2 2 2 2 2 2 2 5 3 4 7" xfId="7479" xr:uid="{00000000-0005-0000-0000-0000341D0000}"/>
    <cellStyle name="Comma 2 2 2 2 2 2 2 2 2 2 2 2 2 2 5 3 4 8" xfId="7480" xr:uid="{00000000-0005-0000-0000-0000351D0000}"/>
    <cellStyle name="Comma 2 2 2 2 2 2 2 2 2 2 2 2 2 2 5 3 4 9" xfId="7481" xr:uid="{00000000-0005-0000-0000-0000361D0000}"/>
    <cellStyle name="Comma 2 2 2 2 2 2 2 2 2 2 2 2 2 2 5 3 5" xfId="7482" xr:uid="{00000000-0005-0000-0000-0000371D0000}"/>
    <cellStyle name="Comma 2 2 2 2 2 2 2 2 2 2 2 2 2 2 5 3 5 10" xfId="7483" xr:uid="{00000000-0005-0000-0000-0000381D0000}"/>
    <cellStyle name="Comma 2 2 2 2 2 2 2 2 2 2 2 2 2 2 5 3 5 11" xfId="7484" xr:uid="{00000000-0005-0000-0000-0000391D0000}"/>
    <cellStyle name="Comma 2 2 2 2 2 2 2 2 2 2 2 2 2 2 5 3 5 12" xfId="7485" xr:uid="{00000000-0005-0000-0000-00003A1D0000}"/>
    <cellStyle name="Comma 2 2 2 2 2 2 2 2 2 2 2 2 2 2 5 3 5 2" xfId="7486" xr:uid="{00000000-0005-0000-0000-00003B1D0000}"/>
    <cellStyle name="Comma 2 2 2 2 2 2 2 2 2 2 2 2 2 2 5 3 5 3" xfId="7487" xr:uid="{00000000-0005-0000-0000-00003C1D0000}"/>
    <cellStyle name="Comma 2 2 2 2 2 2 2 2 2 2 2 2 2 2 5 3 5 4" xfId="7488" xr:uid="{00000000-0005-0000-0000-00003D1D0000}"/>
    <cellStyle name="Comma 2 2 2 2 2 2 2 2 2 2 2 2 2 2 5 3 5 5" xfId="7489" xr:uid="{00000000-0005-0000-0000-00003E1D0000}"/>
    <cellStyle name="Comma 2 2 2 2 2 2 2 2 2 2 2 2 2 2 5 3 5 6" xfId="7490" xr:uid="{00000000-0005-0000-0000-00003F1D0000}"/>
    <cellStyle name="Comma 2 2 2 2 2 2 2 2 2 2 2 2 2 2 5 3 5 6 2" xfId="7491" xr:uid="{00000000-0005-0000-0000-0000401D0000}"/>
    <cellStyle name="Comma 2 2 2 2 2 2 2 2 2 2 2 2 2 2 5 3 5 7" xfId="7492" xr:uid="{00000000-0005-0000-0000-0000411D0000}"/>
    <cellStyle name="Comma 2 2 2 2 2 2 2 2 2 2 2 2 2 2 5 3 5 8" xfId="7493" xr:uid="{00000000-0005-0000-0000-0000421D0000}"/>
    <cellStyle name="Comma 2 2 2 2 2 2 2 2 2 2 2 2 2 2 5 3 5 9" xfId="7494" xr:uid="{00000000-0005-0000-0000-0000431D0000}"/>
    <cellStyle name="Comma 2 2 2 2 2 2 2 2 2 2 2 2 2 2 5 3 6" xfId="7495" xr:uid="{00000000-0005-0000-0000-0000441D0000}"/>
    <cellStyle name="Comma 2 2 2 2 2 2 2 2 2 2 2 2 2 2 5 4" xfId="7496" xr:uid="{00000000-0005-0000-0000-0000451D0000}"/>
    <cellStyle name="Comma 2 2 2 2 2 2 2 2 2 2 2 2 2 2 5 4 2" xfId="7497" xr:uid="{00000000-0005-0000-0000-0000461D0000}"/>
    <cellStyle name="Comma 2 2 2 2 2 2 2 2 2 2 2 2 2 2 5 4 2 10" xfId="7498" xr:uid="{00000000-0005-0000-0000-0000471D0000}"/>
    <cellStyle name="Comma 2 2 2 2 2 2 2 2 2 2 2 2 2 2 5 4 2 11" xfId="7499" xr:uid="{00000000-0005-0000-0000-0000481D0000}"/>
    <cellStyle name="Comma 2 2 2 2 2 2 2 2 2 2 2 2 2 2 5 4 2 12" xfId="7500" xr:uid="{00000000-0005-0000-0000-0000491D0000}"/>
    <cellStyle name="Comma 2 2 2 2 2 2 2 2 2 2 2 2 2 2 5 4 2 2" xfId="7501" xr:uid="{00000000-0005-0000-0000-00004A1D0000}"/>
    <cellStyle name="Comma 2 2 2 2 2 2 2 2 2 2 2 2 2 2 5 4 2 3" xfId="7502" xr:uid="{00000000-0005-0000-0000-00004B1D0000}"/>
    <cellStyle name="Comma 2 2 2 2 2 2 2 2 2 2 2 2 2 2 5 4 2 4" xfId="7503" xr:uid="{00000000-0005-0000-0000-00004C1D0000}"/>
    <cellStyle name="Comma 2 2 2 2 2 2 2 2 2 2 2 2 2 2 5 4 2 5" xfId="7504" xr:uid="{00000000-0005-0000-0000-00004D1D0000}"/>
    <cellStyle name="Comma 2 2 2 2 2 2 2 2 2 2 2 2 2 2 5 4 2 6" xfId="7505" xr:uid="{00000000-0005-0000-0000-00004E1D0000}"/>
    <cellStyle name="Comma 2 2 2 2 2 2 2 2 2 2 2 2 2 2 5 4 2 6 2" xfId="7506" xr:uid="{00000000-0005-0000-0000-00004F1D0000}"/>
    <cellStyle name="Comma 2 2 2 2 2 2 2 2 2 2 2 2 2 2 5 4 2 7" xfId="7507" xr:uid="{00000000-0005-0000-0000-0000501D0000}"/>
    <cellStyle name="Comma 2 2 2 2 2 2 2 2 2 2 2 2 2 2 5 4 2 8" xfId="7508" xr:uid="{00000000-0005-0000-0000-0000511D0000}"/>
    <cellStyle name="Comma 2 2 2 2 2 2 2 2 2 2 2 2 2 2 5 4 2 9" xfId="7509" xr:uid="{00000000-0005-0000-0000-0000521D0000}"/>
    <cellStyle name="Comma 2 2 2 2 2 2 2 2 2 2 2 2 2 2 5 4 3" xfId="7510" xr:uid="{00000000-0005-0000-0000-0000531D0000}"/>
    <cellStyle name="Comma 2 2 2 2 2 2 2 2 2 2 2 2 2 2 5 4 3 10" xfId="7511" xr:uid="{00000000-0005-0000-0000-0000541D0000}"/>
    <cellStyle name="Comma 2 2 2 2 2 2 2 2 2 2 2 2 2 2 5 4 3 11" xfId="7512" xr:uid="{00000000-0005-0000-0000-0000551D0000}"/>
    <cellStyle name="Comma 2 2 2 2 2 2 2 2 2 2 2 2 2 2 5 4 3 12" xfId="7513" xr:uid="{00000000-0005-0000-0000-0000561D0000}"/>
    <cellStyle name="Comma 2 2 2 2 2 2 2 2 2 2 2 2 2 2 5 4 3 2" xfId="7514" xr:uid="{00000000-0005-0000-0000-0000571D0000}"/>
    <cellStyle name="Comma 2 2 2 2 2 2 2 2 2 2 2 2 2 2 5 4 3 3" xfId="7515" xr:uid="{00000000-0005-0000-0000-0000581D0000}"/>
    <cellStyle name="Comma 2 2 2 2 2 2 2 2 2 2 2 2 2 2 5 4 3 4" xfId="7516" xr:uid="{00000000-0005-0000-0000-0000591D0000}"/>
    <cellStyle name="Comma 2 2 2 2 2 2 2 2 2 2 2 2 2 2 5 4 3 5" xfId="7517" xr:uid="{00000000-0005-0000-0000-00005A1D0000}"/>
    <cellStyle name="Comma 2 2 2 2 2 2 2 2 2 2 2 2 2 2 5 4 3 6" xfId="7518" xr:uid="{00000000-0005-0000-0000-00005B1D0000}"/>
    <cellStyle name="Comma 2 2 2 2 2 2 2 2 2 2 2 2 2 2 5 4 3 6 2" xfId="7519" xr:uid="{00000000-0005-0000-0000-00005C1D0000}"/>
    <cellStyle name="Comma 2 2 2 2 2 2 2 2 2 2 2 2 2 2 5 4 3 7" xfId="7520" xr:uid="{00000000-0005-0000-0000-00005D1D0000}"/>
    <cellStyle name="Comma 2 2 2 2 2 2 2 2 2 2 2 2 2 2 5 4 3 8" xfId="7521" xr:uid="{00000000-0005-0000-0000-00005E1D0000}"/>
    <cellStyle name="Comma 2 2 2 2 2 2 2 2 2 2 2 2 2 2 5 4 3 9" xfId="7522" xr:uid="{00000000-0005-0000-0000-00005F1D0000}"/>
    <cellStyle name="Comma 2 2 2 2 2 2 2 2 2 2 2 2 2 2 5 4 4" xfId="7523" xr:uid="{00000000-0005-0000-0000-0000601D0000}"/>
    <cellStyle name="Comma 2 2 2 2 2 2 2 2 2 2 2 2 2 2 5 4 4 10" xfId="7524" xr:uid="{00000000-0005-0000-0000-0000611D0000}"/>
    <cellStyle name="Comma 2 2 2 2 2 2 2 2 2 2 2 2 2 2 5 4 4 11" xfId="7525" xr:uid="{00000000-0005-0000-0000-0000621D0000}"/>
    <cellStyle name="Comma 2 2 2 2 2 2 2 2 2 2 2 2 2 2 5 4 4 12" xfId="7526" xr:uid="{00000000-0005-0000-0000-0000631D0000}"/>
    <cellStyle name="Comma 2 2 2 2 2 2 2 2 2 2 2 2 2 2 5 4 4 2" xfId="7527" xr:uid="{00000000-0005-0000-0000-0000641D0000}"/>
    <cellStyle name="Comma 2 2 2 2 2 2 2 2 2 2 2 2 2 2 5 4 4 3" xfId="7528" xr:uid="{00000000-0005-0000-0000-0000651D0000}"/>
    <cellStyle name="Comma 2 2 2 2 2 2 2 2 2 2 2 2 2 2 5 4 4 4" xfId="7529" xr:uid="{00000000-0005-0000-0000-0000661D0000}"/>
    <cellStyle name="Comma 2 2 2 2 2 2 2 2 2 2 2 2 2 2 5 4 4 5" xfId="7530" xr:uid="{00000000-0005-0000-0000-0000671D0000}"/>
    <cellStyle name="Comma 2 2 2 2 2 2 2 2 2 2 2 2 2 2 5 4 4 6" xfId="7531" xr:uid="{00000000-0005-0000-0000-0000681D0000}"/>
    <cellStyle name="Comma 2 2 2 2 2 2 2 2 2 2 2 2 2 2 5 4 4 6 2" xfId="7532" xr:uid="{00000000-0005-0000-0000-0000691D0000}"/>
    <cellStyle name="Comma 2 2 2 2 2 2 2 2 2 2 2 2 2 2 5 4 4 7" xfId="7533" xr:uid="{00000000-0005-0000-0000-00006A1D0000}"/>
    <cellStyle name="Comma 2 2 2 2 2 2 2 2 2 2 2 2 2 2 5 4 4 8" xfId="7534" xr:uid="{00000000-0005-0000-0000-00006B1D0000}"/>
    <cellStyle name="Comma 2 2 2 2 2 2 2 2 2 2 2 2 2 2 5 4 4 9" xfId="7535" xr:uid="{00000000-0005-0000-0000-00006C1D0000}"/>
    <cellStyle name="Comma 2 2 2 2 2 2 2 2 2 2 2 2 2 2 5 5" xfId="7536" xr:uid="{00000000-0005-0000-0000-00006D1D0000}"/>
    <cellStyle name="Comma 2 2 2 2 2 2 2 2 2 2 2 2 2 2 5 5 2" xfId="7537" xr:uid="{00000000-0005-0000-0000-00006E1D0000}"/>
    <cellStyle name="Comma 2 2 2 2 2 2 2 2 2 2 2 2 2 2 5 5 2 10" xfId="7538" xr:uid="{00000000-0005-0000-0000-00006F1D0000}"/>
    <cellStyle name="Comma 2 2 2 2 2 2 2 2 2 2 2 2 2 2 5 5 2 11" xfId="7539" xr:uid="{00000000-0005-0000-0000-0000701D0000}"/>
    <cellStyle name="Comma 2 2 2 2 2 2 2 2 2 2 2 2 2 2 5 5 2 12" xfId="7540" xr:uid="{00000000-0005-0000-0000-0000711D0000}"/>
    <cellStyle name="Comma 2 2 2 2 2 2 2 2 2 2 2 2 2 2 5 5 2 2" xfId="7541" xr:uid="{00000000-0005-0000-0000-0000721D0000}"/>
    <cellStyle name="Comma 2 2 2 2 2 2 2 2 2 2 2 2 2 2 5 5 2 3" xfId="7542" xr:uid="{00000000-0005-0000-0000-0000731D0000}"/>
    <cellStyle name="Comma 2 2 2 2 2 2 2 2 2 2 2 2 2 2 5 5 2 4" xfId="7543" xr:uid="{00000000-0005-0000-0000-0000741D0000}"/>
    <cellStyle name="Comma 2 2 2 2 2 2 2 2 2 2 2 2 2 2 5 5 2 5" xfId="7544" xr:uid="{00000000-0005-0000-0000-0000751D0000}"/>
    <cellStyle name="Comma 2 2 2 2 2 2 2 2 2 2 2 2 2 2 5 5 2 6" xfId="7545" xr:uid="{00000000-0005-0000-0000-0000761D0000}"/>
    <cellStyle name="Comma 2 2 2 2 2 2 2 2 2 2 2 2 2 2 5 5 2 6 2" xfId="7546" xr:uid="{00000000-0005-0000-0000-0000771D0000}"/>
    <cellStyle name="Comma 2 2 2 2 2 2 2 2 2 2 2 2 2 2 5 5 2 7" xfId="7547" xr:uid="{00000000-0005-0000-0000-0000781D0000}"/>
    <cellStyle name="Comma 2 2 2 2 2 2 2 2 2 2 2 2 2 2 5 5 2 8" xfId="7548" xr:uid="{00000000-0005-0000-0000-0000791D0000}"/>
    <cellStyle name="Comma 2 2 2 2 2 2 2 2 2 2 2 2 2 2 5 5 2 9" xfId="7549" xr:uid="{00000000-0005-0000-0000-00007A1D0000}"/>
    <cellStyle name="Comma 2 2 2 2 2 2 2 2 2 2 2 2 2 2 5 5 3" xfId="7550" xr:uid="{00000000-0005-0000-0000-00007B1D0000}"/>
    <cellStyle name="Comma 2 2 2 2 2 2 2 2 2 2 2 2 2 2 5 5 3 10" xfId="7551" xr:uid="{00000000-0005-0000-0000-00007C1D0000}"/>
    <cellStyle name="Comma 2 2 2 2 2 2 2 2 2 2 2 2 2 2 5 5 3 11" xfId="7552" xr:uid="{00000000-0005-0000-0000-00007D1D0000}"/>
    <cellStyle name="Comma 2 2 2 2 2 2 2 2 2 2 2 2 2 2 5 5 3 12" xfId="7553" xr:uid="{00000000-0005-0000-0000-00007E1D0000}"/>
    <cellStyle name="Comma 2 2 2 2 2 2 2 2 2 2 2 2 2 2 5 5 3 2" xfId="7554" xr:uid="{00000000-0005-0000-0000-00007F1D0000}"/>
    <cellStyle name="Comma 2 2 2 2 2 2 2 2 2 2 2 2 2 2 5 5 3 3" xfId="7555" xr:uid="{00000000-0005-0000-0000-0000801D0000}"/>
    <cellStyle name="Comma 2 2 2 2 2 2 2 2 2 2 2 2 2 2 5 5 3 4" xfId="7556" xr:uid="{00000000-0005-0000-0000-0000811D0000}"/>
    <cellStyle name="Comma 2 2 2 2 2 2 2 2 2 2 2 2 2 2 5 5 3 5" xfId="7557" xr:uid="{00000000-0005-0000-0000-0000821D0000}"/>
    <cellStyle name="Comma 2 2 2 2 2 2 2 2 2 2 2 2 2 2 5 5 3 6" xfId="7558" xr:uid="{00000000-0005-0000-0000-0000831D0000}"/>
    <cellStyle name="Comma 2 2 2 2 2 2 2 2 2 2 2 2 2 2 5 5 3 6 2" xfId="7559" xr:uid="{00000000-0005-0000-0000-0000841D0000}"/>
    <cellStyle name="Comma 2 2 2 2 2 2 2 2 2 2 2 2 2 2 5 5 3 7" xfId="7560" xr:uid="{00000000-0005-0000-0000-0000851D0000}"/>
    <cellStyle name="Comma 2 2 2 2 2 2 2 2 2 2 2 2 2 2 5 5 3 8" xfId="7561" xr:uid="{00000000-0005-0000-0000-0000861D0000}"/>
    <cellStyle name="Comma 2 2 2 2 2 2 2 2 2 2 2 2 2 2 5 5 3 9" xfId="7562" xr:uid="{00000000-0005-0000-0000-0000871D0000}"/>
    <cellStyle name="Comma 2 2 2 2 2 2 2 2 2 2 2 2 2 2 5 6" xfId="7563" xr:uid="{00000000-0005-0000-0000-0000881D0000}"/>
    <cellStyle name="Comma 2 2 2 2 2 2 2 2 2 2 2 2 2 2 5 6 2" xfId="7564" xr:uid="{00000000-0005-0000-0000-0000891D0000}"/>
    <cellStyle name="Comma 2 2 2 2 2 2 2 2 2 2 2 2 2 2 5 6 2 10" xfId="7565" xr:uid="{00000000-0005-0000-0000-00008A1D0000}"/>
    <cellStyle name="Comma 2 2 2 2 2 2 2 2 2 2 2 2 2 2 5 6 2 11" xfId="7566" xr:uid="{00000000-0005-0000-0000-00008B1D0000}"/>
    <cellStyle name="Comma 2 2 2 2 2 2 2 2 2 2 2 2 2 2 5 6 2 12" xfId="7567" xr:uid="{00000000-0005-0000-0000-00008C1D0000}"/>
    <cellStyle name="Comma 2 2 2 2 2 2 2 2 2 2 2 2 2 2 5 6 2 2" xfId="7568" xr:uid="{00000000-0005-0000-0000-00008D1D0000}"/>
    <cellStyle name="Comma 2 2 2 2 2 2 2 2 2 2 2 2 2 2 5 6 2 3" xfId="7569" xr:uid="{00000000-0005-0000-0000-00008E1D0000}"/>
    <cellStyle name="Comma 2 2 2 2 2 2 2 2 2 2 2 2 2 2 5 6 2 4" xfId="7570" xr:uid="{00000000-0005-0000-0000-00008F1D0000}"/>
    <cellStyle name="Comma 2 2 2 2 2 2 2 2 2 2 2 2 2 2 5 6 2 5" xfId="7571" xr:uid="{00000000-0005-0000-0000-0000901D0000}"/>
    <cellStyle name="Comma 2 2 2 2 2 2 2 2 2 2 2 2 2 2 5 6 2 6" xfId="7572" xr:uid="{00000000-0005-0000-0000-0000911D0000}"/>
    <cellStyle name="Comma 2 2 2 2 2 2 2 2 2 2 2 2 2 2 5 6 2 6 2" xfId="7573" xr:uid="{00000000-0005-0000-0000-0000921D0000}"/>
    <cellStyle name="Comma 2 2 2 2 2 2 2 2 2 2 2 2 2 2 5 6 2 7" xfId="7574" xr:uid="{00000000-0005-0000-0000-0000931D0000}"/>
    <cellStyle name="Comma 2 2 2 2 2 2 2 2 2 2 2 2 2 2 5 6 2 8" xfId="7575" xr:uid="{00000000-0005-0000-0000-0000941D0000}"/>
    <cellStyle name="Comma 2 2 2 2 2 2 2 2 2 2 2 2 2 2 5 6 2 9" xfId="7576" xr:uid="{00000000-0005-0000-0000-0000951D0000}"/>
    <cellStyle name="Comma 2 2 2 2 2 2 2 2 2 2 2 2 2 2 5 7" xfId="7577" xr:uid="{00000000-0005-0000-0000-0000961D0000}"/>
    <cellStyle name="Comma 2 2 2 2 2 2 2 2 2 2 2 2 2 2 5 7 10" xfId="7578" xr:uid="{00000000-0005-0000-0000-0000971D0000}"/>
    <cellStyle name="Comma 2 2 2 2 2 2 2 2 2 2 2 2 2 2 5 7 11" xfId="7579" xr:uid="{00000000-0005-0000-0000-0000981D0000}"/>
    <cellStyle name="Comma 2 2 2 2 2 2 2 2 2 2 2 2 2 2 5 7 12" xfId="7580" xr:uid="{00000000-0005-0000-0000-0000991D0000}"/>
    <cellStyle name="Comma 2 2 2 2 2 2 2 2 2 2 2 2 2 2 5 7 2" xfId="7581" xr:uid="{00000000-0005-0000-0000-00009A1D0000}"/>
    <cellStyle name="Comma 2 2 2 2 2 2 2 2 2 2 2 2 2 2 5 7 3" xfId="7582" xr:uid="{00000000-0005-0000-0000-00009B1D0000}"/>
    <cellStyle name="Comma 2 2 2 2 2 2 2 2 2 2 2 2 2 2 5 7 4" xfId="7583" xr:uid="{00000000-0005-0000-0000-00009C1D0000}"/>
    <cellStyle name="Comma 2 2 2 2 2 2 2 2 2 2 2 2 2 2 5 7 5" xfId="7584" xr:uid="{00000000-0005-0000-0000-00009D1D0000}"/>
    <cellStyle name="Comma 2 2 2 2 2 2 2 2 2 2 2 2 2 2 5 7 6" xfId="7585" xr:uid="{00000000-0005-0000-0000-00009E1D0000}"/>
    <cellStyle name="Comma 2 2 2 2 2 2 2 2 2 2 2 2 2 2 5 7 6 2" xfId="7586" xr:uid="{00000000-0005-0000-0000-00009F1D0000}"/>
    <cellStyle name="Comma 2 2 2 2 2 2 2 2 2 2 2 2 2 2 5 7 7" xfId="7587" xr:uid="{00000000-0005-0000-0000-0000A01D0000}"/>
    <cellStyle name="Comma 2 2 2 2 2 2 2 2 2 2 2 2 2 2 5 7 8" xfId="7588" xr:uid="{00000000-0005-0000-0000-0000A11D0000}"/>
    <cellStyle name="Comma 2 2 2 2 2 2 2 2 2 2 2 2 2 2 5 7 9" xfId="7589" xr:uid="{00000000-0005-0000-0000-0000A21D0000}"/>
    <cellStyle name="Comma 2 2 2 2 2 2 2 2 2 2 2 2 2 2 5 8" xfId="7590" xr:uid="{00000000-0005-0000-0000-0000A31D0000}"/>
    <cellStyle name="Comma 2 2 2 2 2 2 2 2 2 2 2 2 2 2 5 9" xfId="7591" xr:uid="{00000000-0005-0000-0000-0000A41D0000}"/>
    <cellStyle name="Comma 2 2 2 2 2 2 2 2 2 2 2 2 2 2 6" xfId="7592" xr:uid="{00000000-0005-0000-0000-0000A51D0000}"/>
    <cellStyle name="Comma 2 2 2 2 2 2 2 2 2 2 2 2 2 2 6 10" xfId="7593" xr:uid="{00000000-0005-0000-0000-0000A61D0000}"/>
    <cellStyle name="Comma 2 2 2 2 2 2 2 2 2 2 2 2 2 2 6 11" xfId="7594" xr:uid="{00000000-0005-0000-0000-0000A71D0000}"/>
    <cellStyle name="Comma 2 2 2 2 2 2 2 2 2 2 2 2 2 2 6 12" xfId="7595" xr:uid="{00000000-0005-0000-0000-0000A81D0000}"/>
    <cellStyle name="Comma 2 2 2 2 2 2 2 2 2 2 2 2 2 2 6 13" xfId="7596" xr:uid="{00000000-0005-0000-0000-0000A91D0000}"/>
    <cellStyle name="Comma 2 2 2 2 2 2 2 2 2 2 2 2 2 2 6 14" xfId="7597" xr:uid="{00000000-0005-0000-0000-0000AA1D0000}"/>
    <cellStyle name="Comma 2 2 2 2 2 2 2 2 2 2 2 2 2 2 6 14 2" xfId="7598" xr:uid="{00000000-0005-0000-0000-0000AB1D0000}"/>
    <cellStyle name="Comma 2 2 2 2 2 2 2 2 2 2 2 2 2 2 6 15" xfId="7599" xr:uid="{00000000-0005-0000-0000-0000AC1D0000}"/>
    <cellStyle name="Comma 2 2 2 2 2 2 2 2 2 2 2 2 2 2 6 15 2" xfId="7600" xr:uid="{00000000-0005-0000-0000-0000AD1D0000}"/>
    <cellStyle name="Comma 2 2 2 2 2 2 2 2 2 2 2 2 2 2 6 16" xfId="7601" xr:uid="{00000000-0005-0000-0000-0000AE1D0000}"/>
    <cellStyle name="Comma 2 2 2 2 2 2 2 2 2 2 2 2 2 2 6 17" xfId="7602" xr:uid="{00000000-0005-0000-0000-0000AF1D0000}"/>
    <cellStyle name="Comma 2 2 2 2 2 2 2 2 2 2 2 2 2 2 6 18" xfId="7603" xr:uid="{00000000-0005-0000-0000-0000B01D0000}"/>
    <cellStyle name="Comma 2 2 2 2 2 2 2 2 2 2 2 2 2 2 6 19" xfId="7604" xr:uid="{00000000-0005-0000-0000-0000B11D0000}"/>
    <cellStyle name="Comma 2 2 2 2 2 2 2 2 2 2 2 2 2 2 6 2" xfId="7605" xr:uid="{00000000-0005-0000-0000-0000B21D0000}"/>
    <cellStyle name="Comma 2 2 2 2 2 2 2 2 2 2 2 2 2 2 6 2 2" xfId="7606" xr:uid="{00000000-0005-0000-0000-0000B31D0000}"/>
    <cellStyle name="Comma 2 2 2 2 2 2 2 2 2 2 2 2 2 2 6 2 2 2" xfId="7607" xr:uid="{00000000-0005-0000-0000-0000B41D0000}"/>
    <cellStyle name="Comma 2 2 2 2 2 2 2 2 2 2 2 2 2 2 6 2 2 3" xfId="7608" xr:uid="{00000000-0005-0000-0000-0000B51D0000}"/>
    <cellStyle name="Comma 2 2 2 2 2 2 2 2 2 2 2 2 2 2 6 2 2 4" xfId="7609" xr:uid="{00000000-0005-0000-0000-0000B61D0000}"/>
    <cellStyle name="Comma 2 2 2 2 2 2 2 2 2 2 2 2 2 2 6 2 2 5" xfId="7610" xr:uid="{00000000-0005-0000-0000-0000B71D0000}"/>
    <cellStyle name="Comma 2 2 2 2 2 2 2 2 2 2 2 2 2 2 6 2 3" xfId="7611" xr:uid="{00000000-0005-0000-0000-0000B81D0000}"/>
    <cellStyle name="Comma 2 2 2 2 2 2 2 2 2 2 2 2 2 2 6 2 3 2" xfId="7612" xr:uid="{00000000-0005-0000-0000-0000B91D0000}"/>
    <cellStyle name="Comma 2 2 2 2 2 2 2 2 2 2 2 2 2 2 6 2 3 3" xfId="7613" xr:uid="{00000000-0005-0000-0000-0000BA1D0000}"/>
    <cellStyle name="Comma 2 2 2 2 2 2 2 2 2 2 2 2 2 2 6 2 3 4" xfId="7614" xr:uid="{00000000-0005-0000-0000-0000BB1D0000}"/>
    <cellStyle name="Comma 2 2 2 2 2 2 2 2 2 2 2 2 2 2 6 2 4" xfId="7615" xr:uid="{00000000-0005-0000-0000-0000BC1D0000}"/>
    <cellStyle name="Comma 2 2 2 2 2 2 2 2 2 2 2 2 2 2 6 2 4 2" xfId="7616" xr:uid="{00000000-0005-0000-0000-0000BD1D0000}"/>
    <cellStyle name="Comma 2 2 2 2 2 2 2 2 2 2 2 2 2 2 6 2 4 3" xfId="7617" xr:uid="{00000000-0005-0000-0000-0000BE1D0000}"/>
    <cellStyle name="Comma 2 2 2 2 2 2 2 2 2 2 2 2 2 2 6 20" xfId="7618" xr:uid="{00000000-0005-0000-0000-0000BF1D0000}"/>
    <cellStyle name="Comma 2 2 2 2 2 2 2 2 2 2 2 2 2 2 6 3" xfId="7619" xr:uid="{00000000-0005-0000-0000-0000C01D0000}"/>
    <cellStyle name="Comma 2 2 2 2 2 2 2 2 2 2 2 2 2 2 6 3 2" xfId="7620" xr:uid="{00000000-0005-0000-0000-0000C11D0000}"/>
    <cellStyle name="Comma 2 2 2 2 2 2 2 2 2 2 2 2 2 2 6 3 2 2" xfId="7621" xr:uid="{00000000-0005-0000-0000-0000C21D0000}"/>
    <cellStyle name="Comma 2 2 2 2 2 2 2 2 2 2 2 2 2 2 6 3 2 3" xfId="7622" xr:uid="{00000000-0005-0000-0000-0000C31D0000}"/>
    <cellStyle name="Comma 2 2 2 2 2 2 2 2 2 2 2 2 2 2 6 3 3" xfId="7623" xr:uid="{00000000-0005-0000-0000-0000C41D0000}"/>
    <cellStyle name="Comma 2 2 2 2 2 2 2 2 2 2 2 2 2 2 6 3 3 2" xfId="7624" xr:uid="{00000000-0005-0000-0000-0000C51D0000}"/>
    <cellStyle name="Comma 2 2 2 2 2 2 2 2 2 2 2 2 2 2 6 4" xfId="7625" xr:uid="{00000000-0005-0000-0000-0000C61D0000}"/>
    <cellStyle name="Comma 2 2 2 2 2 2 2 2 2 2 2 2 2 2 6 5" xfId="7626" xr:uid="{00000000-0005-0000-0000-0000C71D0000}"/>
    <cellStyle name="Comma 2 2 2 2 2 2 2 2 2 2 2 2 2 2 6 6" xfId="7627" xr:uid="{00000000-0005-0000-0000-0000C81D0000}"/>
    <cellStyle name="Comma 2 2 2 2 2 2 2 2 2 2 2 2 2 2 6 6 2" xfId="7628" xr:uid="{00000000-0005-0000-0000-0000C91D0000}"/>
    <cellStyle name="Comma 2 2 2 2 2 2 2 2 2 2 2 2 2 2 6 6 3" xfId="7629" xr:uid="{00000000-0005-0000-0000-0000CA1D0000}"/>
    <cellStyle name="Comma 2 2 2 2 2 2 2 2 2 2 2 2 2 2 6 7" xfId="7630" xr:uid="{00000000-0005-0000-0000-0000CB1D0000}"/>
    <cellStyle name="Comma 2 2 2 2 2 2 2 2 2 2 2 2 2 2 6 8" xfId="7631" xr:uid="{00000000-0005-0000-0000-0000CC1D0000}"/>
    <cellStyle name="Comma 2 2 2 2 2 2 2 2 2 2 2 2 2 2 6 9" xfId="7632" xr:uid="{00000000-0005-0000-0000-0000CD1D0000}"/>
    <cellStyle name="Comma 2 2 2 2 2 2 2 2 2 2 2 2 2 2 7" xfId="7633" xr:uid="{00000000-0005-0000-0000-0000CE1D0000}"/>
    <cellStyle name="Comma 2 2 2 2 2 2 2 2 2 2 2 2 2 2 7 10" xfId="7634" xr:uid="{00000000-0005-0000-0000-0000CF1D0000}"/>
    <cellStyle name="Comma 2 2 2 2 2 2 2 2 2 2 2 2 2 2 7 11" xfId="7635" xr:uid="{00000000-0005-0000-0000-0000D01D0000}"/>
    <cellStyle name="Comma 2 2 2 2 2 2 2 2 2 2 2 2 2 2 7 12" xfId="7636" xr:uid="{00000000-0005-0000-0000-0000D11D0000}"/>
    <cellStyle name="Comma 2 2 2 2 2 2 2 2 2 2 2 2 2 2 7 12 2" xfId="7637" xr:uid="{00000000-0005-0000-0000-0000D21D0000}"/>
    <cellStyle name="Comma 2 2 2 2 2 2 2 2 2 2 2 2 2 2 7 13" xfId="7638" xr:uid="{00000000-0005-0000-0000-0000D31D0000}"/>
    <cellStyle name="Comma 2 2 2 2 2 2 2 2 2 2 2 2 2 2 7 14" xfId="7639" xr:uid="{00000000-0005-0000-0000-0000D41D0000}"/>
    <cellStyle name="Comma 2 2 2 2 2 2 2 2 2 2 2 2 2 2 7 15" xfId="7640" xr:uid="{00000000-0005-0000-0000-0000D51D0000}"/>
    <cellStyle name="Comma 2 2 2 2 2 2 2 2 2 2 2 2 2 2 7 16" xfId="7641" xr:uid="{00000000-0005-0000-0000-0000D61D0000}"/>
    <cellStyle name="Comma 2 2 2 2 2 2 2 2 2 2 2 2 2 2 7 17" xfId="7642" xr:uid="{00000000-0005-0000-0000-0000D71D0000}"/>
    <cellStyle name="Comma 2 2 2 2 2 2 2 2 2 2 2 2 2 2 7 18" xfId="7643" xr:uid="{00000000-0005-0000-0000-0000D81D0000}"/>
    <cellStyle name="Comma 2 2 2 2 2 2 2 2 2 2 2 2 2 2 7 2" xfId="7644" xr:uid="{00000000-0005-0000-0000-0000D91D0000}"/>
    <cellStyle name="Comma 2 2 2 2 2 2 2 2 2 2 2 2 2 2 7 2 2" xfId="7645" xr:uid="{00000000-0005-0000-0000-0000DA1D0000}"/>
    <cellStyle name="Comma 2 2 2 2 2 2 2 2 2 2 2 2 2 2 7 2 2 2" xfId="7646" xr:uid="{00000000-0005-0000-0000-0000DB1D0000}"/>
    <cellStyle name="Comma 2 2 2 2 2 2 2 2 2 2 2 2 2 2 7 2 2 3" xfId="7647" xr:uid="{00000000-0005-0000-0000-0000DC1D0000}"/>
    <cellStyle name="Comma 2 2 2 2 2 2 2 2 2 2 2 2 2 2 7 2 3" xfId="7648" xr:uid="{00000000-0005-0000-0000-0000DD1D0000}"/>
    <cellStyle name="Comma 2 2 2 2 2 2 2 2 2 2 2 2 2 2 7 2 3 2" xfId="7649" xr:uid="{00000000-0005-0000-0000-0000DE1D0000}"/>
    <cellStyle name="Comma 2 2 2 2 2 2 2 2 2 2 2 2 2 2 7 3" xfId="7650" xr:uid="{00000000-0005-0000-0000-0000DF1D0000}"/>
    <cellStyle name="Comma 2 2 2 2 2 2 2 2 2 2 2 2 2 2 7 4" xfId="7651" xr:uid="{00000000-0005-0000-0000-0000E01D0000}"/>
    <cellStyle name="Comma 2 2 2 2 2 2 2 2 2 2 2 2 2 2 7 5" xfId="7652" xr:uid="{00000000-0005-0000-0000-0000E11D0000}"/>
    <cellStyle name="Comma 2 2 2 2 2 2 2 2 2 2 2 2 2 2 7 5 2" xfId="7653" xr:uid="{00000000-0005-0000-0000-0000E21D0000}"/>
    <cellStyle name="Comma 2 2 2 2 2 2 2 2 2 2 2 2 2 2 7 5 3" xfId="7654" xr:uid="{00000000-0005-0000-0000-0000E31D0000}"/>
    <cellStyle name="Comma 2 2 2 2 2 2 2 2 2 2 2 2 2 2 7 6" xfId="7655" xr:uid="{00000000-0005-0000-0000-0000E41D0000}"/>
    <cellStyle name="Comma 2 2 2 2 2 2 2 2 2 2 2 2 2 2 7 7" xfId="7656" xr:uid="{00000000-0005-0000-0000-0000E51D0000}"/>
    <cellStyle name="Comma 2 2 2 2 2 2 2 2 2 2 2 2 2 2 7 8" xfId="7657" xr:uid="{00000000-0005-0000-0000-0000E61D0000}"/>
    <cellStyle name="Comma 2 2 2 2 2 2 2 2 2 2 2 2 2 2 7 9" xfId="7658" xr:uid="{00000000-0005-0000-0000-0000E71D0000}"/>
    <cellStyle name="Comma 2 2 2 2 2 2 2 2 2 2 2 2 2 2 8" xfId="7659" xr:uid="{00000000-0005-0000-0000-0000E81D0000}"/>
    <cellStyle name="Comma 2 2 2 2 2 2 2 2 2 2 2 2 2 2 8 10" xfId="7660" xr:uid="{00000000-0005-0000-0000-0000E91D0000}"/>
    <cellStyle name="Comma 2 2 2 2 2 2 2 2 2 2 2 2 2 2 8 10 2" xfId="7661" xr:uid="{00000000-0005-0000-0000-0000EA1D0000}"/>
    <cellStyle name="Comma 2 2 2 2 2 2 2 2 2 2 2 2 2 2 8 11" xfId="7662" xr:uid="{00000000-0005-0000-0000-0000EB1D0000}"/>
    <cellStyle name="Comma 2 2 2 2 2 2 2 2 2 2 2 2 2 2 8 12" xfId="7663" xr:uid="{00000000-0005-0000-0000-0000EC1D0000}"/>
    <cellStyle name="Comma 2 2 2 2 2 2 2 2 2 2 2 2 2 2 8 13" xfId="7664" xr:uid="{00000000-0005-0000-0000-0000ED1D0000}"/>
    <cellStyle name="Comma 2 2 2 2 2 2 2 2 2 2 2 2 2 2 8 14" xfId="7665" xr:uid="{00000000-0005-0000-0000-0000EE1D0000}"/>
    <cellStyle name="Comma 2 2 2 2 2 2 2 2 2 2 2 2 2 2 8 15" xfId="7666" xr:uid="{00000000-0005-0000-0000-0000EF1D0000}"/>
    <cellStyle name="Comma 2 2 2 2 2 2 2 2 2 2 2 2 2 2 8 16" xfId="7667" xr:uid="{00000000-0005-0000-0000-0000F01D0000}"/>
    <cellStyle name="Comma 2 2 2 2 2 2 2 2 2 2 2 2 2 2 8 2" xfId="7668" xr:uid="{00000000-0005-0000-0000-0000F11D0000}"/>
    <cellStyle name="Comma 2 2 2 2 2 2 2 2 2 2 2 2 2 2 8 2 2" xfId="7669" xr:uid="{00000000-0005-0000-0000-0000F21D0000}"/>
    <cellStyle name="Comma 2 2 2 2 2 2 2 2 2 2 2 2 2 2 8 2 2 2" xfId="7670" xr:uid="{00000000-0005-0000-0000-0000F31D0000}"/>
    <cellStyle name="Comma 2 2 2 2 2 2 2 2 2 2 2 2 2 2 8 2 2 3" xfId="7671" xr:uid="{00000000-0005-0000-0000-0000F41D0000}"/>
    <cellStyle name="Comma 2 2 2 2 2 2 2 2 2 2 2 2 2 2 8 2 3" xfId="7672" xr:uid="{00000000-0005-0000-0000-0000F51D0000}"/>
    <cellStyle name="Comma 2 2 2 2 2 2 2 2 2 2 2 2 2 2 8 2 3 2" xfId="7673" xr:uid="{00000000-0005-0000-0000-0000F61D0000}"/>
    <cellStyle name="Comma 2 2 2 2 2 2 2 2 2 2 2 2 2 2 8 3" xfId="7674" xr:uid="{00000000-0005-0000-0000-0000F71D0000}"/>
    <cellStyle name="Comma 2 2 2 2 2 2 2 2 2 2 2 2 2 2 8 4" xfId="7675" xr:uid="{00000000-0005-0000-0000-0000F81D0000}"/>
    <cellStyle name="Comma 2 2 2 2 2 2 2 2 2 2 2 2 2 2 8 4 2" xfId="7676" xr:uid="{00000000-0005-0000-0000-0000F91D0000}"/>
    <cellStyle name="Comma 2 2 2 2 2 2 2 2 2 2 2 2 2 2 8 4 3" xfId="7677" xr:uid="{00000000-0005-0000-0000-0000FA1D0000}"/>
    <cellStyle name="Comma 2 2 2 2 2 2 2 2 2 2 2 2 2 2 8 5" xfId="7678" xr:uid="{00000000-0005-0000-0000-0000FB1D0000}"/>
    <cellStyle name="Comma 2 2 2 2 2 2 2 2 2 2 2 2 2 2 8 6" xfId="7679" xr:uid="{00000000-0005-0000-0000-0000FC1D0000}"/>
    <cellStyle name="Comma 2 2 2 2 2 2 2 2 2 2 2 2 2 2 8 7" xfId="7680" xr:uid="{00000000-0005-0000-0000-0000FD1D0000}"/>
    <cellStyle name="Comma 2 2 2 2 2 2 2 2 2 2 2 2 2 2 8 8" xfId="7681" xr:uid="{00000000-0005-0000-0000-0000FE1D0000}"/>
    <cellStyle name="Comma 2 2 2 2 2 2 2 2 2 2 2 2 2 2 8 9" xfId="7682" xr:uid="{00000000-0005-0000-0000-0000FF1D0000}"/>
    <cellStyle name="Comma 2 2 2 2 2 2 2 2 2 2 2 2 2 2 9" xfId="7683" xr:uid="{00000000-0005-0000-0000-0000001E0000}"/>
    <cellStyle name="Comma 2 2 2 2 2 2 2 2 2 2 2 2 2 2 9 10" xfId="7684" xr:uid="{00000000-0005-0000-0000-0000011E0000}"/>
    <cellStyle name="Comma 2 2 2 2 2 2 2 2 2 2 2 2 2 2 9 11" xfId="7685" xr:uid="{00000000-0005-0000-0000-0000021E0000}"/>
    <cellStyle name="Comma 2 2 2 2 2 2 2 2 2 2 2 2 2 2 9 12" xfId="7686" xr:uid="{00000000-0005-0000-0000-0000031E0000}"/>
    <cellStyle name="Comma 2 2 2 2 2 2 2 2 2 2 2 2 2 2 9 13" xfId="7687" xr:uid="{00000000-0005-0000-0000-0000041E0000}"/>
    <cellStyle name="Comma 2 2 2 2 2 2 2 2 2 2 2 2 2 2 9 14" xfId="7688" xr:uid="{00000000-0005-0000-0000-0000051E0000}"/>
    <cellStyle name="Comma 2 2 2 2 2 2 2 2 2 2 2 2 2 2 9 2" xfId="7689" xr:uid="{00000000-0005-0000-0000-0000061E0000}"/>
    <cellStyle name="Comma 2 2 2 2 2 2 2 2 2 2 2 2 2 2 9 2 2" xfId="7690" xr:uid="{00000000-0005-0000-0000-0000071E0000}"/>
    <cellStyle name="Comma 2 2 2 2 2 2 2 2 2 2 2 2 2 2 9 2 2 2" xfId="7691" xr:uid="{00000000-0005-0000-0000-0000081E0000}"/>
    <cellStyle name="Comma 2 2 2 2 2 2 2 2 2 2 2 2 2 2 9 2 2 3" xfId="7692" xr:uid="{00000000-0005-0000-0000-0000091E0000}"/>
    <cellStyle name="Comma 2 2 2 2 2 2 2 2 2 2 2 2 2 2 9 2 3" xfId="7693" xr:uid="{00000000-0005-0000-0000-00000A1E0000}"/>
    <cellStyle name="Comma 2 2 2 2 2 2 2 2 2 2 2 2 2 2 9 2 3 2" xfId="7694" xr:uid="{00000000-0005-0000-0000-00000B1E0000}"/>
    <cellStyle name="Comma 2 2 2 2 2 2 2 2 2 2 2 2 2 2 9 3" xfId="7695" xr:uid="{00000000-0005-0000-0000-00000C1E0000}"/>
    <cellStyle name="Comma 2 2 2 2 2 2 2 2 2 2 2 2 2 2 9 3 2" xfId="7696" xr:uid="{00000000-0005-0000-0000-00000D1E0000}"/>
    <cellStyle name="Comma 2 2 2 2 2 2 2 2 2 2 2 2 2 2 9 3 3" xfId="7697" xr:uid="{00000000-0005-0000-0000-00000E1E0000}"/>
    <cellStyle name="Comma 2 2 2 2 2 2 2 2 2 2 2 2 2 2 9 4" xfId="7698" xr:uid="{00000000-0005-0000-0000-00000F1E0000}"/>
    <cellStyle name="Comma 2 2 2 2 2 2 2 2 2 2 2 2 2 2 9 5" xfId="7699" xr:uid="{00000000-0005-0000-0000-0000101E0000}"/>
    <cellStyle name="Comma 2 2 2 2 2 2 2 2 2 2 2 2 2 2 9 6" xfId="7700" xr:uid="{00000000-0005-0000-0000-0000111E0000}"/>
    <cellStyle name="Comma 2 2 2 2 2 2 2 2 2 2 2 2 2 2 9 7" xfId="7701" xr:uid="{00000000-0005-0000-0000-0000121E0000}"/>
    <cellStyle name="Comma 2 2 2 2 2 2 2 2 2 2 2 2 2 2 9 8" xfId="7702" xr:uid="{00000000-0005-0000-0000-0000131E0000}"/>
    <cellStyle name="Comma 2 2 2 2 2 2 2 2 2 2 2 2 2 2 9 8 2" xfId="7703" xr:uid="{00000000-0005-0000-0000-0000141E0000}"/>
    <cellStyle name="Comma 2 2 2 2 2 2 2 2 2 2 2 2 2 2 9 9" xfId="7704" xr:uid="{00000000-0005-0000-0000-0000151E0000}"/>
    <cellStyle name="Comma 2 2 2 2 2 2 2 2 2 2 2 2 2 20" xfId="7705" xr:uid="{00000000-0005-0000-0000-0000161E0000}"/>
    <cellStyle name="Comma 2 2 2 2 2 2 2 2 2 2 2 2 2 21" xfId="7706" xr:uid="{00000000-0005-0000-0000-0000171E0000}"/>
    <cellStyle name="Comma 2 2 2 2 2 2 2 2 2 2 2 2 2 22" xfId="7707" xr:uid="{00000000-0005-0000-0000-0000181E0000}"/>
    <cellStyle name="Comma 2 2 2 2 2 2 2 2 2 2 2 2 2 23" xfId="7708" xr:uid="{00000000-0005-0000-0000-0000191E0000}"/>
    <cellStyle name="Comma 2 2 2 2 2 2 2 2 2 2 2 2 2 24" xfId="7709" xr:uid="{00000000-0005-0000-0000-00001A1E0000}"/>
    <cellStyle name="Comma 2 2 2 2 2 2 2 2 2 2 2 2 2 24 2" xfId="7710" xr:uid="{00000000-0005-0000-0000-00001B1E0000}"/>
    <cellStyle name="Comma 2 2 2 2 2 2 2 2 2 2 2 2 2 24 3" xfId="7711" xr:uid="{00000000-0005-0000-0000-00001C1E0000}"/>
    <cellStyle name="Comma 2 2 2 2 2 2 2 2 2 2 2 2 2 25" xfId="7712" xr:uid="{00000000-0005-0000-0000-00001D1E0000}"/>
    <cellStyle name="Comma 2 2 2 2 2 2 2 2 2 2 2 2 2 26" xfId="7713" xr:uid="{00000000-0005-0000-0000-00001E1E0000}"/>
    <cellStyle name="Comma 2 2 2 2 2 2 2 2 2 2 2 2 2 27" xfId="7714" xr:uid="{00000000-0005-0000-0000-00001F1E0000}"/>
    <cellStyle name="Comma 2 2 2 2 2 2 2 2 2 2 2 2 2 27 2" xfId="7715" xr:uid="{00000000-0005-0000-0000-0000201E0000}"/>
    <cellStyle name="Comma 2 2 2 2 2 2 2 2 2 2 2 2 2 28" xfId="7716" xr:uid="{00000000-0005-0000-0000-0000211E0000}"/>
    <cellStyle name="Comma 2 2 2 2 2 2 2 2 2 2 2 2 2 29" xfId="7717" xr:uid="{00000000-0005-0000-0000-0000221E0000}"/>
    <cellStyle name="Comma 2 2 2 2 2 2 2 2 2 2 2 2 2 3" xfId="7718" xr:uid="{00000000-0005-0000-0000-0000231E0000}"/>
    <cellStyle name="Comma 2 2 2 2 2 2 2 2 2 2 2 2 2 30" xfId="7719" xr:uid="{00000000-0005-0000-0000-0000241E0000}"/>
    <cellStyle name="Comma 2 2 2 2 2 2 2 2 2 2 2 2 2 31" xfId="7720" xr:uid="{00000000-0005-0000-0000-0000251E0000}"/>
    <cellStyle name="Comma 2 2 2 2 2 2 2 2 2 2 2 2 2 32" xfId="7721" xr:uid="{00000000-0005-0000-0000-0000261E0000}"/>
    <cellStyle name="Comma 2 2 2 2 2 2 2 2 2 2 2 2 2 33" xfId="7722" xr:uid="{00000000-0005-0000-0000-0000271E0000}"/>
    <cellStyle name="Comma 2 2 2 2 2 2 2 2 2 2 2 2 2 34" xfId="7723" xr:uid="{00000000-0005-0000-0000-0000281E0000}"/>
    <cellStyle name="Comma 2 2 2 2 2 2 2 2 2 2 2 2 2 35" xfId="7724" xr:uid="{00000000-0005-0000-0000-0000291E0000}"/>
    <cellStyle name="Comma 2 2 2 2 2 2 2 2 2 2 2 2 2 4" xfId="7725" xr:uid="{00000000-0005-0000-0000-00002A1E0000}"/>
    <cellStyle name="Comma 2 2 2 2 2 2 2 2 2 2 2 2 2 5" xfId="7726" xr:uid="{00000000-0005-0000-0000-00002B1E0000}"/>
    <cellStyle name="Comma 2 2 2 2 2 2 2 2 2 2 2 2 2 6" xfId="7727" xr:uid="{00000000-0005-0000-0000-00002C1E0000}"/>
    <cellStyle name="Comma 2 2 2 2 2 2 2 2 2 2 2 2 2 6 10" xfId="7728" xr:uid="{00000000-0005-0000-0000-00002D1E0000}"/>
    <cellStyle name="Comma 2 2 2 2 2 2 2 2 2 2 2 2 2 6 10 2" xfId="7729" xr:uid="{00000000-0005-0000-0000-00002E1E0000}"/>
    <cellStyle name="Comma 2 2 2 2 2 2 2 2 2 2 2 2 2 6 10 3" xfId="7730" xr:uid="{00000000-0005-0000-0000-00002F1E0000}"/>
    <cellStyle name="Comma 2 2 2 2 2 2 2 2 2 2 2 2 2 6 10 4" xfId="7731" xr:uid="{00000000-0005-0000-0000-0000301E0000}"/>
    <cellStyle name="Comma 2 2 2 2 2 2 2 2 2 2 2 2 2 6 10 5" xfId="7732" xr:uid="{00000000-0005-0000-0000-0000311E0000}"/>
    <cellStyle name="Comma 2 2 2 2 2 2 2 2 2 2 2 2 2 6 10 6" xfId="7733" xr:uid="{00000000-0005-0000-0000-0000321E0000}"/>
    <cellStyle name="Comma 2 2 2 2 2 2 2 2 2 2 2 2 2 6 10 7" xfId="7734" xr:uid="{00000000-0005-0000-0000-0000331E0000}"/>
    <cellStyle name="Comma 2 2 2 2 2 2 2 2 2 2 2 2 2 6 10 8" xfId="7735" xr:uid="{00000000-0005-0000-0000-0000341E0000}"/>
    <cellStyle name="Comma 2 2 2 2 2 2 2 2 2 2 2 2 2 6 11" xfId="7736" xr:uid="{00000000-0005-0000-0000-0000351E0000}"/>
    <cellStyle name="Comma 2 2 2 2 2 2 2 2 2 2 2 2 2 6 11 2" xfId="7737" xr:uid="{00000000-0005-0000-0000-0000361E0000}"/>
    <cellStyle name="Comma 2 2 2 2 2 2 2 2 2 2 2 2 2 6 11 3" xfId="7738" xr:uid="{00000000-0005-0000-0000-0000371E0000}"/>
    <cellStyle name="Comma 2 2 2 2 2 2 2 2 2 2 2 2 2 6 11 4" xfId="7739" xr:uid="{00000000-0005-0000-0000-0000381E0000}"/>
    <cellStyle name="Comma 2 2 2 2 2 2 2 2 2 2 2 2 2 6 11 5" xfId="7740" xr:uid="{00000000-0005-0000-0000-0000391E0000}"/>
    <cellStyle name="Comma 2 2 2 2 2 2 2 2 2 2 2 2 2 6 11 6" xfId="7741" xr:uid="{00000000-0005-0000-0000-00003A1E0000}"/>
    <cellStyle name="Comma 2 2 2 2 2 2 2 2 2 2 2 2 2 6 11 7" xfId="7742" xr:uid="{00000000-0005-0000-0000-00003B1E0000}"/>
    <cellStyle name="Comma 2 2 2 2 2 2 2 2 2 2 2 2 2 6 11 8" xfId="7743" xr:uid="{00000000-0005-0000-0000-00003C1E0000}"/>
    <cellStyle name="Comma 2 2 2 2 2 2 2 2 2 2 2 2 2 6 12" xfId="7744" xr:uid="{00000000-0005-0000-0000-00003D1E0000}"/>
    <cellStyle name="Comma 2 2 2 2 2 2 2 2 2 2 2 2 2 6 12 2" xfId="7745" xr:uid="{00000000-0005-0000-0000-00003E1E0000}"/>
    <cellStyle name="Comma 2 2 2 2 2 2 2 2 2 2 2 2 2 6 12 3" xfId="7746" xr:uid="{00000000-0005-0000-0000-00003F1E0000}"/>
    <cellStyle name="Comma 2 2 2 2 2 2 2 2 2 2 2 2 2 6 12 4" xfId="7747" xr:uid="{00000000-0005-0000-0000-0000401E0000}"/>
    <cellStyle name="Comma 2 2 2 2 2 2 2 2 2 2 2 2 2 6 12 5" xfId="7748" xr:uid="{00000000-0005-0000-0000-0000411E0000}"/>
    <cellStyle name="Comma 2 2 2 2 2 2 2 2 2 2 2 2 2 6 12 6" xfId="7749" xr:uid="{00000000-0005-0000-0000-0000421E0000}"/>
    <cellStyle name="Comma 2 2 2 2 2 2 2 2 2 2 2 2 2 6 12 7" xfId="7750" xr:uid="{00000000-0005-0000-0000-0000431E0000}"/>
    <cellStyle name="Comma 2 2 2 2 2 2 2 2 2 2 2 2 2 6 12 8" xfId="7751" xr:uid="{00000000-0005-0000-0000-0000441E0000}"/>
    <cellStyle name="Comma 2 2 2 2 2 2 2 2 2 2 2 2 2 6 13" xfId="7752" xr:uid="{00000000-0005-0000-0000-0000451E0000}"/>
    <cellStyle name="Comma 2 2 2 2 2 2 2 2 2 2 2 2 2 6 13 2" xfId="7753" xr:uid="{00000000-0005-0000-0000-0000461E0000}"/>
    <cellStyle name="Comma 2 2 2 2 2 2 2 2 2 2 2 2 2 6 13 3" xfId="7754" xr:uid="{00000000-0005-0000-0000-0000471E0000}"/>
    <cellStyle name="Comma 2 2 2 2 2 2 2 2 2 2 2 2 2 6 13 4" xfId="7755" xr:uid="{00000000-0005-0000-0000-0000481E0000}"/>
    <cellStyle name="Comma 2 2 2 2 2 2 2 2 2 2 2 2 2 6 13 5" xfId="7756" xr:uid="{00000000-0005-0000-0000-0000491E0000}"/>
    <cellStyle name="Comma 2 2 2 2 2 2 2 2 2 2 2 2 2 6 13 6" xfId="7757" xr:uid="{00000000-0005-0000-0000-00004A1E0000}"/>
    <cellStyle name="Comma 2 2 2 2 2 2 2 2 2 2 2 2 2 6 13 7" xfId="7758" xr:uid="{00000000-0005-0000-0000-00004B1E0000}"/>
    <cellStyle name="Comma 2 2 2 2 2 2 2 2 2 2 2 2 2 6 13 8" xfId="7759" xr:uid="{00000000-0005-0000-0000-00004C1E0000}"/>
    <cellStyle name="Comma 2 2 2 2 2 2 2 2 2 2 2 2 2 6 14" xfId="7760" xr:uid="{00000000-0005-0000-0000-00004D1E0000}"/>
    <cellStyle name="Comma 2 2 2 2 2 2 2 2 2 2 2 2 2 6 14 2" xfId="7761" xr:uid="{00000000-0005-0000-0000-00004E1E0000}"/>
    <cellStyle name="Comma 2 2 2 2 2 2 2 2 2 2 2 2 2 6 2" xfId="7762" xr:uid="{00000000-0005-0000-0000-00004F1E0000}"/>
    <cellStyle name="Comma 2 2 2 2 2 2 2 2 2 2 2 2 2 6 2 10" xfId="7763" xr:uid="{00000000-0005-0000-0000-0000501E0000}"/>
    <cellStyle name="Comma 2 2 2 2 2 2 2 2 2 2 2 2 2 6 2 11" xfId="7764" xr:uid="{00000000-0005-0000-0000-0000511E0000}"/>
    <cellStyle name="Comma 2 2 2 2 2 2 2 2 2 2 2 2 2 6 2 12" xfId="7765" xr:uid="{00000000-0005-0000-0000-0000521E0000}"/>
    <cellStyle name="Comma 2 2 2 2 2 2 2 2 2 2 2 2 2 6 2 12 2" xfId="7766" xr:uid="{00000000-0005-0000-0000-0000531E0000}"/>
    <cellStyle name="Comma 2 2 2 2 2 2 2 2 2 2 2 2 2 6 2 13" xfId="7767" xr:uid="{00000000-0005-0000-0000-0000541E0000}"/>
    <cellStyle name="Comma 2 2 2 2 2 2 2 2 2 2 2 2 2 6 2 14" xfId="7768" xr:uid="{00000000-0005-0000-0000-0000551E0000}"/>
    <cellStyle name="Comma 2 2 2 2 2 2 2 2 2 2 2 2 2 6 2 15" xfId="7769" xr:uid="{00000000-0005-0000-0000-0000561E0000}"/>
    <cellStyle name="Comma 2 2 2 2 2 2 2 2 2 2 2 2 2 6 2 16" xfId="7770" xr:uid="{00000000-0005-0000-0000-0000571E0000}"/>
    <cellStyle name="Comma 2 2 2 2 2 2 2 2 2 2 2 2 2 6 2 17" xfId="7771" xr:uid="{00000000-0005-0000-0000-0000581E0000}"/>
    <cellStyle name="Comma 2 2 2 2 2 2 2 2 2 2 2 2 2 6 2 18" xfId="7772" xr:uid="{00000000-0005-0000-0000-0000591E0000}"/>
    <cellStyle name="Comma 2 2 2 2 2 2 2 2 2 2 2 2 2 6 2 2" xfId="7773" xr:uid="{00000000-0005-0000-0000-00005A1E0000}"/>
    <cellStyle name="Comma 2 2 2 2 2 2 2 2 2 2 2 2 2 6 2 2 2" xfId="7774" xr:uid="{00000000-0005-0000-0000-00005B1E0000}"/>
    <cellStyle name="Comma 2 2 2 2 2 2 2 2 2 2 2 2 2 6 2 2 3" xfId="7775" xr:uid="{00000000-0005-0000-0000-00005C1E0000}"/>
    <cellStyle name="Comma 2 2 2 2 2 2 2 2 2 2 2 2 2 6 2 2 4" xfId="7776" xr:uid="{00000000-0005-0000-0000-00005D1E0000}"/>
    <cellStyle name="Comma 2 2 2 2 2 2 2 2 2 2 2 2 2 6 2 3" xfId="7777" xr:uid="{00000000-0005-0000-0000-00005E1E0000}"/>
    <cellStyle name="Comma 2 2 2 2 2 2 2 2 2 2 2 2 2 6 2 4" xfId="7778" xr:uid="{00000000-0005-0000-0000-00005F1E0000}"/>
    <cellStyle name="Comma 2 2 2 2 2 2 2 2 2 2 2 2 2 6 2 5" xfId="7779" xr:uid="{00000000-0005-0000-0000-0000601E0000}"/>
    <cellStyle name="Comma 2 2 2 2 2 2 2 2 2 2 2 2 2 6 2 6" xfId="7780" xr:uid="{00000000-0005-0000-0000-0000611E0000}"/>
    <cellStyle name="Comma 2 2 2 2 2 2 2 2 2 2 2 2 2 6 2 7" xfId="7781" xr:uid="{00000000-0005-0000-0000-0000621E0000}"/>
    <cellStyle name="Comma 2 2 2 2 2 2 2 2 2 2 2 2 2 6 2 8" xfId="7782" xr:uid="{00000000-0005-0000-0000-0000631E0000}"/>
    <cellStyle name="Comma 2 2 2 2 2 2 2 2 2 2 2 2 2 6 2 9" xfId="7783" xr:uid="{00000000-0005-0000-0000-0000641E0000}"/>
    <cellStyle name="Comma 2 2 2 2 2 2 2 2 2 2 2 2 2 6 3" xfId="7784" xr:uid="{00000000-0005-0000-0000-0000651E0000}"/>
    <cellStyle name="Comma 2 2 2 2 2 2 2 2 2 2 2 2 2 6 3 10" xfId="7785" xr:uid="{00000000-0005-0000-0000-0000661E0000}"/>
    <cellStyle name="Comma 2 2 2 2 2 2 2 2 2 2 2 2 2 6 3 10 2" xfId="7786" xr:uid="{00000000-0005-0000-0000-0000671E0000}"/>
    <cellStyle name="Comma 2 2 2 2 2 2 2 2 2 2 2 2 2 6 3 11" xfId="7787" xr:uid="{00000000-0005-0000-0000-0000681E0000}"/>
    <cellStyle name="Comma 2 2 2 2 2 2 2 2 2 2 2 2 2 6 3 12" xfId="7788" xr:uid="{00000000-0005-0000-0000-0000691E0000}"/>
    <cellStyle name="Comma 2 2 2 2 2 2 2 2 2 2 2 2 2 6 3 13" xfId="7789" xr:uid="{00000000-0005-0000-0000-00006A1E0000}"/>
    <cellStyle name="Comma 2 2 2 2 2 2 2 2 2 2 2 2 2 6 3 14" xfId="7790" xr:uid="{00000000-0005-0000-0000-00006B1E0000}"/>
    <cellStyle name="Comma 2 2 2 2 2 2 2 2 2 2 2 2 2 6 3 15" xfId="7791" xr:uid="{00000000-0005-0000-0000-00006C1E0000}"/>
    <cellStyle name="Comma 2 2 2 2 2 2 2 2 2 2 2 2 2 6 3 16" xfId="7792" xr:uid="{00000000-0005-0000-0000-00006D1E0000}"/>
    <cellStyle name="Comma 2 2 2 2 2 2 2 2 2 2 2 2 2 6 3 2" xfId="7793" xr:uid="{00000000-0005-0000-0000-00006E1E0000}"/>
    <cellStyle name="Comma 2 2 2 2 2 2 2 2 2 2 2 2 2 6 3 2 2" xfId="7794" xr:uid="{00000000-0005-0000-0000-00006F1E0000}"/>
    <cellStyle name="Comma 2 2 2 2 2 2 2 2 2 2 2 2 2 6 3 2 2 2" xfId="7795" xr:uid="{00000000-0005-0000-0000-0000701E0000}"/>
    <cellStyle name="Comma 2 2 2 2 2 2 2 2 2 2 2 2 2 6 3 2 2 3" xfId="7796" xr:uid="{00000000-0005-0000-0000-0000711E0000}"/>
    <cellStyle name="Comma 2 2 2 2 2 2 2 2 2 2 2 2 2 6 3 3" xfId="7797" xr:uid="{00000000-0005-0000-0000-0000721E0000}"/>
    <cellStyle name="Comma 2 2 2 2 2 2 2 2 2 2 2 2 2 6 3 4" xfId="7798" xr:uid="{00000000-0005-0000-0000-0000731E0000}"/>
    <cellStyle name="Comma 2 2 2 2 2 2 2 2 2 2 2 2 2 6 3 5" xfId="7799" xr:uid="{00000000-0005-0000-0000-0000741E0000}"/>
    <cellStyle name="Comma 2 2 2 2 2 2 2 2 2 2 2 2 2 6 3 6" xfId="7800" xr:uid="{00000000-0005-0000-0000-0000751E0000}"/>
    <cellStyle name="Comma 2 2 2 2 2 2 2 2 2 2 2 2 2 6 3 7" xfId="7801" xr:uid="{00000000-0005-0000-0000-0000761E0000}"/>
    <cellStyle name="Comma 2 2 2 2 2 2 2 2 2 2 2 2 2 6 3 8" xfId="7802" xr:uid="{00000000-0005-0000-0000-0000771E0000}"/>
    <cellStyle name="Comma 2 2 2 2 2 2 2 2 2 2 2 2 2 6 3 9" xfId="7803" xr:uid="{00000000-0005-0000-0000-0000781E0000}"/>
    <cellStyle name="Comma 2 2 2 2 2 2 2 2 2 2 2 2 2 6 4" xfId="7804" xr:uid="{00000000-0005-0000-0000-0000791E0000}"/>
    <cellStyle name="Comma 2 2 2 2 2 2 2 2 2 2 2 2 2 6 4 10" xfId="7805" xr:uid="{00000000-0005-0000-0000-00007A1E0000}"/>
    <cellStyle name="Comma 2 2 2 2 2 2 2 2 2 2 2 2 2 6 4 11" xfId="7806" xr:uid="{00000000-0005-0000-0000-00007B1E0000}"/>
    <cellStyle name="Comma 2 2 2 2 2 2 2 2 2 2 2 2 2 6 4 12" xfId="7807" xr:uid="{00000000-0005-0000-0000-00007C1E0000}"/>
    <cellStyle name="Comma 2 2 2 2 2 2 2 2 2 2 2 2 2 6 4 13" xfId="7808" xr:uid="{00000000-0005-0000-0000-00007D1E0000}"/>
    <cellStyle name="Comma 2 2 2 2 2 2 2 2 2 2 2 2 2 6 4 14" xfId="7809" xr:uid="{00000000-0005-0000-0000-00007E1E0000}"/>
    <cellStyle name="Comma 2 2 2 2 2 2 2 2 2 2 2 2 2 6 4 15" xfId="7810" xr:uid="{00000000-0005-0000-0000-00007F1E0000}"/>
    <cellStyle name="Comma 2 2 2 2 2 2 2 2 2 2 2 2 2 6 4 2" xfId="7811" xr:uid="{00000000-0005-0000-0000-0000801E0000}"/>
    <cellStyle name="Comma 2 2 2 2 2 2 2 2 2 2 2 2 2 6 4 3" xfId="7812" xr:uid="{00000000-0005-0000-0000-0000811E0000}"/>
    <cellStyle name="Comma 2 2 2 2 2 2 2 2 2 2 2 2 2 6 4 4" xfId="7813" xr:uid="{00000000-0005-0000-0000-0000821E0000}"/>
    <cellStyle name="Comma 2 2 2 2 2 2 2 2 2 2 2 2 2 6 4 5" xfId="7814" xr:uid="{00000000-0005-0000-0000-0000831E0000}"/>
    <cellStyle name="Comma 2 2 2 2 2 2 2 2 2 2 2 2 2 6 4 6" xfId="7815" xr:uid="{00000000-0005-0000-0000-0000841E0000}"/>
    <cellStyle name="Comma 2 2 2 2 2 2 2 2 2 2 2 2 2 6 4 7" xfId="7816" xr:uid="{00000000-0005-0000-0000-0000851E0000}"/>
    <cellStyle name="Comma 2 2 2 2 2 2 2 2 2 2 2 2 2 6 4 8" xfId="7817" xr:uid="{00000000-0005-0000-0000-0000861E0000}"/>
    <cellStyle name="Comma 2 2 2 2 2 2 2 2 2 2 2 2 2 6 4 9" xfId="7818" xr:uid="{00000000-0005-0000-0000-0000871E0000}"/>
    <cellStyle name="Comma 2 2 2 2 2 2 2 2 2 2 2 2 2 6 4 9 2" xfId="7819" xr:uid="{00000000-0005-0000-0000-0000881E0000}"/>
    <cellStyle name="Comma 2 2 2 2 2 2 2 2 2 2 2 2 2 6 5" xfId="7820" xr:uid="{00000000-0005-0000-0000-0000891E0000}"/>
    <cellStyle name="Comma 2 2 2 2 2 2 2 2 2 2 2 2 2 6 5 10" xfId="7821" xr:uid="{00000000-0005-0000-0000-00008A1E0000}"/>
    <cellStyle name="Comma 2 2 2 2 2 2 2 2 2 2 2 2 2 6 5 11" xfId="7822" xr:uid="{00000000-0005-0000-0000-00008B1E0000}"/>
    <cellStyle name="Comma 2 2 2 2 2 2 2 2 2 2 2 2 2 6 5 12" xfId="7823" xr:uid="{00000000-0005-0000-0000-00008C1E0000}"/>
    <cellStyle name="Comma 2 2 2 2 2 2 2 2 2 2 2 2 2 6 5 13" xfId="7824" xr:uid="{00000000-0005-0000-0000-00008D1E0000}"/>
    <cellStyle name="Comma 2 2 2 2 2 2 2 2 2 2 2 2 2 6 5 14" xfId="7825" xr:uid="{00000000-0005-0000-0000-00008E1E0000}"/>
    <cellStyle name="Comma 2 2 2 2 2 2 2 2 2 2 2 2 2 6 5 2" xfId="7826" xr:uid="{00000000-0005-0000-0000-00008F1E0000}"/>
    <cellStyle name="Comma 2 2 2 2 2 2 2 2 2 2 2 2 2 6 5 3" xfId="7827" xr:uid="{00000000-0005-0000-0000-0000901E0000}"/>
    <cellStyle name="Comma 2 2 2 2 2 2 2 2 2 2 2 2 2 6 5 4" xfId="7828" xr:uid="{00000000-0005-0000-0000-0000911E0000}"/>
    <cellStyle name="Comma 2 2 2 2 2 2 2 2 2 2 2 2 2 6 5 5" xfId="7829" xr:uid="{00000000-0005-0000-0000-0000921E0000}"/>
    <cellStyle name="Comma 2 2 2 2 2 2 2 2 2 2 2 2 2 6 5 6" xfId="7830" xr:uid="{00000000-0005-0000-0000-0000931E0000}"/>
    <cellStyle name="Comma 2 2 2 2 2 2 2 2 2 2 2 2 2 6 5 7" xfId="7831" xr:uid="{00000000-0005-0000-0000-0000941E0000}"/>
    <cellStyle name="Comma 2 2 2 2 2 2 2 2 2 2 2 2 2 6 5 8" xfId="7832" xr:uid="{00000000-0005-0000-0000-0000951E0000}"/>
    <cellStyle name="Comma 2 2 2 2 2 2 2 2 2 2 2 2 2 6 5 8 2" xfId="7833" xr:uid="{00000000-0005-0000-0000-0000961E0000}"/>
    <cellStyle name="Comma 2 2 2 2 2 2 2 2 2 2 2 2 2 6 5 9" xfId="7834" xr:uid="{00000000-0005-0000-0000-0000971E0000}"/>
    <cellStyle name="Comma 2 2 2 2 2 2 2 2 2 2 2 2 2 6 6" xfId="7835" xr:uid="{00000000-0005-0000-0000-0000981E0000}"/>
    <cellStyle name="Comma 2 2 2 2 2 2 2 2 2 2 2 2 2 6 6 10" xfId="7836" xr:uid="{00000000-0005-0000-0000-0000991E0000}"/>
    <cellStyle name="Comma 2 2 2 2 2 2 2 2 2 2 2 2 2 6 6 11" xfId="7837" xr:uid="{00000000-0005-0000-0000-00009A1E0000}"/>
    <cellStyle name="Comma 2 2 2 2 2 2 2 2 2 2 2 2 2 6 6 12" xfId="7838" xr:uid="{00000000-0005-0000-0000-00009B1E0000}"/>
    <cellStyle name="Comma 2 2 2 2 2 2 2 2 2 2 2 2 2 6 6 13" xfId="7839" xr:uid="{00000000-0005-0000-0000-00009C1E0000}"/>
    <cellStyle name="Comma 2 2 2 2 2 2 2 2 2 2 2 2 2 6 6 2" xfId="7840" xr:uid="{00000000-0005-0000-0000-00009D1E0000}"/>
    <cellStyle name="Comma 2 2 2 2 2 2 2 2 2 2 2 2 2 6 6 3" xfId="7841" xr:uid="{00000000-0005-0000-0000-00009E1E0000}"/>
    <cellStyle name="Comma 2 2 2 2 2 2 2 2 2 2 2 2 2 6 6 4" xfId="7842" xr:uid="{00000000-0005-0000-0000-00009F1E0000}"/>
    <cellStyle name="Comma 2 2 2 2 2 2 2 2 2 2 2 2 2 6 6 5" xfId="7843" xr:uid="{00000000-0005-0000-0000-0000A01E0000}"/>
    <cellStyle name="Comma 2 2 2 2 2 2 2 2 2 2 2 2 2 6 6 6" xfId="7844" xr:uid="{00000000-0005-0000-0000-0000A11E0000}"/>
    <cellStyle name="Comma 2 2 2 2 2 2 2 2 2 2 2 2 2 6 6 7" xfId="7845" xr:uid="{00000000-0005-0000-0000-0000A21E0000}"/>
    <cellStyle name="Comma 2 2 2 2 2 2 2 2 2 2 2 2 2 6 6 7 2" xfId="7846" xr:uid="{00000000-0005-0000-0000-0000A31E0000}"/>
    <cellStyle name="Comma 2 2 2 2 2 2 2 2 2 2 2 2 2 6 6 8" xfId="7847" xr:uid="{00000000-0005-0000-0000-0000A41E0000}"/>
    <cellStyle name="Comma 2 2 2 2 2 2 2 2 2 2 2 2 2 6 6 9" xfId="7848" xr:uid="{00000000-0005-0000-0000-0000A51E0000}"/>
    <cellStyle name="Comma 2 2 2 2 2 2 2 2 2 2 2 2 2 6 7" xfId="7849" xr:uid="{00000000-0005-0000-0000-0000A61E0000}"/>
    <cellStyle name="Comma 2 2 2 2 2 2 2 2 2 2 2 2 2 6 8" xfId="7850" xr:uid="{00000000-0005-0000-0000-0000A71E0000}"/>
    <cellStyle name="Comma 2 2 2 2 2 2 2 2 2 2 2 2 2 6 9" xfId="7851" xr:uid="{00000000-0005-0000-0000-0000A81E0000}"/>
    <cellStyle name="Comma 2 2 2 2 2 2 2 2 2 2 2 2 2 6 9 2" xfId="7852" xr:uid="{00000000-0005-0000-0000-0000A91E0000}"/>
    <cellStyle name="Comma 2 2 2 2 2 2 2 2 2 2 2 2 2 6 9 3" xfId="7853" xr:uid="{00000000-0005-0000-0000-0000AA1E0000}"/>
    <cellStyle name="Comma 2 2 2 2 2 2 2 2 2 2 2 2 2 6 9 4" xfId="7854" xr:uid="{00000000-0005-0000-0000-0000AB1E0000}"/>
    <cellStyle name="Comma 2 2 2 2 2 2 2 2 2 2 2 2 2 6 9 5" xfId="7855" xr:uid="{00000000-0005-0000-0000-0000AC1E0000}"/>
    <cellStyle name="Comma 2 2 2 2 2 2 2 2 2 2 2 2 2 6 9 6" xfId="7856" xr:uid="{00000000-0005-0000-0000-0000AD1E0000}"/>
    <cellStyle name="Comma 2 2 2 2 2 2 2 2 2 2 2 2 2 6 9 7" xfId="7857" xr:uid="{00000000-0005-0000-0000-0000AE1E0000}"/>
    <cellStyle name="Comma 2 2 2 2 2 2 2 2 2 2 2 2 2 6 9 8" xfId="7858" xr:uid="{00000000-0005-0000-0000-0000AF1E0000}"/>
    <cellStyle name="Comma 2 2 2 2 2 2 2 2 2 2 2 2 2 7" xfId="7859" xr:uid="{00000000-0005-0000-0000-0000B01E0000}"/>
    <cellStyle name="Comma 2 2 2 2 2 2 2 2 2 2 2 2 2 7 2" xfId="7860" xr:uid="{00000000-0005-0000-0000-0000B11E0000}"/>
    <cellStyle name="Comma 2 2 2 2 2 2 2 2 2 2 2 2 2 7 2 10" xfId="7861" xr:uid="{00000000-0005-0000-0000-0000B21E0000}"/>
    <cellStyle name="Comma 2 2 2 2 2 2 2 2 2 2 2 2 2 7 2 11" xfId="7862" xr:uid="{00000000-0005-0000-0000-0000B31E0000}"/>
    <cellStyle name="Comma 2 2 2 2 2 2 2 2 2 2 2 2 2 7 2 12" xfId="7863" xr:uid="{00000000-0005-0000-0000-0000B41E0000}"/>
    <cellStyle name="Comma 2 2 2 2 2 2 2 2 2 2 2 2 2 7 2 2" xfId="7864" xr:uid="{00000000-0005-0000-0000-0000B51E0000}"/>
    <cellStyle name="Comma 2 2 2 2 2 2 2 2 2 2 2 2 2 7 2 2 2" xfId="7865" xr:uid="{00000000-0005-0000-0000-0000B61E0000}"/>
    <cellStyle name="Comma 2 2 2 2 2 2 2 2 2 2 2 2 2 7 2 2 2 2" xfId="7866" xr:uid="{00000000-0005-0000-0000-0000B71E0000}"/>
    <cellStyle name="Comma 2 2 2 2 2 2 2 2 2 2 2 2 2 7 2 2 3" xfId="7867" xr:uid="{00000000-0005-0000-0000-0000B81E0000}"/>
    <cellStyle name="Comma 2 2 2 2 2 2 2 2 2 2 2 2 2 7 2 2 3 2" xfId="7868" xr:uid="{00000000-0005-0000-0000-0000B91E0000}"/>
    <cellStyle name="Comma 2 2 2 2 2 2 2 2 2 2 2 2 2 7 2 2 4" xfId="7869" xr:uid="{00000000-0005-0000-0000-0000BA1E0000}"/>
    <cellStyle name="Comma 2 2 2 2 2 2 2 2 2 2 2 2 2 7 2 2 4 2" xfId="7870" xr:uid="{00000000-0005-0000-0000-0000BB1E0000}"/>
    <cellStyle name="Comma 2 2 2 2 2 2 2 2 2 2 2 2 2 7 2 2 5" xfId="7871" xr:uid="{00000000-0005-0000-0000-0000BC1E0000}"/>
    <cellStyle name="Comma 2 2 2 2 2 2 2 2 2 2 2 2 2 7 2 3" xfId="7872" xr:uid="{00000000-0005-0000-0000-0000BD1E0000}"/>
    <cellStyle name="Comma 2 2 2 2 2 2 2 2 2 2 2 2 2 7 2 3 2" xfId="7873" xr:uid="{00000000-0005-0000-0000-0000BE1E0000}"/>
    <cellStyle name="Comma 2 2 2 2 2 2 2 2 2 2 2 2 2 7 2 3 3" xfId="7874" xr:uid="{00000000-0005-0000-0000-0000BF1E0000}"/>
    <cellStyle name="Comma 2 2 2 2 2 2 2 2 2 2 2 2 2 7 2 4" xfId="7875" xr:uid="{00000000-0005-0000-0000-0000C01E0000}"/>
    <cellStyle name="Comma 2 2 2 2 2 2 2 2 2 2 2 2 2 7 2 4 2" xfId="7876" xr:uid="{00000000-0005-0000-0000-0000C11E0000}"/>
    <cellStyle name="Comma 2 2 2 2 2 2 2 2 2 2 2 2 2 7 2 5" xfId="7877" xr:uid="{00000000-0005-0000-0000-0000C21E0000}"/>
    <cellStyle name="Comma 2 2 2 2 2 2 2 2 2 2 2 2 2 7 2 6" xfId="7878" xr:uid="{00000000-0005-0000-0000-0000C31E0000}"/>
    <cellStyle name="Comma 2 2 2 2 2 2 2 2 2 2 2 2 2 7 2 6 2" xfId="7879" xr:uid="{00000000-0005-0000-0000-0000C41E0000}"/>
    <cellStyle name="Comma 2 2 2 2 2 2 2 2 2 2 2 2 2 7 2 7" xfId="7880" xr:uid="{00000000-0005-0000-0000-0000C51E0000}"/>
    <cellStyle name="Comma 2 2 2 2 2 2 2 2 2 2 2 2 2 7 2 8" xfId="7881" xr:uid="{00000000-0005-0000-0000-0000C61E0000}"/>
    <cellStyle name="Comma 2 2 2 2 2 2 2 2 2 2 2 2 2 7 2 9" xfId="7882" xr:uid="{00000000-0005-0000-0000-0000C71E0000}"/>
    <cellStyle name="Comma 2 2 2 2 2 2 2 2 2 2 2 2 2 7 3" xfId="7883" xr:uid="{00000000-0005-0000-0000-0000C81E0000}"/>
    <cellStyle name="Comma 2 2 2 2 2 2 2 2 2 2 2 2 2 7 3 10" xfId="7884" xr:uid="{00000000-0005-0000-0000-0000C91E0000}"/>
    <cellStyle name="Comma 2 2 2 2 2 2 2 2 2 2 2 2 2 7 3 11" xfId="7885" xr:uid="{00000000-0005-0000-0000-0000CA1E0000}"/>
    <cellStyle name="Comma 2 2 2 2 2 2 2 2 2 2 2 2 2 7 3 12" xfId="7886" xr:uid="{00000000-0005-0000-0000-0000CB1E0000}"/>
    <cellStyle name="Comma 2 2 2 2 2 2 2 2 2 2 2 2 2 7 3 2" xfId="7887" xr:uid="{00000000-0005-0000-0000-0000CC1E0000}"/>
    <cellStyle name="Comma 2 2 2 2 2 2 2 2 2 2 2 2 2 7 3 2 2" xfId="7888" xr:uid="{00000000-0005-0000-0000-0000CD1E0000}"/>
    <cellStyle name="Comma 2 2 2 2 2 2 2 2 2 2 2 2 2 7 3 2 3" xfId="7889" xr:uid="{00000000-0005-0000-0000-0000CE1E0000}"/>
    <cellStyle name="Comma 2 2 2 2 2 2 2 2 2 2 2 2 2 7 3 2 4" xfId="7890" xr:uid="{00000000-0005-0000-0000-0000CF1E0000}"/>
    <cellStyle name="Comma 2 2 2 2 2 2 2 2 2 2 2 2 2 7 3 3" xfId="7891" xr:uid="{00000000-0005-0000-0000-0000D01E0000}"/>
    <cellStyle name="Comma 2 2 2 2 2 2 2 2 2 2 2 2 2 7 3 3 2" xfId="7892" xr:uid="{00000000-0005-0000-0000-0000D11E0000}"/>
    <cellStyle name="Comma 2 2 2 2 2 2 2 2 2 2 2 2 2 7 3 4" xfId="7893" xr:uid="{00000000-0005-0000-0000-0000D21E0000}"/>
    <cellStyle name="Comma 2 2 2 2 2 2 2 2 2 2 2 2 2 7 3 5" xfId="7894" xr:uid="{00000000-0005-0000-0000-0000D31E0000}"/>
    <cellStyle name="Comma 2 2 2 2 2 2 2 2 2 2 2 2 2 7 3 6" xfId="7895" xr:uid="{00000000-0005-0000-0000-0000D41E0000}"/>
    <cellStyle name="Comma 2 2 2 2 2 2 2 2 2 2 2 2 2 7 3 6 2" xfId="7896" xr:uid="{00000000-0005-0000-0000-0000D51E0000}"/>
    <cellStyle name="Comma 2 2 2 2 2 2 2 2 2 2 2 2 2 7 3 7" xfId="7897" xr:uid="{00000000-0005-0000-0000-0000D61E0000}"/>
    <cellStyle name="Comma 2 2 2 2 2 2 2 2 2 2 2 2 2 7 3 8" xfId="7898" xr:uid="{00000000-0005-0000-0000-0000D71E0000}"/>
    <cellStyle name="Comma 2 2 2 2 2 2 2 2 2 2 2 2 2 7 3 9" xfId="7899" xr:uid="{00000000-0005-0000-0000-0000D81E0000}"/>
    <cellStyle name="Comma 2 2 2 2 2 2 2 2 2 2 2 2 2 7 4" xfId="7900" xr:uid="{00000000-0005-0000-0000-0000D91E0000}"/>
    <cellStyle name="Comma 2 2 2 2 2 2 2 2 2 2 2 2 2 7 4 10" xfId="7901" xr:uid="{00000000-0005-0000-0000-0000DA1E0000}"/>
    <cellStyle name="Comma 2 2 2 2 2 2 2 2 2 2 2 2 2 7 4 11" xfId="7902" xr:uid="{00000000-0005-0000-0000-0000DB1E0000}"/>
    <cellStyle name="Comma 2 2 2 2 2 2 2 2 2 2 2 2 2 7 4 12" xfId="7903" xr:uid="{00000000-0005-0000-0000-0000DC1E0000}"/>
    <cellStyle name="Comma 2 2 2 2 2 2 2 2 2 2 2 2 2 7 4 2" xfId="7904" xr:uid="{00000000-0005-0000-0000-0000DD1E0000}"/>
    <cellStyle name="Comma 2 2 2 2 2 2 2 2 2 2 2 2 2 7 4 3" xfId="7905" xr:uid="{00000000-0005-0000-0000-0000DE1E0000}"/>
    <cellStyle name="Comma 2 2 2 2 2 2 2 2 2 2 2 2 2 7 4 4" xfId="7906" xr:uid="{00000000-0005-0000-0000-0000DF1E0000}"/>
    <cellStyle name="Comma 2 2 2 2 2 2 2 2 2 2 2 2 2 7 4 5" xfId="7907" xr:uid="{00000000-0005-0000-0000-0000E01E0000}"/>
    <cellStyle name="Comma 2 2 2 2 2 2 2 2 2 2 2 2 2 7 4 6" xfId="7908" xr:uid="{00000000-0005-0000-0000-0000E11E0000}"/>
    <cellStyle name="Comma 2 2 2 2 2 2 2 2 2 2 2 2 2 7 4 6 2" xfId="7909" xr:uid="{00000000-0005-0000-0000-0000E21E0000}"/>
    <cellStyle name="Comma 2 2 2 2 2 2 2 2 2 2 2 2 2 7 4 7" xfId="7910" xr:uid="{00000000-0005-0000-0000-0000E31E0000}"/>
    <cellStyle name="Comma 2 2 2 2 2 2 2 2 2 2 2 2 2 7 4 8" xfId="7911" xr:uid="{00000000-0005-0000-0000-0000E41E0000}"/>
    <cellStyle name="Comma 2 2 2 2 2 2 2 2 2 2 2 2 2 7 4 9" xfId="7912" xr:uid="{00000000-0005-0000-0000-0000E51E0000}"/>
    <cellStyle name="Comma 2 2 2 2 2 2 2 2 2 2 2 2 2 7 5" xfId="7913" xr:uid="{00000000-0005-0000-0000-0000E61E0000}"/>
    <cellStyle name="Comma 2 2 2 2 2 2 2 2 2 2 2 2 2 7 5 10" xfId="7914" xr:uid="{00000000-0005-0000-0000-0000E71E0000}"/>
    <cellStyle name="Comma 2 2 2 2 2 2 2 2 2 2 2 2 2 7 5 11" xfId="7915" xr:uid="{00000000-0005-0000-0000-0000E81E0000}"/>
    <cellStyle name="Comma 2 2 2 2 2 2 2 2 2 2 2 2 2 7 5 12" xfId="7916" xr:uid="{00000000-0005-0000-0000-0000E91E0000}"/>
    <cellStyle name="Comma 2 2 2 2 2 2 2 2 2 2 2 2 2 7 5 2" xfId="7917" xr:uid="{00000000-0005-0000-0000-0000EA1E0000}"/>
    <cellStyle name="Comma 2 2 2 2 2 2 2 2 2 2 2 2 2 7 5 3" xfId="7918" xr:uid="{00000000-0005-0000-0000-0000EB1E0000}"/>
    <cellStyle name="Comma 2 2 2 2 2 2 2 2 2 2 2 2 2 7 5 4" xfId="7919" xr:uid="{00000000-0005-0000-0000-0000EC1E0000}"/>
    <cellStyle name="Comma 2 2 2 2 2 2 2 2 2 2 2 2 2 7 5 5" xfId="7920" xr:uid="{00000000-0005-0000-0000-0000ED1E0000}"/>
    <cellStyle name="Comma 2 2 2 2 2 2 2 2 2 2 2 2 2 7 5 6" xfId="7921" xr:uid="{00000000-0005-0000-0000-0000EE1E0000}"/>
    <cellStyle name="Comma 2 2 2 2 2 2 2 2 2 2 2 2 2 7 5 6 2" xfId="7922" xr:uid="{00000000-0005-0000-0000-0000EF1E0000}"/>
    <cellStyle name="Comma 2 2 2 2 2 2 2 2 2 2 2 2 2 7 5 7" xfId="7923" xr:uid="{00000000-0005-0000-0000-0000F01E0000}"/>
    <cellStyle name="Comma 2 2 2 2 2 2 2 2 2 2 2 2 2 7 5 8" xfId="7924" xr:uid="{00000000-0005-0000-0000-0000F11E0000}"/>
    <cellStyle name="Comma 2 2 2 2 2 2 2 2 2 2 2 2 2 7 5 9" xfId="7925" xr:uid="{00000000-0005-0000-0000-0000F21E0000}"/>
    <cellStyle name="Comma 2 2 2 2 2 2 2 2 2 2 2 2 2 7 6" xfId="7926" xr:uid="{00000000-0005-0000-0000-0000F31E0000}"/>
    <cellStyle name="Comma 2 2 2 2 2 2 2 2 2 2 2 2 2 7 6 2" xfId="7927" xr:uid="{00000000-0005-0000-0000-0000F41E0000}"/>
    <cellStyle name="Comma 2 2 2 2 2 2 2 2 2 2 2 2 2 7 6 3" xfId="7928" xr:uid="{00000000-0005-0000-0000-0000F51E0000}"/>
    <cellStyle name="Comma 2 2 2 2 2 2 2 2 2 2 2 2 2 7 6 4" xfId="7929" xr:uid="{00000000-0005-0000-0000-0000F61E0000}"/>
    <cellStyle name="Comma 2 2 2 2 2 2 2 2 2 2 2 2 2 7 6 5" xfId="7930" xr:uid="{00000000-0005-0000-0000-0000F71E0000}"/>
    <cellStyle name="Comma 2 2 2 2 2 2 2 2 2 2 2 2 2 7 6 6" xfId="7931" xr:uid="{00000000-0005-0000-0000-0000F81E0000}"/>
    <cellStyle name="Comma 2 2 2 2 2 2 2 2 2 2 2 2 2 7 6 7" xfId="7932" xr:uid="{00000000-0005-0000-0000-0000F91E0000}"/>
    <cellStyle name="Comma 2 2 2 2 2 2 2 2 2 2 2 2 2 7 6 8" xfId="7933" xr:uid="{00000000-0005-0000-0000-0000FA1E0000}"/>
    <cellStyle name="Comma 2 2 2 2 2 2 2 2 2 2 2 2 2 7 7" xfId="7934" xr:uid="{00000000-0005-0000-0000-0000FB1E0000}"/>
    <cellStyle name="Comma 2 2 2 2 2 2 2 2 2 2 2 2 2 7 7 2" xfId="7935" xr:uid="{00000000-0005-0000-0000-0000FC1E0000}"/>
    <cellStyle name="Comma 2 2 2 2 2 2 2 2 2 2 2 2 2 7 7 3" xfId="7936" xr:uid="{00000000-0005-0000-0000-0000FD1E0000}"/>
    <cellStyle name="Comma 2 2 2 2 2 2 2 2 2 2 2 2 2 7 7 4" xfId="7937" xr:uid="{00000000-0005-0000-0000-0000FE1E0000}"/>
    <cellStyle name="Comma 2 2 2 2 2 2 2 2 2 2 2 2 2 7 7 5" xfId="7938" xr:uid="{00000000-0005-0000-0000-0000FF1E0000}"/>
    <cellStyle name="Comma 2 2 2 2 2 2 2 2 2 2 2 2 2 7 7 6" xfId="7939" xr:uid="{00000000-0005-0000-0000-0000001F0000}"/>
    <cellStyle name="Comma 2 2 2 2 2 2 2 2 2 2 2 2 2 7 7 7" xfId="7940" xr:uid="{00000000-0005-0000-0000-0000011F0000}"/>
    <cellStyle name="Comma 2 2 2 2 2 2 2 2 2 2 2 2 2 7 7 8" xfId="7941" xr:uid="{00000000-0005-0000-0000-0000021F0000}"/>
    <cellStyle name="Comma 2 2 2 2 2 2 2 2 2 2 2 2 2 7 8" xfId="7942" xr:uid="{00000000-0005-0000-0000-0000031F0000}"/>
    <cellStyle name="Comma 2 2 2 2 2 2 2 2 2 2 2 2 2 7 8 2" xfId="7943" xr:uid="{00000000-0005-0000-0000-0000041F0000}"/>
    <cellStyle name="Comma 2 2 2 2 2 2 2 2 2 2 2 2 2 7 8 3" xfId="7944" xr:uid="{00000000-0005-0000-0000-0000051F0000}"/>
    <cellStyle name="Comma 2 2 2 2 2 2 2 2 2 2 2 2 2 7 8 4" xfId="7945" xr:uid="{00000000-0005-0000-0000-0000061F0000}"/>
    <cellStyle name="Comma 2 2 2 2 2 2 2 2 2 2 2 2 2 7 8 5" xfId="7946" xr:uid="{00000000-0005-0000-0000-0000071F0000}"/>
    <cellStyle name="Comma 2 2 2 2 2 2 2 2 2 2 2 2 2 7 8 6" xfId="7947" xr:uid="{00000000-0005-0000-0000-0000081F0000}"/>
    <cellStyle name="Comma 2 2 2 2 2 2 2 2 2 2 2 2 2 7 8 7" xfId="7948" xr:uid="{00000000-0005-0000-0000-0000091F0000}"/>
    <cellStyle name="Comma 2 2 2 2 2 2 2 2 2 2 2 2 2 7 8 8" xfId="7949" xr:uid="{00000000-0005-0000-0000-00000A1F0000}"/>
    <cellStyle name="Comma 2 2 2 2 2 2 2 2 2 2 2 2 2 7 9" xfId="7950" xr:uid="{00000000-0005-0000-0000-00000B1F0000}"/>
    <cellStyle name="Comma 2 2 2 2 2 2 2 2 2 2 2 2 2 7 9 2" xfId="7951" xr:uid="{00000000-0005-0000-0000-00000C1F0000}"/>
    <cellStyle name="Comma 2 2 2 2 2 2 2 2 2 2 2 2 2 7 9 3" xfId="7952" xr:uid="{00000000-0005-0000-0000-00000D1F0000}"/>
    <cellStyle name="Comma 2 2 2 2 2 2 2 2 2 2 2 2 2 7 9 4" xfId="7953" xr:uid="{00000000-0005-0000-0000-00000E1F0000}"/>
    <cellStyle name="Comma 2 2 2 2 2 2 2 2 2 2 2 2 2 7 9 5" xfId="7954" xr:uid="{00000000-0005-0000-0000-00000F1F0000}"/>
    <cellStyle name="Comma 2 2 2 2 2 2 2 2 2 2 2 2 2 7 9 6" xfId="7955" xr:uid="{00000000-0005-0000-0000-0000101F0000}"/>
    <cellStyle name="Comma 2 2 2 2 2 2 2 2 2 2 2 2 2 7 9 7" xfId="7956" xr:uid="{00000000-0005-0000-0000-0000111F0000}"/>
    <cellStyle name="Comma 2 2 2 2 2 2 2 2 2 2 2 2 2 7 9 8" xfId="7957" xr:uid="{00000000-0005-0000-0000-0000121F0000}"/>
    <cellStyle name="Comma 2 2 2 2 2 2 2 2 2 2 2 2 2 8" xfId="7958" xr:uid="{00000000-0005-0000-0000-0000131F0000}"/>
    <cellStyle name="Comma 2 2 2 2 2 2 2 2 2 2 2 2 2 8 2" xfId="7959" xr:uid="{00000000-0005-0000-0000-0000141F0000}"/>
    <cellStyle name="Comma 2 2 2 2 2 2 2 2 2 2 2 2 2 8 2 10" xfId="7960" xr:uid="{00000000-0005-0000-0000-0000151F0000}"/>
    <cellStyle name="Comma 2 2 2 2 2 2 2 2 2 2 2 2 2 8 2 11" xfId="7961" xr:uid="{00000000-0005-0000-0000-0000161F0000}"/>
    <cellStyle name="Comma 2 2 2 2 2 2 2 2 2 2 2 2 2 8 2 12" xfId="7962" xr:uid="{00000000-0005-0000-0000-0000171F0000}"/>
    <cellStyle name="Comma 2 2 2 2 2 2 2 2 2 2 2 2 2 8 2 2" xfId="7963" xr:uid="{00000000-0005-0000-0000-0000181F0000}"/>
    <cellStyle name="Comma 2 2 2 2 2 2 2 2 2 2 2 2 2 8 2 2 2" xfId="7964" xr:uid="{00000000-0005-0000-0000-0000191F0000}"/>
    <cellStyle name="Comma 2 2 2 2 2 2 2 2 2 2 2 2 2 8 2 2 3" xfId="7965" xr:uid="{00000000-0005-0000-0000-00001A1F0000}"/>
    <cellStyle name="Comma 2 2 2 2 2 2 2 2 2 2 2 2 2 8 2 2 4" xfId="7966" xr:uid="{00000000-0005-0000-0000-00001B1F0000}"/>
    <cellStyle name="Comma 2 2 2 2 2 2 2 2 2 2 2 2 2 8 2 3" xfId="7967" xr:uid="{00000000-0005-0000-0000-00001C1F0000}"/>
    <cellStyle name="Comma 2 2 2 2 2 2 2 2 2 2 2 2 2 8 2 3 2" xfId="7968" xr:uid="{00000000-0005-0000-0000-00001D1F0000}"/>
    <cellStyle name="Comma 2 2 2 2 2 2 2 2 2 2 2 2 2 8 2 4" xfId="7969" xr:uid="{00000000-0005-0000-0000-00001E1F0000}"/>
    <cellStyle name="Comma 2 2 2 2 2 2 2 2 2 2 2 2 2 8 2 5" xfId="7970" xr:uid="{00000000-0005-0000-0000-00001F1F0000}"/>
    <cellStyle name="Comma 2 2 2 2 2 2 2 2 2 2 2 2 2 8 2 6" xfId="7971" xr:uid="{00000000-0005-0000-0000-0000201F0000}"/>
    <cellStyle name="Comma 2 2 2 2 2 2 2 2 2 2 2 2 2 8 2 6 2" xfId="7972" xr:uid="{00000000-0005-0000-0000-0000211F0000}"/>
    <cellStyle name="Comma 2 2 2 2 2 2 2 2 2 2 2 2 2 8 2 7" xfId="7973" xr:uid="{00000000-0005-0000-0000-0000221F0000}"/>
    <cellStyle name="Comma 2 2 2 2 2 2 2 2 2 2 2 2 2 8 2 8" xfId="7974" xr:uid="{00000000-0005-0000-0000-0000231F0000}"/>
    <cellStyle name="Comma 2 2 2 2 2 2 2 2 2 2 2 2 2 8 2 9" xfId="7975" xr:uid="{00000000-0005-0000-0000-0000241F0000}"/>
    <cellStyle name="Comma 2 2 2 2 2 2 2 2 2 2 2 2 2 8 3" xfId="7976" xr:uid="{00000000-0005-0000-0000-0000251F0000}"/>
    <cellStyle name="Comma 2 2 2 2 2 2 2 2 2 2 2 2 2 8 3 10" xfId="7977" xr:uid="{00000000-0005-0000-0000-0000261F0000}"/>
    <cellStyle name="Comma 2 2 2 2 2 2 2 2 2 2 2 2 2 8 3 11" xfId="7978" xr:uid="{00000000-0005-0000-0000-0000271F0000}"/>
    <cellStyle name="Comma 2 2 2 2 2 2 2 2 2 2 2 2 2 8 3 12" xfId="7979" xr:uid="{00000000-0005-0000-0000-0000281F0000}"/>
    <cellStyle name="Comma 2 2 2 2 2 2 2 2 2 2 2 2 2 8 3 2" xfId="7980" xr:uid="{00000000-0005-0000-0000-0000291F0000}"/>
    <cellStyle name="Comma 2 2 2 2 2 2 2 2 2 2 2 2 2 8 3 3" xfId="7981" xr:uid="{00000000-0005-0000-0000-00002A1F0000}"/>
    <cellStyle name="Comma 2 2 2 2 2 2 2 2 2 2 2 2 2 8 3 4" xfId="7982" xr:uid="{00000000-0005-0000-0000-00002B1F0000}"/>
    <cellStyle name="Comma 2 2 2 2 2 2 2 2 2 2 2 2 2 8 3 5" xfId="7983" xr:uid="{00000000-0005-0000-0000-00002C1F0000}"/>
    <cellStyle name="Comma 2 2 2 2 2 2 2 2 2 2 2 2 2 8 3 6" xfId="7984" xr:uid="{00000000-0005-0000-0000-00002D1F0000}"/>
    <cellStyle name="Comma 2 2 2 2 2 2 2 2 2 2 2 2 2 8 3 6 2" xfId="7985" xr:uid="{00000000-0005-0000-0000-00002E1F0000}"/>
    <cellStyle name="Comma 2 2 2 2 2 2 2 2 2 2 2 2 2 8 3 7" xfId="7986" xr:uid="{00000000-0005-0000-0000-00002F1F0000}"/>
    <cellStyle name="Comma 2 2 2 2 2 2 2 2 2 2 2 2 2 8 3 8" xfId="7987" xr:uid="{00000000-0005-0000-0000-0000301F0000}"/>
    <cellStyle name="Comma 2 2 2 2 2 2 2 2 2 2 2 2 2 8 3 9" xfId="7988" xr:uid="{00000000-0005-0000-0000-0000311F0000}"/>
    <cellStyle name="Comma 2 2 2 2 2 2 2 2 2 2 2 2 2 8 4" xfId="7989" xr:uid="{00000000-0005-0000-0000-0000321F0000}"/>
    <cellStyle name="Comma 2 2 2 2 2 2 2 2 2 2 2 2 2 8 4 10" xfId="7990" xr:uid="{00000000-0005-0000-0000-0000331F0000}"/>
    <cellStyle name="Comma 2 2 2 2 2 2 2 2 2 2 2 2 2 8 4 11" xfId="7991" xr:uid="{00000000-0005-0000-0000-0000341F0000}"/>
    <cellStyle name="Comma 2 2 2 2 2 2 2 2 2 2 2 2 2 8 4 12" xfId="7992" xr:uid="{00000000-0005-0000-0000-0000351F0000}"/>
    <cellStyle name="Comma 2 2 2 2 2 2 2 2 2 2 2 2 2 8 4 2" xfId="7993" xr:uid="{00000000-0005-0000-0000-0000361F0000}"/>
    <cellStyle name="Comma 2 2 2 2 2 2 2 2 2 2 2 2 2 8 4 3" xfId="7994" xr:uid="{00000000-0005-0000-0000-0000371F0000}"/>
    <cellStyle name="Comma 2 2 2 2 2 2 2 2 2 2 2 2 2 8 4 4" xfId="7995" xr:uid="{00000000-0005-0000-0000-0000381F0000}"/>
    <cellStyle name="Comma 2 2 2 2 2 2 2 2 2 2 2 2 2 8 4 5" xfId="7996" xr:uid="{00000000-0005-0000-0000-0000391F0000}"/>
    <cellStyle name="Comma 2 2 2 2 2 2 2 2 2 2 2 2 2 8 4 6" xfId="7997" xr:uid="{00000000-0005-0000-0000-00003A1F0000}"/>
    <cellStyle name="Comma 2 2 2 2 2 2 2 2 2 2 2 2 2 8 4 6 2" xfId="7998" xr:uid="{00000000-0005-0000-0000-00003B1F0000}"/>
    <cellStyle name="Comma 2 2 2 2 2 2 2 2 2 2 2 2 2 8 4 7" xfId="7999" xr:uid="{00000000-0005-0000-0000-00003C1F0000}"/>
    <cellStyle name="Comma 2 2 2 2 2 2 2 2 2 2 2 2 2 8 4 8" xfId="8000" xr:uid="{00000000-0005-0000-0000-00003D1F0000}"/>
    <cellStyle name="Comma 2 2 2 2 2 2 2 2 2 2 2 2 2 8 4 9" xfId="8001" xr:uid="{00000000-0005-0000-0000-00003E1F0000}"/>
    <cellStyle name="Comma 2 2 2 2 2 2 2 2 2 2 2 2 2 8 5" xfId="8002" xr:uid="{00000000-0005-0000-0000-00003F1F0000}"/>
    <cellStyle name="Comma 2 2 2 2 2 2 2 2 2 2 2 2 2 8 5 2" xfId="8003" xr:uid="{00000000-0005-0000-0000-0000401F0000}"/>
    <cellStyle name="Comma 2 2 2 2 2 2 2 2 2 2 2 2 2 8 5 3" xfId="8004" xr:uid="{00000000-0005-0000-0000-0000411F0000}"/>
    <cellStyle name="Comma 2 2 2 2 2 2 2 2 2 2 2 2 2 8 5 4" xfId="8005" xr:uid="{00000000-0005-0000-0000-0000421F0000}"/>
    <cellStyle name="Comma 2 2 2 2 2 2 2 2 2 2 2 2 2 8 5 5" xfId="8006" xr:uid="{00000000-0005-0000-0000-0000431F0000}"/>
    <cellStyle name="Comma 2 2 2 2 2 2 2 2 2 2 2 2 2 8 5 6" xfId="8007" xr:uid="{00000000-0005-0000-0000-0000441F0000}"/>
    <cellStyle name="Comma 2 2 2 2 2 2 2 2 2 2 2 2 2 8 5 7" xfId="8008" xr:uid="{00000000-0005-0000-0000-0000451F0000}"/>
    <cellStyle name="Comma 2 2 2 2 2 2 2 2 2 2 2 2 2 8 5 8" xfId="8009" xr:uid="{00000000-0005-0000-0000-0000461F0000}"/>
    <cellStyle name="Comma 2 2 2 2 2 2 2 2 2 2 2 2 2 8 6" xfId="8010" xr:uid="{00000000-0005-0000-0000-0000471F0000}"/>
    <cellStyle name="Comma 2 2 2 2 2 2 2 2 2 2 2 2 2 8 6 2" xfId="8011" xr:uid="{00000000-0005-0000-0000-0000481F0000}"/>
    <cellStyle name="Comma 2 2 2 2 2 2 2 2 2 2 2 2 2 8 6 3" xfId="8012" xr:uid="{00000000-0005-0000-0000-0000491F0000}"/>
    <cellStyle name="Comma 2 2 2 2 2 2 2 2 2 2 2 2 2 8 6 4" xfId="8013" xr:uid="{00000000-0005-0000-0000-00004A1F0000}"/>
    <cellStyle name="Comma 2 2 2 2 2 2 2 2 2 2 2 2 2 8 6 5" xfId="8014" xr:uid="{00000000-0005-0000-0000-00004B1F0000}"/>
    <cellStyle name="Comma 2 2 2 2 2 2 2 2 2 2 2 2 2 8 6 6" xfId="8015" xr:uid="{00000000-0005-0000-0000-00004C1F0000}"/>
    <cellStyle name="Comma 2 2 2 2 2 2 2 2 2 2 2 2 2 8 6 7" xfId="8016" xr:uid="{00000000-0005-0000-0000-00004D1F0000}"/>
    <cellStyle name="Comma 2 2 2 2 2 2 2 2 2 2 2 2 2 8 6 8" xfId="8017" xr:uid="{00000000-0005-0000-0000-00004E1F0000}"/>
    <cellStyle name="Comma 2 2 2 2 2 2 2 2 2 2 2 2 2 8 7" xfId="8018" xr:uid="{00000000-0005-0000-0000-00004F1F0000}"/>
    <cellStyle name="Comma 2 2 2 2 2 2 2 2 2 2 2 2 2 8 7 2" xfId="8019" xr:uid="{00000000-0005-0000-0000-0000501F0000}"/>
    <cellStyle name="Comma 2 2 2 2 2 2 2 2 2 2 2 2 2 8 7 3" xfId="8020" xr:uid="{00000000-0005-0000-0000-0000511F0000}"/>
    <cellStyle name="Comma 2 2 2 2 2 2 2 2 2 2 2 2 2 8 7 4" xfId="8021" xr:uid="{00000000-0005-0000-0000-0000521F0000}"/>
    <cellStyle name="Comma 2 2 2 2 2 2 2 2 2 2 2 2 2 8 7 5" xfId="8022" xr:uid="{00000000-0005-0000-0000-0000531F0000}"/>
    <cellStyle name="Comma 2 2 2 2 2 2 2 2 2 2 2 2 2 8 7 6" xfId="8023" xr:uid="{00000000-0005-0000-0000-0000541F0000}"/>
    <cellStyle name="Comma 2 2 2 2 2 2 2 2 2 2 2 2 2 8 7 7" xfId="8024" xr:uid="{00000000-0005-0000-0000-0000551F0000}"/>
    <cellStyle name="Comma 2 2 2 2 2 2 2 2 2 2 2 2 2 8 7 8" xfId="8025" xr:uid="{00000000-0005-0000-0000-0000561F0000}"/>
    <cellStyle name="Comma 2 2 2 2 2 2 2 2 2 2 2 2 2 8 8" xfId="8026" xr:uid="{00000000-0005-0000-0000-0000571F0000}"/>
    <cellStyle name="Comma 2 2 2 2 2 2 2 2 2 2 2 2 2 9" xfId="8027" xr:uid="{00000000-0005-0000-0000-0000581F0000}"/>
    <cellStyle name="Comma 2 2 2 2 2 2 2 2 2 2 2 2 2 9 2" xfId="8028" xr:uid="{00000000-0005-0000-0000-0000591F0000}"/>
    <cellStyle name="Comma 2 2 2 2 2 2 2 2 2 2 2 2 2 9 2 10" xfId="8029" xr:uid="{00000000-0005-0000-0000-00005A1F0000}"/>
    <cellStyle name="Comma 2 2 2 2 2 2 2 2 2 2 2 2 2 9 2 11" xfId="8030" xr:uid="{00000000-0005-0000-0000-00005B1F0000}"/>
    <cellStyle name="Comma 2 2 2 2 2 2 2 2 2 2 2 2 2 9 2 12" xfId="8031" xr:uid="{00000000-0005-0000-0000-00005C1F0000}"/>
    <cellStyle name="Comma 2 2 2 2 2 2 2 2 2 2 2 2 2 9 2 13" xfId="8032" xr:uid="{00000000-0005-0000-0000-00005D1F0000}"/>
    <cellStyle name="Comma 2 2 2 2 2 2 2 2 2 2 2 2 2 9 2 2" xfId="8033" xr:uid="{00000000-0005-0000-0000-00005E1F0000}"/>
    <cellStyle name="Comma 2 2 2 2 2 2 2 2 2 2 2 2 2 9 2 2 2" xfId="8034" xr:uid="{00000000-0005-0000-0000-00005F1F0000}"/>
    <cellStyle name="Comma 2 2 2 2 2 2 2 2 2 2 2 2 2 9 2 2 3" xfId="8035" xr:uid="{00000000-0005-0000-0000-0000601F0000}"/>
    <cellStyle name="Comma 2 2 2 2 2 2 2 2 2 2 2 2 2 9 2 2 4" xfId="8036" xr:uid="{00000000-0005-0000-0000-0000611F0000}"/>
    <cellStyle name="Comma 2 2 2 2 2 2 2 2 2 2 2 2 2 9 2 3" xfId="8037" xr:uid="{00000000-0005-0000-0000-0000621F0000}"/>
    <cellStyle name="Comma 2 2 2 2 2 2 2 2 2 2 2 2 2 9 2 3 2" xfId="8038" xr:uid="{00000000-0005-0000-0000-0000631F0000}"/>
    <cellStyle name="Comma 2 2 2 2 2 2 2 2 2 2 2 2 2 9 2 4" xfId="8039" xr:uid="{00000000-0005-0000-0000-0000641F0000}"/>
    <cellStyle name="Comma 2 2 2 2 2 2 2 2 2 2 2 2 2 9 2 5" xfId="8040" xr:uid="{00000000-0005-0000-0000-0000651F0000}"/>
    <cellStyle name="Comma 2 2 2 2 2 2 2 2 2 2 2 2 2 9 2 6" xfId="8041" xr:uid="{00000000-0005-0000-0000-0000661F0000}"/>
    <cellStyle name="Comma 2 2 2 2 2 2 2 2 2 2 2 2 2 9 2 6 2" xfId="8042" xr:uid="{00000000-0005-0000-0000-0000671F0000}"/>
    <cellStyle name="Comma 2 2 2 2 2 2 2 2 2 2 2 2 2 9 2 7" xfId="8043" xr:uid="{00000000-0005-0000-0000-0000681F0000}"/>
    <cellStyle name="Comma 2 2 2 2 2 2 2 2 2 2 2 2 2 9 2 8" xfId="8044" xr:uid="{00000000-0005-0000-0000-0000691F0000}"/>
    <cellStyle name="Comma 2 2 2 2 2 2 2 2 2 2 2 2 2 9 2 9" xfId="8045" xr:uid="{00000000-0005-0000-0000-00006A1F0000}"/>
    <cellStyle name="Comma 2 2 2 2 2 2 2 2 2 2 2 2 2 9 3" xfId="8046" xr:uid="{00000000-0005-0000-0000-00006B1F0000}"/>
    <cellStyle name="Comma 2 2 2 2 2 2 2 2 2 2 2 2 2 9 3 10" xfId="8047" xr:uid="{00000000-0005-0000-0000-00006C1F0000}"/>
    <cellStyle name="Comma 2 2 2 2 2 2 2 2 2 2 2 2 2 9 3 11" xfId="8048" xr:uid="{00000000-0005-0000-0000-00006D1F0000}"/>
    <cellStyle name="Comma 2 2 2 2 2 2 2 2 2 2 2 2 2 9 3 12" xfId="8049" xr:uid="{00000000-0005-0000-0000-00006E1F0000}"/>
    <cellStyle name="Comma 2 2 2 2 2 2 2 2 2 2 2 2 2 9 3 2" xfId="8050" xr:uid="{00000000-0005-0000-0000-00006F1F0000}"/>
    <cellStyle name="Comma 2 2 2 2 2 2 2 2 2 2 2 2 2 9 3 3" xfId="8051" xr:uid="{00000000-0005-0000-0000-0000701F0000}"/>
    <cellStyle name="Comma 2 2 2 2 2 2 2 2 2 2 2 2 2 9 3 4" xfId="8052" xr:uid="{00000000-0005-0000-0000-0000711F0000}"/>
    <cellStyle name="Comma 2 2 2 2 2 2 2 2 2 2 2 2 2 9 3 5" xfId="8053" xr:uid="{00000000-0005-0000-0000-0000721F0000}"/>
    <cellStyle name="Comma 2 2 2 2 2 2 2 2 2 2 2 2 2 9 3 6" xfId="8054" xr:uid="{00000000-0005-0000-0000-0000731F0000}"/>
    <cellStyle name="Comma 2 2 2 2 2 2 2 2 2 2 2 2 2 9 3 6 2" xfId="8055" xr:uid="{00000000-0005-0000-0000-0000741F0000}"/>
    <cellStyle name="Comma 2 2 2 2 2 2 2 2 2 2 2 2 2 9 3 7" xfId="8056" xr:uid="{00000000-0005-0000-0000-0000751F0000}"/>
    <cellStyle name="Comma 2 2 2 2 2 2 2 2 2 2 2 2 2 9 3 8" xfId="8057" xr:uid="{00000000-0005-0000-0000-0000761F0000}"/>
    <cellStyle name="Comma 2 2 2 2 2 2 2 2 2 2 2 2 2 9 3 9" xfId="8058" xr:uid="{00000000-0005-0000-0000-0000771F0000}"/>
    <cellStyle name="Comma 2 2 2 2 2 2 2 2 2 2 2 2 2 9 4" xfId="8059" xr:uid="{00000000-0005-0000-0000-0000781F0000}"/>
    <cellStyle name="Comma 2 2 2 2 2 2 2 2 2 2 2 2 2 9 4 2" xfId="8060" xr:uid="{00000000-0005-0000-0000-0000791F0000}"/>
    <cellStyle name="Comma 2 2 2 2 2 2 2 2 2 2 2 2 2 9 4 3" xfId="8061" xr:uid="{00000000-0005-0000-0000-00007A1F0000}"/>
    <cellStyle name="Comma 2 2 2 2 2 2 2 2 2 2 2 2 2 9 4 4" xfId="8062" xr:uid="{00000000-0005-0000-0000-00007B1F0000}"/>
    <cellStyle name="Comma 2 2 2 2 2 2 2 2 2 2 2 2 2 9 4 5" xfId="8063" xr:uid="{00000000-0005-0000-0000-00007C1F0000}"/>
    <cellStyle name="Comma 2 2 2 2 2 2 2 2 2 2 2 2 2 9 4 6" xfId="8064" xr:uid="{00000000-0005-0000-0000-00007D1F0000}"/>
    <cellStyle name="Comma 2 2 2 2 2 2 2 2 2 2 2 2 2 9 4 7" xfId="8065" xr:uid="{00000000-0005-0000-0000-00007E1F0000}"/>
    <cellStyle name="Comma 2 2 2 2 2 2 2 2 2 2 2 2 2 9 4 8" xfId="8066" xr:uid="{00000000-0005-0000-0000-00007F1F0000}"/>
    <cellStyle name="Comma 2 2 2 2 2 2 2 2 2 2 2 2 2 9 5" xfId="8067" xr:uid="{00000000-0005-0000-0000-0000801F0000}"/>
    <cellStyle name="Comma 2 2 2 2 2 2 2 2 2 2 2 2 2 9 5 2" xfId="8068" xr:uid="{00000000-0005-0000-0000-0000811F0000}"/>
    <cellStyle name="Comma 2 2 2 2 2 2 2 2 2 2 2 2 2 9 5 3" xfId="8069" xr:uid="{00000000-0005-0000-0000-0000821F0000}"/>
    <cellStyle name="Comma 2 2 2 2 2 2 2 2 2 2 2 2 2 9 5 4" xfId="8070" xr:uid="{00000000-0005-0000-0000-0000831F0000}"/>
    <cellStyle name="Comma 2 2 2 2 2 2 2 2 2 2 2 2 2 9 5 5" xfId="8071" xr:uid="{00000000-0005-0000-0000-0000841F0000}"/>
    <cellStyle name="Comma 2 2 2 2 2 2 2 2 2 2 2 2 2 9 5 6" xfId="8072" xr:uid="{00000000-0005-0000-0000-0000851F0000}"/>
    <cellStyle name="Comma 2 2 2 2 2 2 2 2 2 2 2 2 2 9 5 7" xfId="8073" xr:uid="{00000000-0005-0000-0000-0000861F0000}"/>
    <cellStyle name="Comma 2 2 2 2 2 2 2 2 2 2 2 2 2 9 5 8" xfId="8074" xr:uid="{00000000-0005-0000-0000-0000871F0000}"/>
    <cellStyle name="Comma 2 2 2 2 2 2 2 2 2 2 2 2 2 9 6" xfId="8075" xr:uid="{00000000-0005-0000-0000-0000881F0000}"/>
    <cellStyle name="Comma 2 2 2 2 2 2 2 2 2 2 2 2 2 9 7" xfId="8076" xr:uid="{00000000-0005-0000-0000-0000891F0000}"/>
    <cellStyle name="Comma 2 2 2 2 2 2 2 2 2 2 2 2 2 9 8" xfId="8077" xr:uid="{00000000-0005-0000-0000-00008A1F0000}"/>
    <cellStyle name="Comma 2 2 2 2 2 2 2 2 2 2 2 2 20" xfId="8078" xr:uid="{00000000-0005-0000-0000-00008B1F0000}"/>
    <cellStyle name="Comma 2 2 2 2 2 2 2 2 2 2 2 2 20 2" xfId="8079" xr:uid="{00000000-0005-0000-0000-00008C1F0000}"/>
    <cellStyle name="Comma 2 2 2 2 2 2 2 2 2 2 2 2 21" xfId="8080" xr:uid="{00000000-0005-0000-0000-00008D1F0000}"/>
    <cellStyle name="Comma 2 2 2 2 2 2 2 2 2 2 2 2 3" xfId="8081" xr:uid="{00000000-0005-0000-0000-00008E1F0000}"/>
    <cellStyle name="Comma 2 2 2 2 2 2 2 2 2 2 2 2 3 10" xfId="8082" xr:uid="{00000000-0005-0000-0000-00008F1F0000}"/>
    <cellStyle name="Comma 2 2 2 2 2 2 2 2 2 2 2 2 3 10 2" xfId="8083" xr:uid="{00000000-0005-0000-0000-0000901F0000}"/>
    <cellStyle name="Comma 2 2 2 2 2 2 2 2 2 2 2 2 3 10 3" xfId="8084" xr:uid="{00000000-0005-0000-0000-0000911F0000}"/>
    <cellStyle name="Comma 2 2 2 2 2 2 2 2 2 2 2 2 3 10 4" xfId="8085" xr:uid="{00000000-0005-0000-0000-0000921F0000}"/>
    <cellStyle name="Comma 2 2 2 2 2 2 2 2 2 2 2 2 3 10 5" xfId="8086" xr:uid="{00000000-0005-0000-0000-0000931F0000}"/>
    <cellStyle name="Comma 2 2 2 2 2 2 2 2 2 2 2 2 3 10 6" xfId="8087" xr:uid="{00000000-0005-0000-0000-0000941F0000}"/>
    <cellStyle name="Comma 2 2 2 2 2 2 2 2 2 2 2 2 3 10 7" xfId="8088" xr:uid="{00000000-0005-0000-0000-0000951F0000}"/>
    <cellStyle name="Comma 2 2 2 2 2 2 2 2 2 2 2 2 3 10 8" xfId="8089" xr:uid="{00000000-0005-0000-0000-0000961F0000}"/>
    <cellStyle name="Comma 2 2 2 2 2 2 2 2 2 2 2 2 3 11" xfId="8090" xr:uid="{00000000-0005-0000-0000-0000971F0000}"/>
    <cellStyle name="Comma 2 2 2 2 2 2 2 2 2 2 2 2 3 11 2" xfId="8091" xr:uid="{00000000-0005-0000-0000-0000981F0000}"/>
    <cellStyle name="Comma 2 2 2 2 2 2 2 2 2 2 2 2 3 11 3" xfId="8092" xr:uid="{00000000-0005-0000-0000-0000991F0000}"/>
    <cellStyle name="Comma 2 2 2 2 2 2 2 2 2 2 2 2 3 11 4" xfId="8093" xr:uid="{00000000-0005-0000-0000-00009A1F0000}"/>
    <cellStyle name="Comma 2 2 2 2 2 2 2 2 2 2 2 2 3 11 5" xfId="8094" xr:uid="{00000000-0005-0000-0000-00009B1F0000}"/>
    <cellStyle name="Comma 2 2 2 2 2 2 2 2 2 2 2 2 3 11 6" xfId="8095" xr:uid="{00000000-0005-0000-0000-00009C1F0000}"/>
    <cellStyle name="Comma 2 2 2 2 2 2 2 2 2 2 2 2 3 11 7" xfId="8096" xr:uid="{00000000-0005-0000-0000-00009D1F0000}"/>
    <cellStyle name="Comma 2 2 2 2 2 2 2 2 2 2 2 2 3 11 8" xfId="8097" xr:uid="{00000000-0005-0000-0000-00009E1F0000}"/>
    <cellStyle name="Comma 2 2 2 2 2 2 2 2 2 2 2 2 3 12" xfId="8098" xr:uid="{00000000-0005-0000-0000-00009F1F0000}"/>
    <cellStyle name="Comma 2 2 2 2 2 2 2 2 2 2 2 2 3 12 2" xfId="8099" xr:uid="{00000000-0005-0000-0000-0000A01F0000}"/>
    <cellStyle name="Comma 2 2 2 2 2 2 2 2 2 2 2 2 3 12 3" xfId="8100" xr:uid="{00000000-0005-0000-0000-0000A11F0000}"/>
    <cellStyle name="Comma 2 2 2 2 2 2 2 2 2 2 2 2 3 12 4" xfId="8101" xr:uid="{00000000-0005-0000-0000-0000A21F0000}"/>
    <cellStyle name="Comma 2 2 2 2 2 2 2 2 2 2 2 2 3 12 5" xfId="8102" xr:uid="{00000000-0005-0000-0000-0000A31F0000}"/>
    <cellStyle name="Comma 2 2 2 2 2 2 2 2 2 2 2 2 3 12 6" xfId="8103" xr:uid="{00000000-0005-0000-0000-0000A41F0000}"/>
    <cellStyle name="Comma 2 2 2 2 2 2 2 2 2 2 2 2 3 12 7" xfId="8104" xr:uid="{00000000-0005-0000-0000-0000A51F0000}"/>
    <cellStyle name="Comma 2 2 2 2 2 2 2 2 2 2 2 2 3 12 8" xfId="8105" xr:uid="{00000000-0005-0000-0000-0000A61F0000}"/>
    <cellStyle name="Comma 2 2 2 2 2 2 2 2 2 2 2 2 3 13" xfId="8106" xr:uid="{00000000-0005-0000-0000-0000A71F0000}"/>
    <cellStyle name="Comma 2 2 2 2 2 2 2 2 2 2 2 2 3 13 2" xfId="8107" xr:uid="{00000000-0005-0000-0000-0000A81F0000}"/>
    <cellStyle name="Comma 2 2 2 2 2 2 2 2 2 2 2 2 3 13 3" xfId="8108" xr:uid="{00000000-0005-0000-0000-0000A91F0000}"/>
    <cellStyle name="Comma 2 2 2 2 2 2 2 2 2 2 2 2 3 13 4" xfId="8109" xr:uid="{00000000-0005-0000-0000-0000AA1F0000}"/>
    <cellStyle name="Comma 2 2 2 2 2 2 2 2 2 2 2 2 3 13 5" xfId="8110" xr:uid="{00000000-0005-0000-0000-0000AB1F0000}"/>
    <cellStyle name="Comma 2 2 2 2 2 2 2 2 2 2 2 2 3 13 6" xfId="8111" xr:uid="{00000000-0005-0000-0000-0000AC1F0000}"/>
    <cellStyle name="Comma 2 2 2 2 2 2 2 2 2 2 2 2 3 13 7" xfId="8112" xr:uid="{00000000-0005-0000-0000-0000AD1F0000}"/>
    <cellStyle name="Comma 2 2 2 2 2 2 2 2 2 2 2 2 3 13 8" xfId="8113" xr:uid="{00000000-0005-0000-0000-0000AE1F0000}"/>
    <cellStyle name="Comma 2 2 2 2 2 2 2 2 2 2 2 2 3 14" xfId="8114" xr:uid="{00000000-0005-0000-0000-0000AF1F0000}"/>
    <cellStyle name="Comma 2 2 2 2 2 2 2 2 2 2 2 2 3 14 2" xfId="8115" xr:uid="{00000000-0005-0000-0000-0000B01F0000}"/>
    <cellStyle name="Comma 2 2 2 2 2 2 2 2 2 2 2 2 3 14 3" xfId="8116" xr:uid="{00000000-0005-0000-0000-0000B11F0000}"/>
    <cellStyle name="Comma 2 2 2 2 2 2 2 2 2 2 2 2 3 15" xfId="8117" xr:uid="{00000000-0005-0000-0000-0000B21F0000}"/>
    <cellStyle name="Comma 2 2 2 2 2 2 2 2 2 2 2 2 3 16" xfId="8118" xr:uid="{00000000-0005-0000-0000-0000B31F0000}"/>
    <cellStyle name="Comma 2 2 2 2 2 2 2 2 2 2 2 2 3 16 2" xfId="8119" xr:uid="{00000000-0005-0000-0000-0000B41F0000}"/>
    <cellStyle name="Comma 2 2 2 2 2 2 2 2 2 2 2 2 3 17" xfId="8120" xr:uid="{00000000-0005-0000-0000-0000B51F0000}"/>
    <cellStyle name="Comma 2 2 2 2 2 2 2 2 2 2 2 2 3 17 2" xfId="8121" xr:uid="{00000000-0005-0000-0000-0000B61F0000}"/>
    <cellStyle name="Comma 2 2 2 2 2 2 2 2 2 2 2 2 3 18" xfId="8122" xr:uid="{00000000-0005-0000-0000-0000B71F0000}"/>
    <cellStyle name="Comma 2 2 2 2 2 2 2 2 2 2 2 2 3 19" xfId="8123" xr:uid="{00000000-0005-0000-0000-0000B81F0000}"/>
    <cellStyle name="Comma 2 2 2 2 2 2 2 2 2 2 2 2 3 2" xfId="8124" xr:uid="{00000000-0005-0000-0000-0000B91F0000}"/>
    <cellStyle name="Comma 2 2 2 2 2 2 2 2 2 2 2 2 3 2 2" xfId="8125" xr:uid="{00000000-0005-0000-0000-0000BA1F0000}"/>
    <cellStyle name="Comma 2 2 2 2 2 2 2 2 2 2 2 2 3 2 3" xfId="8126" xr:uid="{00000000-0005-0000-0000-0000BB1F0000}"/>
    <cellStyle name="Comma 2 2 2 2 2 2 2 2 2 2 2 2 3 2 4" xfId="8127" xr:uid="{00000000-0005-0000-0000-0000BC1F0000}"/>
    <cellStyle name="Comma 2 2 2 2 2 2 2 2 2 2 2 2 3 2 5" xfId="8128" xr:uid="{00000000-0005-0000-0000-0000BD1F0000}"/>
    <cellStyle name="Comma 2 2 2 2 2 2 2 2 2 2 2 2 3 20" xfId="8129" xr:uid="{00000000-0005-0000-0000-0000BE1F0000}"/>
    <cellStyle name="Comma 2 2 2 2 2 2 2 2 2 2 2 2 3 21" xfId="8130" xr:uid="{00000000-0005-0000-0000-0000BF1F0000}"/>
    <cellStyle name="Comma 2 2 2 2 2 2 2 2 2 2 2 2 3 22" xfId="8131" xr:uid="{00000000-0005-0000-0000-0000C01F0000}"/>
    <cellStyle name="Comma 2 2 2 2 2 2 2 2 2 2 2 2 3 23" xfId="8132" xr:uid="{00000000-0005-0000-0000-0000C11F0000}"/>
    <cellStyle name="Comma 2 2 2 2 2 2 2 2 2 2 2 2 3 24" xfId="8133" xr:uid="{00000000-0005-0000-0000-0000C21F0000}"/>
    <cellStyle name="Comma 2 2 2 2 2 2 2 2 2 2 2 2 3 25" xfId="8134" xr:uid="{00000000-0005-0000-0000-0000C31F0000}"/>
    <cellStyle name="Comma 2 2 2 2 2 2 2 2 2 2 2 2 3 3" xfId="8135" xr:uid="{00000000-0005-0000-0000-0000C41F0000}"/>
    <cellStyle name="Comma 2 2 2 2 2 2 2 2 2 2 2 2 3 3 2" xfId="8136" xr:uid="{00000000-0005-0000-0000-0000C51F0000}"/>
    <cellStyle name="Comma 2 2 2 2 2 2 2 2 2 2 2 2 3 3 3" xfId="8137" xr:uid="{00000000-0005-0000-0000-0000C61F0000}"/>
    <cellStyle name="Comma 2 2 2 2 2 2 2 2 2 2 2 2 3 4" xfId="8138" xr:uid="{00000000-0005-0000-0000-0000C71F0000}"/>
    <cellStyle name="Comma 2 2 2 2 2 2 2 2 2 2 2 2 3 4 2" xfId="8139" xr:uid="{00000000-0005-0000-0000-0000C81F0000}"/>
    <cellStyle name="Comma 2 2 2 2 2 2 2 2 2 2 2 2 3 5" xfId="8140" xr:uid="{00000000-0005-0000-0000-0000C91F0000}"/>
    <cellStyle name="Comma 2 2 2 2 2 2 2 2 2 2 2 2 3 5 2" xfId="8141" xr:uid="{00000000-0005-0000-0000-0000CA1F0000}"/>
    <cellStyle name="Comma 2 2 2 2 2 2 2 2 2 2 2 2 3 5 3" xfId="8142" xr:uid="{00000000-0005-0000-0000-0000CB1F0000}"/>
    <cellStyle name="Comma 2 2 2 2 2 2 2 2 2 2 2 2 3 5 4" xfId="8143" xr:uid="{00000000-0005-0000-0000-0000CC1F0000}"/>
    <cellStyle name="Comma 2 2 2 2 2 2 2 2 2 2 2 2 3 5 5" xfId="8144" xr:uid="{00000000-0005-0000-0000-0000CD1F0000}"/>
    <cellStyle name="Comma 2 2 2 2 2 2 2 2 2 2 2 2 3 5 6" xfId="8145" xr:uid="{00000000-0005-0000-0000-0000CE1F0000}"/>
    <cellStyle name="Comma 2 2 2 2 2 2 2 2 2 2 2 2 3 5 7" xfId="8146" xr:uid="{00000000-0005-0000-0000-0000CF1F0000}"/>
    <cellStyle name="Comma 2 2 2 2 2 2 2 2 2 2 2 2 3 5 8" xfId="8147" xr:uid="{00000000-0005-0000-0000-0000D01F0000}"/>
    <cellStyle name="Comma 2 2 2 2 2 2 2 2 2 2 2 2 3 6" xfId="8148" xr:uid="{00000000-0005-0000-0000-0000D11F0000}"/>
    <cellStyle name="Comma 2 2 2 2 2 2 2 2 2 2 2 2 3 6 2" xfId="8149" xr:uid="{00000000-0005-0000-0000-0000D21F0000}"/>
    <cellStyle name="Comma 2 2 2 2 2 2 2 2 2 2 2 2 3 7" xfId="8150" xr:uid="{00000000-0005-0000-0000-0000D31F0000}"/>
    <cellStyle name="Comma 2 2 2 2 2 2 2 2 2 2 2 2 3 7 2" xfId="8151" xr:uid="{00000000-0005-0000-0000-0000D41F0000}"/>
    <cellStyle name="Comma 2 2 2 2 2 2 2 2 2 2 2 2 3 7 3" xfId="8152" xr:uid="{00000000-0005-0000-0000-0000D51F0000}"/>
    <cellStyle name="Comma 2 2 2 2 2 2 2 2 2 2 2 2 3 7 4" xfId="8153" xr:uid="{00000000-0005-0000-0000-0000D61F0000}"/>
    <cellStyle name="Comma 2 2 2 2 2 2 2 2 2 2 2 2 3 7 5" xfId="8154" xr:uid="{00000000-0005-0000-0000-0000D71F0000}"/>
    <cellStyle name="Comma 2 2 2 2 2 2 2 2 2 2 2 2 3 7 6" xfId="8155" xr:uid="{00000000-0005-0000-0000-0000D81F0000}"/>
    <cellStyle name="Comma 2 2 2 2 2 2 2 2 2 2 2 2 3 7 7" xfId="8156" xr:uid="{00000000-0005-0000-0000-0000D91F0000}"/>
    <cellStyle name="Comma 2 2 2 2 2 2 2 2 2 2 2 2 3 7 8" xfId="8157" xr:uid="{00000000-0005-0000-0000-0000DA1F0000}"/>
    <cellStyle name="Comma 2 2 2 2 2 2 2 2 2 2 2 2 3 8" xfId="8158" xr:uid="{00000000-0005-0000-0000-0000DB1F0000}"/>
    <cellStyle name="Comma 2 2 2 2 2 2 2 2 2 2 2 2 3 8 2" xfId="8159" xr:uid="{00000000-0005-0000-0000-0000DC1F0000}"/>
    <cellStyle name="Comma 2 2 2 2 2 2 2 2 2 2 2 2 3 8 3" xfId="8160" xr:uid="{00000000-0005-0000-0000-0000DD1F0000}"/>
    <cellStyle name="Comma 2 2 2 2 2 2 2 2 2 2 2 2 3 8 4" xfId="8161" xr:uid="{00000000-0005-0000-0000-0000DE1F0000}"/>
    <cellStyle name="Comma 2 2 2 2 2 2 2 2 2 2 2 2 3 8 5" xfId="8162" xr:uid="{00000000-0005-0000-0000-0000DF1F0000}"/>
    <cellStyle name="Comma 2 2 2 2 2 2 2 2 2 2 2 2 3 8 6" xfId="8163" xr:uid="{00000000-0005-0000-0000-0000E01F0000}"/>
    <cellStyle name="Comma 2 2 2 2 2 2 2 2 2 2 2 2 3 8 7" xfId="8164" xr:uid="{00000000-0005-0000-0000-0000E11F0000}"/>
    <cellStyle name="Comma 2 2 2 2 2 2 2 2 2 2 2 2 3 8 8" xfId="8165" xr:uid="{00000000-0005-0000-0000-0000E21F0000}"/>
    <cellStyle name="Comma 2 2 2 2 2 2 2 2 2 2 2 2 3 9" xfId="8166" xr:uid="{00000000-0005-0000-0000-0000E31F0000}"/>
    <cellStyle name="Comma 2 2 2 2 2 2 2 2 2 2 2 2 3 9 2" xfId="8167" xr:uid="{00000000-0005-0000-0000-0000E41F0000}"/>
    <cellStyle name="Comma 2 2 2 2 2 2 2 2 2 2 2 2 3 9 3" xfId="8168" xr:uid="{00000000-0005-0000-0000-0000E51F0000}"/>
    <cellStyle name="Comma 2 2 2 2 2 2 2 2 2 2 2 2 3 9 4" xfId="8169" xr:uid="{00000000-0005-0000-0000-0000E61F0000}"/>
    <cellStyle name="Comma 2 2 2 2 2 2 2 2 2 2 2 2 3 9 5" xfId="8170" xr:uid="{00000000-0005-0000-0000-0000E71F0000}"/>
    <cellStyle name="Comma 2 2 2 2 2 2 2 2 2 2 2 2 3 9 6" xfId="8171" xr:uid="{00000000-0005-0000-0000-0000E81F0000}"/>
    <cellStyle name="Comma 2 2 2 2 2 2 2 2 2 2 2 2 3 9 7" xfId="8172" xr:uid="{00000000-0005-0000-0000-0000E91F0000}"/>
    <cellStyle name="Comma 2 2 2 2 2 2 2 2 2 2 2 2 3 9 8" xfId="8173" xr:uid="{00000000-0005-0000-0000-0000EA1F0000}"/>
    <cellStyle name="Comma 2 2 2 2 2 2 2 2 2 2 2 2 4" xfId="8174" xr:uid="{00000000-0005-0000-0000-0000EB1F0000}"/>
    <cellStyle name="Comma 2 2 2 2 2 2 2 2 2 2 2 2 4 10" xfId="8175" xr:uid="{00000000-0005-0000-0000-0000EC1F0000}"/>
    <cellStyle name="Comma 2 2 2 2 2 2 2 2 2 2 2 2 4 10 2" xfId="8176" xr:uid="{00000000-0005-0000-0000-0000ED1F0000}"/>
    <cellStyle name="Comma 2 2 2 2 2 2 2 2 2 2 2 2 4 10 3" xfId="8177" xr:uid="{00000000-0005-0000-0000-0000EE1F0000}"/>
    <cellStyle name="Comma 2 2 2 2 2 2 2 2 2 2 2 2 4 10 4" xfId="8178" xr:uid="{00000000-0005-0000-0000-0000EF1F0000}"/>
    <cellStyle name="Comma 2 2 2 2 2 2 2 2 2 2 2 2 4 10 5" xfId="8179" xr:uid="{00000000-0005-0000-0000-0000F01F0000}"/>
    <cellStyle name="Comma 2 2 2 2 2 2 2 2 2 2 2 2 4 10 6" xfId="8180" xr:uid="{00000000-0005-0000-0000-0000F11F0000}"/>
    <cellStyle name="Comma 2 2 2 2 2 2 2 2 2 2 2 2 4 10 7" xfId="8181" xr:uid="{00000000-0005-0000-0000-0000F21F0000}"/>
    <cellStyle name="Comma 2 2 2 2 2 2 2 2 2 2 2 2 4 10 8" xfId="8182" xr:uid="{00000000-0005-0000-0000-0000F31F0000}"/>
    <cellStyle name="Comma 2 2 2 2 2 2 2 2 2 2 2 2 4 11" xfId="8183" xr:uid="{00000000-0005-0000-0000-0000F41F0000}"/>
    <cellStyle name="Comma 2 2 2 2 2 2 2 2 2 2 2 2 4 11 2" xfId="8184" xr:uid="{00000000-0005-0000-0000-0000F51F0000}"/>
    <cellStyle name="Comma 2 2 2 2 2 2 2 2 2 2 2 2 4 11 3" xfId="8185" xr:uid="{00000000-0005-0000-0000-0000F61F0000}"/>
    <cellStyle name="Comma 2 2 2 2 2 2 2 2 2 2 2 2 4 11 4" xfId="8186" xr:uid="{00000000-0005-0000-0000-0000F71F0000}"/>
    <cellStyle name="Comma 2 2 2 2 2 2 2 2 2 2 2 2 4 11 5" xfId="8187" xr:uid="{00000000-0005-0000-0000-0000F81F0000}"/>
    <cellStyle name="Comma 2 2 2 2 2 2 2 2 2 2 2 2 4 11 6" xfId="8188" xr:uid="{00000000-0005-0000-0000-0000F91F0000}"/>
    <cellStyle name="Comma 2 2 2 2 2 2 2 2 2 2 2 2 4 11 7" xfId="8189" xr:uid="{00000000-0005-0000-0000-0000FA1F0000}"/>
    <cellStyle name="Comma 2 2 2 2 2 2 2 2 2 2 2 2 4 11 8" xfId="8190" xr:uid="{00000000-0005-0000-0000-0000FB1F0000}"/>
    <cellStyle name="Comma 2 2 2 2 2 2 2 2 2 2 2 2 4 12" xfId="8191" xr:uid="{00000000-0005-0000-0000-0000FC1F0000}"/>
    <cellStyle name="Comma 2 2 2 2 2 2 2 2 2 2 2 2 4 12 2" xfId="8192" xr:uid="{00000000-0005-0000-0000-0000FD1F0000}"/>
    <cellStyle name="Comma 2 2 2 2 2 2 2 2 2 2 2 2 4 12 3" xfId="8193" xr:uid="{00000000-0005-0000-0000-0000FE1F0000}"/>
    <cellStyle name="Comma 2 2 2 2 2 2 2 2 2 2 2 2 4 12 4" xfId="8194" xr:uid="{00000000-0005-0000-0000-0000FF1F0000}"/>
    <cellStyle name="Comma 2 2 2 2 2 2 2 2 2 2 2 2 4 12 5" xfId="8195" xr:uid="{00000000-0005-0000-0000-000000200000}"/>
    <cellStyle name="Comma 2 2 2 2 2 2 2 2 2 2 2 2 4 12 6" xfId="8196" xr:uid="{00000000-0005-0000-0000-000001200000}"/>
    <cellStyle name="Comma 2 2 2 2 2 2 2 2 2 2 2 2 4 12 7" xfId="8197" xr:uid="{00000000-0005-0000-0000-000002200000}"/>
    <cellStyle name="Comma 2 2 2 2 2 2 2 2 2 2 2 2 4 12 8" xfId="8198" xr:uid="{00000000-0005-0000-0000-000003200000}"/>
    <cellStyle name="Comma 2 2 2 2 2 2 2 2 2 2 2 2 4 13" xfId="8199" xr:uid="{00000000-0005-0000-0000-000004200000}"/>
    <cellStyle name="Comma 2 2 2 2 2 2 2 2 2 2 2 2 4 13 2" xfId="8200" xr:uid="{00000000-0005-0000-0000-000005200000}"/>
    <cellStyle name="Comma 2 2 2 2 2 2 2 2 2 2 2 2 4 13 3" xfId="8201" xr:uid="{00000000-0005-0000-0000-000006200000}"/>
    <cellStyle name="Comma 2 2 2 2 2 2 2 2 2 2 2 2 4 13 4" xfId="8202" xr:uid="{00000000-0005-0000-0000-000007200000}"/>
    <cellStyle name="Comma 2 2 2 2 2 2 2 2 2 2 2 2 4 13 5" xfId="8203" xr:uid="{00000000-0005-0000-0000-000008200000}"/>
    <cellStyle name="Comma 2 2 2 2 2 2 2 2 2 2 2 2 4 13 6" xfId="8204" xr:uid="{00000000-0005-0000-0000-000009200000}"/>
    <cellStyle name="Comma 2 2 2 2 2 2 2 2 2 2 2 2 4 13 7" xfId="8205" xr:uid="{00000000-0005-0000-0000-00000A200000}"/>
    <cellStyle name="Comma 2 2 2 2 2 2 2 2 2 2 2 2 4 13 8" xfId="8206" xr:uid="{00000000-0005-0000-0000-00000B200000}"/>
    <cellStyle name="Comma 2 2 2 2 2 2 2 2 2 2 2 2 4 14" xfId="8207" xr:uid="{00000000-0005-0000-0000-00000C200000}"/>
    <cellStyle name="Comma 2 2 2 2 2 2 2 2 2 2 2 2 4 14 2" xfId="8208" xr:uid="{00000000-0005-0000-0000-00000D200000}"/>
    <cellStyle name="Comma 2 2 2 2 2 2 2 2 2 2 2 2 4 14 3" xfId="8209" xr:uid="{00000000-0005-0000-0000-00000E200000}"/>
    <cellStyle name="Comma 2 2 2 2 2 2 2 2 2 2 2 2 4 15" xfId="8210" xr:uid="{00000000-0005-0000-0000-00000F200000}"/>
    <cellStyle name="Comma 2 2 2 2 2 2 2 2 2 2 2 2 4 16" xfId="8211" xr:uid="{00000000-0005-0000-0000-000010200000}"/>
    <cellStyle name="Comma 2 2 2 2 2 2 2 2 2 2 2 2 4 16 2" xfId="8212" xr:uid="{00000000-0005-0000-0000-000011200000}"/>
    <cellStyle name="Comma 2 2 2 2 2 2 2 2 2 2 2 2 4 17" xfId="8213" xr:uid="{00000000-0005-0000-0000-000012200000}"/>
    <cellStyle name="Comma 2 2 2 2 2 2 2 2 2 2 2 2 4 17 2" xfId="8214" xr:uid="{00000000-0005-0000-0000-000013200000}"/>
    <cellStyle name="Comma 2 2 2 2 2 2 2 2 2 2 2 2 4 18" xfId="8215" xr:uid="{00000000-0005-0000-0000-000014200000}"/>
    <cellStyle name="Comma 2 2 2 2 2 2 2 2 2 2 2 2 4 19" xfId="8216" xr:uid="{00000000-0005-0000-0000-000015200000}"/>
    <cellStyle name="Comma 2 2 2 2 2 2 2 2 2 2 2 2 4 2" xfId="8217" xr:uid="{00000000-0005-0000-0000-000016200000}"/>
    <cellStyle name="Comma 2 2 2 2 2 2 2 2 2 2 2 2 4 2 2" xfId="8218" xr:uid="{00000000-0005-0000-0000-000017200000}"/>
    <cellStyle name="Comma 2 2 2 2 2 2 2 2 2 2 2 2 4 2 3" xfId="8219" xr:uid="{00000000-0005-0000-0000-000018200000}"/>
    <cellStyle name="Comma 2 2 2 2 2 2 2 2 2 2 2 2 4 2 4" xfId="8220" xr:uid="{00000000-0005-0000-0000-000019200000}"/>
    <cellStyle name="Comma 2 2 2 2 2 2 2 2 2 2 2 2 4 2 5" xfId="8221" xr:uid="{00000000-0005-0000-0000-00001A200000}"/>
    <cellStyle name="Comma 2 2 2 2 2 2 2 2 2 2 2 2 4 20" xfId="8222" xr:uid="{00000000-0005-0000-0000-00001B200000}"/>
    <cellStyle name="Comma 2 2 2 2 2 2 2 2 2 2 2 2 4 21" xfId="8223" xr:uid="{00000000-0005-0000-0000-00001C200000}"/>
    <cellStyle name="Comma 2 2 2 2 2 2 2 2 2 2 2 2 4 22" xfId="8224" xr:uid="{00000000-0005-0000-0000-00001D200000}"/>
    <cellStyle name="Comma 2 2 2 2 2 2 2 2 2 2 2 2 4 23" xfId="8225" xr:uid="{00000000-0005-0000-0000-00001E200000}"/>
    <cellStyle name="Comma 2 2 2 2 2 2 2 2 2 2 2 2 4 24" xfId="8226" xr:uid="{00000000-0005-0000-0000-00001F200000}"/>
    <cellStyle name="Comma 2 2 2 2 2 2 2 2 2 2 2 2 4 25" xfId="8227" xr:uid="{00000000-0005-0000-0000-000020200000}"/>
    <cellStyle name="Comma 2 2 2 2 2 2 2 2 2 2 2 2 4 3" xfId="8228" xr:uid="{00000000-0005-0000-0000-000021200000}"/>
    <cellStyle name="Comma 2 2 2 2 2 2 2 2 2 2 2 2 4 3 2" xfId="8229" xr:uid="{00000000-0005-0000-0000-000022200000}"/>
    <cellStyle name="Comma 2 2 2 2 2 2 2 2 2 2 2 2 4 3 3" xfId="8230" xr:uid="{00000000-0005-0000-0000-000023200000}"/>
    <cellStyle name="Comma 2 2 2 2 2 2 2 2 2 2 2 2 4 4" xfId="8231" xr:uid="{00000000-0005-0000-0000-000024200000}"/>
    <cellStyle name="Comma 2 2 2 2 2 2 2 2 2 2 2 2 4 4 2" xfId="8232" xr:uid="{00000000-0005-0000-0000-000025200000}"/>
    <cellStyle name="Comma 2 2 2 2 2 2 2 2 2 2 2 2 4 5" xfId="8233" xr:uid="{00000000-0005-0000-0000-000026200000}"/>
    <cellStyle name="Comma 2 2 2 2 2 2 2 2 2 2 2 2 4 5 2" xfId="8234" xr:uid="{00000000-0005-0000-0000-000027200000}"/>
    <cellStyle name="Comma 2 2 2 2 2 2 2 2 2 2 2 2 4 5 3" xfId="8235" xr:uid="{00000000-0005-0000-0000-000028200000}"/>
    <cellStyle name="Comma 2 2 2 2 2 2 2 2 2 2 2 2 4 5 4" xfId="8236" xr:uid="{00000000-0005-0000-0000-000029200000}"/>
    <cellStyle name="Comma 2 2 2 2 2 2 2 2 2 2 2 2 4 5 5" xfId="8237" xr:uid="{00000000-0005-0000-0000-00002A200000}"/>
    <cellStyle name="Comma 2 2 2 2 2 2 2 2 2 2 2 2 4 5 6" xfId="8238" xr:uid="{00000000-0005-0000-0000-00002B200000}"/>
    <cellStyle name="Comma 2 2 2 2 2 2 2 2 2 2 2 2 4 5 7" xfId="8239" xr:uid="{00000000-0005-0000-0000-00002C200000}"/>
    <cellStyle name="Comma 2 2 2 2 2 2 2 2 2 2 2 2 4 5 8" xfId="8240" xr:uid="{00000000-0005-0000-0000-00002D200000}"/>
    <cellStyle name="Comma 2 2 2 2 2 2 2 2 2 2 2 2 4 6" xfId="8241" xr:uid="{00000000-0005-0000-0000-00002E200000}"/>
    <cellStyle name="Comma 2 2 2 2 2 2 2 2 2 2 2 2 4 6 2" xfId="8242" xr:uid="{00000000-0005-0000-0000-00002F200000}"/>
    <cellStyle name="Comma 2 2 2 2 2 2 2 2 2 2 2 2 4 7" xfId="8243" xr:uid="{00000000-0005-0000-0000-000030200000}"/>
    <cellStyle name="Comma 2 2 2 2 2 2 2 2 2 2 2 2 4 7 2" xfId="8244" xr:uid="{00000000-0005-0000-0000-000031200000}"/>
    <cellStyle name="Comma 2 2 2 2 2 2 2 2 2 2 2 2 4 7 3" xfId="8245" xr:uid="{00000000-0005-0000-0000-000032200000}"/>
    <cellStyle name="Comma 2 2 2 2 2 2 2 2 2 2 2 2 4 7 4" xfId="8246" xr:uid="{00000000-0005-0000-0000-000033200000}"/>
    <cellStyle name="Comma 2 2 2 2 2 2 2 2 2 2 2 2 4 7 5" xfId="8247" xr:uid="{00000000-0005-0000-0000-000034200000}"/>
    <cellStyle name="Comma 2 2 2 2 2 2 2 2 2 2 2 2 4 7 6" xfId="8248" xr:uid="{00000000-0005-0000-0000-000035200000}"/>
    <cellStyle name="Comma 2 2 2 2 2 2 2 2 2 2 2 2 4 7 7" xfId="8249" xr:uid="{00000000-0005-0000-0000-000036200000}"/>
    <cellStyle name="Comma 2 2 2 2 2 2 2 2 2 2 2 2 4 7 8" xfId="8250" xr:uid="{00000000-0005-0000-0000-000037200000}"/>
    <cellStyle name="Comma 2 2 2 2 2 2 2 2 2 2 2 2 4 8" xfId="8251" xr:uid="{00000000-0005-0000-0000-000038200000}"/>
    <cellStyle name="Comma 2 2 2 2 2 2 2 2 2 2 2 2 4 8 2" xfId="8252" xr:uid="{00000000-0005-0000-0000-000039200000}"/>
    <cellStyle name="Comma 2 2 2 2 2 2 2 2 2 2 2 2 4 8 3" xfId="8253" xr:uid="{00000000-0005-0000-0000-00003A200000}"/>
    <cellStyle name="Comma 2 2 2 2 2 2 2 2 2 2 2 2 4 8 4" xfId="8254" xr:uid="{00000000-0005-0000-0000-00003B200000}"/>
    <cellStyle name="Comma 2 2 2 2 2 2 2 2 2 2 2 2 4 8 5" xfId="8255" xr:uid="{00000000-0005-0000-0000-00003C200000}"/>
    <cellStyle name="Comma 2 2 2 2 2 2 2 2 2 2 2 2 4 8 6" xfId="8256" xr:uid="{00000000-0005-0000-0000-00003D200000}"/>
    <cellStyle name="Comma 2 2 2 2 2 2 2 2 2 2 2 2 4 8 7" xfId="8257" xr:uid="{00000000-0005-0000-0000-00003E200000}"/>
    <cellStyle name="Comma 2 2 2 2 2 2 2 2 2 2 2 2 4 8 8" xfId="8258" xr:uid="{00000000-0005-0000-0000-00003F200000}"/>
    <cellStyle name="Comma 2 2 2 2 2 2 2 2 2 2 2 2 4 9" xfId="8259" xr:uid="{00000000-0005-0000-0000-000040200000}"/>
    <cellStyle name="Comma 2 2 2 2 2 2 2 2 2 2 2 2 4 9 2" xfId="8260" xr:uid="{00000000-0005-0000-0000-000041200000}"/>
    <cellStyle name="Comma 2 2 2 2 2 2 2 2 2 2 2 2 4 9 3" xfId="8261" xr:uid="{00000000-0005-0000-0000-000042200000}"/>
    <cellStyle name="Comma 2 2 2 2 2 2 2 2 2 2 2 2 4 9 4" xfId="8262" xr:uid="{00000000-0005-0000-0000-000043200000}"/>
    <cellStyle name="Comma 2 2 2 2 2 2 2 2 2 2 2 2 4 9 5" xfId="8263" xr:uid="{00000000-0005-0000-0000-000044200000}"/>
    <cellStyle name="Comma 2 2 2 2 2 2 2 2 2 2 2 2 4 9 6" xfId="8264" xr:uid="{00000000-0005-0000-0000-000045200000}"/>
    <cellStyle name="Comma 2 2 2 2 2 2 2 2 2 2 2 2 4 9 7" xfId="8265" xr:uid="{00000000-0005-0000-0000-000046200000}"/>
    <cellStyle name="Comma 2 2 2 2 2 2 2 2 2 2 2 2 4 9 8" xfId="8266" xr:uid="{00000000-0005-0000-0000-000047200000}"/>
    <cellStyle name="Comma 2 2 2 2 2 2 2 2 2 2 2 2 5" xfId="8267" xr:uid="{00000000-0005-0000-0000-000048200000}"/>
    <cellStyle name="Comma 2 2 2 2 2 2 2 2 2 2 2 2 5 10" xfId="8268" xr:uid="{00000000-0005-0000-0000-000049200000}"/>
    <cellStyle name="Comma 2 2 2 2 2 2 2 2 2 2 2 2 5 10 2" xfId="8269" xr:uid="{00000000-0005-0000-0000-00004A200000}"/>
    <cellStyle name="Comma 2 2 2 2 2 2 2 2 2 2 2 2 5 10 3" xfId="8270" xr:uid="{00000000-0005-0000-0000-00004B200000}"/>
    <cellStyle name="Comma 2 2 2 2 2 2 2 2 2 2 2 2 5 10 4" xfId="8271" xr:uid="{00000000-0005-0000-0000-00004C200000}"/>
    <cellStyle name="Comma 2 2 2 2 2 2 2 2 2 2 2 2 5 10 5" xfId="8272" xr:uid="{00000000-0005-0000-0000-00004D200000}"/>
    <cellStyle name="Comma 2 2 2 2 2 2 2 2 2 2 2 2 5 10 6" xfId="8273" xr:uid="{00000000-0005-0000-0000-00004E200000}"/>
    <cellStyle name="Comma 2 2 2 2 2 2 2 2 2 2 2 2 5 10 7" xfId="8274" xr:uid="{00000000-0005-0000-0000-00004F200000}"/>
    <cellStyle name="Comma 2 2 2 2 2 2 2 2 2 2 2 2 5 10 8" xfId="8275" xr:uid="{00000000-0005-0000-0000-000050200000}"/>
    <cellStyle name="Comma 2 2 2 2 2 2 2 2 2 2 2 2 5 11" xfId="8276" xr:uid="{00000000-0005-0000-0000-000051200000}"/>
    <cellStyle name="Comma 2 2 2 2 2 2 2 2 2 2 2 2 5 11 2" xfId="8277" xr:uid="{00000000-0005-0000-0000-000052200000}"/>
    <cellStyle name="Comma 2 2 2 2 2 2 2 2 2 2 2 2 5 11 3" xfId="8278" xr:uid="{00000000-0005-0000-0000-000053200000}"/>
    <cellStyle name="Comma 2 2 2 2 2 2 2 2 2 2 2 2 5 11 4" xfId="8279" xr:uid="{00000000-0005-0000-0000-000054200000}"/>
    <cellStyle name="Comma 2 2 2 2 2 2 2 2 2 2 2 2 5 11 5" xfId="8280" xr:uid="{00000000-0005-0000-0000-000055200000}"/>
    <cellStyle name="Comma 2 2 2 2 2 2 2 2 2 2 2 2 5 11 6" xfId="8281" xr:uid="{00000000-0005-0000-0000-000056200000}"/>
    <cellStyle name="Comma 2 2 2 2 2 2 2 2 2 2 2 2 5 11 7" xfId="8282" xr:uid="{00000000-0005-0000-0000-000057200000}"/>
    <cellStyle name="Comma 2 2 2 2 2 2 2 2 2 2 2 2 5 11 8" xfId="8283" xr:uid="{00000000-0005-0000-0000-000058200000}"/>
    <cellStyle name="Comma 2 2 2 2 2 2 2 2 2 2 2 2 5 12" xfId="8284" xr:uid="{00000000-0005-0000-0000-000059200000}"/>
    <cellStyle name="Comma 2 2 2 2 2 2 2 2 2 2 2 2 5 12 2" xfId="8285" xr:uid="{00000000-0005-0000-0000-00005A200000}"/>
    <cellStyle name="Comma 2 2 2 2 2 2 2 2 2 2 2 2 5 12 3" xfId="8286" xr:uid="{00000000-0005-0000-0000-00005B200000}"/>
    <cellStyle name="Comma 2 2 2 2 2 2 2 2 2 2 2 2 5 12 4" xfId="8287" xr:uid="{00000000-0005-0000-0000-00005C200000}"/>
    <cellStyle name="Comma 2 2 2 2 2 2 2 2 2 2 2 2 5 12 5" xfId="8288" xr:uid="{00000000-0005-0000-0000-00005D200000}"/>
    <cellStyle name="Comma 2 2 2 2 2 2 2 2 2 2 2 2 5 12 6" xfId="8289" xr:uid="{00000000-0005-0000-0000-00005E200000}"/>
    <cellStyle name="Comma 2 2 2 2 2 2 2 2 2 2 2 2 5 12 7" xfId="8290" xr:uid="{00000000-0005-0000-0000-00005F200000}"/>
    <cellStyle name="Comma 2 2 2 2 2 2 2 2 2 2 2 2 5 12 8" xfId="8291" xr:uid="{00000000-0005-0000-0000-000060200000}"/>
    <cellStyle name="Comma 2 2 2 2 2 2 2 2 2 2 2 2 5 13" xfId="8292" xr:uid="{00000000-0005-0000-0000-000061200000}"/>
    <cellStyle name="Comma 2 2 2 2 2 2 2 2 2 2 2 2 5 13 2" xfId="8293" xr:uid="{00000000-0005-0000-0000-000062200000}"/>
    <cellStyle name="Comma 2 2 2 2 2 2 2 2 2 2 2 2 5 13 3" xfId="8294" xr:uid="{00000000-0005-0000-0000-000063200000}"/>
    <cellStyle name="Comma 2 2 2 2 2 2 2 2 2 2 2 2 5 13 4" xfId="8295" xr:uid="{00000000-0005-0000-0000-000064200000}"/>
    <cellStyle name="Comma 2 2 2 2 2 2 2 2 2 2 2 2 5 13 5" xfId="8296" xr:uid="{00000000-0005-0000-0000-000065200000}"/>
    <cellStyle name="Comma 2 2 2 2 2 2 2 2 2 2 2 2 5 13 6" xfId="8297" xr:uid="{00000000-0005-0000-0000-000066200000}"/>
    <cellStyle name="Comma 2 2 2 2 2 2 2 2 2 2 2 2 5 13 7" xfId="8298" xr:uid="{00000000-0005-0000-0000-000067200000}"/>
    <cellStyle name="Comma 2 2 2 2 2 2 2 2 2 2 2 2 5 13 8" xfId="8299" xr:uid="{00000000-0005-0000-0000-000068200000}"/>
    <cellStyle name="Comma 2 2 2 2 2 2 2 2 2 2 2 2 5 14" xfId="8300" xr:uid="{00000000-0005-0000-0000-000069200000}"/>
    <cellStyle name="Comma 2 2 2 2 2 2 2 2 2 2 2 2 5 14 2" xfId="8301" xr:uid="{00000000-0005-0000-0000-00006A200000}"/>
    <cellStyle name="Comma 2 2 2 2 2 2 2 2 2 2 2 2 5 14 3" xfId="8302" xr:uid="{00000000-0005-0000-0000-00006B200000}"/>
    <cellStyle name="Comma 2 2 2 2 2 2 2 2 2 2 2 2 5 15" xfId="8303" xr:uid="{00000000-0005-0000-0000-00006C200000}"/>
    <cellStyle name="Comma 2 2 2 2 2 2 2 2 2 2 2 2 5 16" xfId="8304" xr:uid="{00000000-0005-0000-0000-00006D200000}"/>
    <cellStyle name="Comma 2 2 2 2 2 2 2 2 2 2 2 2 5 16 2" xfId="8305" xr:uid="{00000000-0005-0000-0000-00006E200000}"/>
    <cellStyle name="Comma 2 2 2 2 2 2 2 2 2 2 2 2 5 17" xfId="8306" xr:uid="{00000000-0005-0000-0000-00006F200000}"/>
    <cellStyle name="Comma 2 2 2 2 2 2 2 2 2 2 2 2 5 17 2" xfId="8307" xr:uid="{00000000-0005-0000-0000-000070200000}"/>
    <cellStyle name="Comma 2 2 2 2 2 2 2 2 2 2 2 2 5 18" xfId="8308" xr:uid="{00000000-0005-0000-0000-000071200000}"/>
    <cellStyle name="Comma 2 2 2 2 2 2 2 2 2 2 2 2 5 19" xfId="8309" xr:uid="{00000000-0005-0000-0000-000072200000}"/>
    <cellStyle name="Comma 2 2 2 2 2 2 2 2 2 2 2 2 5 2" xfId="8310" xr:uid="{00000000-0005-0000-0000-000073200000}"/>
    <cellStyle name="Comma 2 2 2 2 2 2 2 2 2 2 2 2 5 2 2" xfId="8311" xr:uid="{00000000-0005-0000-0000-000074200000}"/>
    <cellStyle name="Comma 2 2 2 2 2 2 2 2 2 2 2 2 5 2 3" xfId="8312" xr:uid="{00000000-0005-0000-0000-000075200000}"/>
    <cellStyle name="Comma 2 2 2 2 2 2 2 2 2 2 2 2 5 2 4" xfId="8313" xr:uid="{00000000-0005-0000-0000-000076200000}"/>
    <cellStyle name="Comma 2 2 2 2 2 2 2 2 2 2 2 2 5 2 5" xfId="8314" xr:uid="{00000000-0005-0000-0000-000077200000}"/>
    <cellStyle name="Comma 2 2 2 2 2 2 2 2 2 2 2 2 5 20" xfId="8315" xr:uid="{00000000-0005-0000-0000-000078200000}"/>
    <cellStyle name="Comma 2 2 2 2 2 2 2 2 2 2 2 2 5 21" xfId="8316" xr:uid="{00000000-0005-0000-0000-000079200000}"/>
    <cellStyle name="Comma 2 2 2 2 2 2 2 2 2 2 2 2 5 22" xfId="8317" xr:uid="{00000000-0005-0000-0000-00007A200000}"/>
    <cellStyle name="Comma 2 2 2 2 2 2 2 2 2 2 2 2 5 23" xfId="8318" xr:uid="{00000000-0005-0000-0000-00007B200000}"/>
    <cellStyle name="Comma 2 2 2 2 2 2 2 2 2 2 2 2 5 24" xfId="8319" xr:uid="{00000000-0005-0000-0000-00007C200000}"/>
    <cellStyle name="Comma 2 2 2 2 2 2 2 2 2 2 2 2 5 25" xfId="8320" xr:uid="{00000000-0005-0000-0000-00007D200000}"/>
    <cellStyle name="Comma 2 2 2 2 2 2 2 2 2 2 2 2 5 3" xfId="8321" xr:uid="{00000000-0005-0000-0000-00007E200000}"/>
    <cellStyle name="Comma 2 2 2 2 2 2 2 2 2 2 2 2 5 3 2" xfId="8322" xr:uid="{00000000-0005-0000-0000-00007F200000}"/>
    <cellStyle name="Comma 2 2 2 2 2 2 2 2 2 2 2 2 5 3 3" xfId="8323" xr:uid="{00000000-0005-0000-0000-000080200000}"/>
    <cellStyle name="Comma 2 2 2 2 2 2 2 2 2 2 2 2 5 4" xfId="8324" xr:uid="{00000000-0005-0000-0000-000081200000}"/>
    <cellStyle name="Comma 2 2 2 2 2 2 2 2 2 2 2 2 5 4 2" xfId="8325" xr:uid="{00000000-0005-0000-0000-000082200000}"/>
    <cellStyle name="Comma 2 2 2 2 2 2 2 2 2 2 2 2 5 5" xfId="8326" xr:uid="{00000000-0005-0000-0000-000083200000}"/>
    <cellStyle name="Comma 2 2 2 2 2 2 2 2 2 2 2 2 5 5 2" xfId="8327" xr:uid="{00000000-0005-0000-0000-000084200000}"/>
    <cellStyle name="Comma 2 2 2 2 2 2 2 2 2 2 2 2 5 5 3" xfId="8328" xr:uid="{00000000-0005-0000-0000-000085200000}"/>
    <cellStyle name="Comma 2 2 2 2 2 2 2 2 2 2 2 2 5 5 4" xfId="8329" xr:uid="{00000000-0005-0000-0000-000086200000}"/>
    <cellStyle name="Comma 2 2 2 2 2 2 2 2 2 2 2 2 5 5 5" xfId="8330" xr:uid="{00000000-0005-0000-0000-000087200000}"/>
    <cellStyle name="Comma 2 2 2 2 2 2 2 2 2 2 2 2 5 5 6" xfId="8331" xr:uid="{00000000-0005-0000-0000-000088200000}"/>
    <cellStyle name="Comma 2 2 2 2 2 2 2 2 2 2 2 2 5 5 7" xfId="8332" xr:uid="{00000000-0005-0000-0000-000089200000}"/>
    <cellStyle name="Comma 2 2 2 2 2 2 2 2 2 2 2 2 5 5 8" xfId="8333" xr:uid="{00000000-0005-0000-0000-00008A200000}"/>
    <cellStyle name="Comma 2 2 2 2 2 2 2 2 2 2 2 2 5 6" xfId="8334" xr:uid="{00000000-0005-0000-0000-00008B200000}"/>
    <cellStyle name="Comma 2 2 2 2 2 2 2 2 2 2 2 2 5 6 2" xfId="8335" xr:uid="{00000000-0005-0000-0000-00008C200000}"/>
    <cellStyle name="Comma 2 2 2 2 2 2 2 2 2 2 2 2 5 7" xfId="8336" xr:uid="{00000000-0005-0000-0000-00008D200000}"/>
    <cellStyle name="Comma 2 2 2 2 2 2 2 2 2 2 2 2 5 7 2" xfId="8337" xr:uid="{00000000-0005-0000-0000-00008E200000}"/>
    <cellStyle name="Comma 2 2 2 2 2 2 2 2 2 2 2 2 5 7 3" xfId="8338" xr:uid="{00000000-0005-0000-0000-00008F200000}"/>
    <cellStyle name="Comma 2 2 2 2 2 2 2 2 2 2 2 2 5 7 4" xfId="8339" xr:uid="{00000000-0005-0000-0000-000090200000}"/>
    <cellStyle name="Comma 2 2 2 2 2 2 2 2 2 2 2 2 5 7 5" xfId="8340" xr:uid="{00000000-0005-0000-0000-000091200000}"/>
    <cellStyle name="Comma 2 2 2 2 2 2 2 2 2 2 2 2 5 7 6" xfId="8341" xr:uid="{00000000-0005-0000-0000-000092200000}"/>
    <cellStyle name="Comma 2 2 2 2 2 2 2 2 2 2 2 2 5 7 7" xfId="8342" xr:uid="{00000000-0005-0000-0000-000093200000}"/>
    <cellStyle name="Comma 2 2 2 2 2 2 2 2 2 2 2 2 5 7 8" xfId="8343" xr:uid="{00000000-0005-0000-0000-000094200000}"/>
    <cellStyle name="Comma 2 2 2 2 2 2 2 2 2 2 2 2 5 8" xfId="8344" xr:uid="{00000000-0005-0000-0000-000095200000}"/>
    <cellStyle name="Comma 2 2 2 2 2 2 2 2 2 2 2 2 5 8 2" xfId="8345" xr:uid="{00000000-0005-0000-0000-000096200000}"/>
    <cellStyle name="Comma 2 2 2 2 2 2 2 2 2 2 2 2 5 8 3" xfId="8346" xr:uid="{00000000-0005-0000-0000-000097200000}"/>
    <cellStyle name="Comma 2 2 2 2 2 2 2 2 2 2 2 2 5 8 4" xfId="8347" xr:uid="{00000000-0005-0000-0000-000098200000}"/>
    <cellStyle name="Comma 2 2 2 2 2 2 2 2 2 2 2 2 5 8 5" xfId="8348" xr:uid="{00000000-0005-0000-0000-000099200000}"/>
    <cellStyle name="Comma 2 2 2 2 2 2 2 2 2 2 2 2 5 8 6" xfId="8349" xr:uid="{00000000-0005-0000-0000-00009A200000}"/>
    <cellStyle name="Comma 2 2 2 2 2 2 2 2 2 2 2 2 5 8 7" xfId="8350" xr:uid="{00000000-0005-0000-0000-00009B200000}"/>
    <cellStyle name="Comma 2 2 2 2 2 2 2 2 2 2 2 2 5 8 8" xfId="8351" xr:uid="{00000000-0005-0000-0000-00009C200000}"/>
    <cellStyle name="Comma 2 2 2 2 2 2 2 2 2 2 2 2 5 9" xfId="8352" xr:uid="{00000000-0005-0000-0000-00009D200000}"/>
    <cellStyle name="Comma 2 2 2 2 2 2 2 2 2 2 2 2 5 9 2" xfId="8353" xr:uid="{00000000-0005-0000-0000-00009E200000}"/>
    <cellStyle name="Comma 2 2 2 2 2 2 2 2 2 2 2 2 5 9 3" xfId="8354" xr:uid="{00000000-0005-0000-0000-00009F200000}"/>
    <cellStyle name="Comma 2 2 2 2 2 2 2 2 2 2 2 2 5 9 4" xfId="8355" xr:uid="{00000000-0005-0000-0000-0000A0200000}"/>
    <cellStyle name="Comma 2 2 2 2 2 2 2 2 2 2 2 2 5 9 5" xfId="8356" xr:uid="{00000000-0005-0000-0000-0000A1200000}"/>
    <cellStyle name="Comma 2 2 2 2 2 2 2 2 2 2 2 2 5 9 6" xfId="8357" xr:uid="{00000000-0005-0000-0000-0000A2200000}"/>
    <cellStyle name="Comma 2 2 2 2 2 2 2 2 2 2 2 2 5 9 7" xfId="8358" xr:uid="{00000000-0005-0000-0000-0000A3200000}"/>
    <cellStyle name="Comma 2 2 2 2 2 2 2 2 2 2 2 2 5 9 8" xfId="8359" xr:uid="{00000000-0005-0000-0000-0000A4200000}"/>
    <cellStyle name="Comma 2 2 2 2 2 2 2 2 2 2 2 2 6" xfId="8360" xr:uid="{00000000-0005-0000-0000-0000A5200000}"/>
    <cellStyle name="Comma 2 2 2 2 2 2 2 2 2 2 2 2 6 10" xfId="8361" xr:uid="{00000000-0005-0000-0000-0000A6200000}"/>
    <cellStyle name="Comma 2 2 2 2 2 2 2 2 2 2 2 2 6 11" xfId="8362" xr:uid="{00000000-0005-0000-0000-0000A7200000}"/>
    <cellStyle name="Comma 2 2 2 2 2 2 2 2 2 2 2 2 6 12" xfId="8363" xr:uid="{00000000-0005-0000-0000-0000A8200000}"/>
    <cellStyle name="Comma 2 2 2 2 2 2 2 2 2 2 2 2 6 13" xfId="8364" xr:uid="{00000000-0005-0000-0000-0000A9200000}"/>
    <cellStyle name="Comma 2 2 2 2 2 2 2 2 2 2 2 2 6 14" xfId="8365" xr:uid="{00000000-0005-0000-0000-0000AA200000}"/>
    <cellStyle name="Comma 2 2 2 2 2 2 2 2 2 2 2 2 6 15" xfId="8366" xr:uid="{00000000-0005-0000-0000-0000AB200000}"/>
    <cellStyle name="Comma 2 2 2 2 2 2 2 2 2 2 2 2 6 16" xfId="8367" xr:uid="{00000000-0005-0000-0000-0000AC200000}"/>
    <cellStyle name="Comma 2 2 2 2 2 2 2 2 2 2 2 2 6 17" xfId="8368" xr:uid="{00000000-0005-0000-0000-0000AD200000}"/>
    <cellStyle name="Comma 2 2 2 2 2 2 2 2 2 2 2 2 6 17 2" xfId="8369" xr:uid="{00000000-0005-0000-0000-0000AE200000}"/>
    <cellStyle name="Comma 2 2 2 2 2 2 2 2 2 2 2 2 6 18" xfId="8370" xr:uid="{00000000-0005-0000-0000-0000AF200000}"/>
    <cellStyle name="Comma 2 2 2 2 2 2 2 2 2 2 2 2 6 19" xfId="8371" xr:uid="{00000000-0005-0000-0000-0000B0200000}"/>
    <cellStyle name="Comma 2 2 2 2 2 2 2 2 2 2 2 2 6 2" xfId="8372" xr:uid="{00000000-0005-0000-0000-0000B1200000}"/>
    <cellStyle name="Comma 2 2 2 2 2 2 2 2 2 2 2 2 6 2 2" xfId="8373" xr:uid="{00000000-0005-0000-0000-0000B2200000}"/>
    <cellStyle name="Comma 2 2 2 2 2 2 2 2 2 2 2 2 6 2 2 10" xfId="8374" xr:uid="{00000000-0005-0000-0000-0000B3200000}"/>
    <cellStyle name="Comma 2 2 2 2 2 2 2 2 2 2 2 2 6 2 2 11" xfId="8375" xr:uid="{00000000-0005-0000-0000-0000B4200000}"/>
    <cellStyle name="Comma 2 2 2 2 2 2 2 2 2 2 2 2 6 2 2 12" xfId="8376" xr:uid="{00000000-0005-0000-0000-0000B5200000}"/>
    <cellStyle name="Comma 2 2 2 2 2 2 2 2 2 2 2 2 6 2 2 2" xfId="8377" xr:uid="{00000000-0005-0000-0000-0000B6200000}"/>
    <cellStyle name="Comma 2 2 2 2 2 2 2 2 2 2 2 2 6 2 2 3" xfId="8378" xr:uid="{00000000-0005-0000-0000-0000B7200000}"/>
    <cellStyle name="Comma 2 2 2 2 2 2 2 2 2 2 2 2 6 2 2 4" xfId="8379" xr:uid="{00000000-0005-0000-0000-0000B8200000}"/>
    <cellStyle name="Comma 2 2 2 2 2 2 2 2 2 2 2 2 6 2 2 5" xfId="8380" xr:uid="{00000000-0005-0000-0000-0000B9200000}"/>
    <cellStyle name="Comma 2 2 2 2 2 2 2 2 2 2 2 2 6 2 2 6" xfId="8381" xr:uid="{00000000-0005-0000-0000-0000BA200000}"/>
    <cellStyle name="Comma 2 2 2 2 2 2 2 2 2 2 2 2 6 2 2 6 2" xfId="8382" xr:uid="{00000000-0005-0000-0000-0000BB200000}"/>
    <cellStyle name="Comma 2 2 2 2 2 2 2 2 2 2 2 2 6 2 2 7" xfId="8383" xr:uid="{00000000-0005-0000-0000-0000BC200000}"/>
    <cellStyle name="Comma 2 2 2 2 2 2 2 2 2 2 2 2 6 2 2 8" xfId="8384" xr:uid="{00000000-0005-0000-0000-0000BD200000}"/>
    <cellStyle name="Comma 2 2 2 2 2 2 2 2 2 2 2 2 6 2 2 9" xfId="8385" xr:uid="{00000000-0005-0000-0000-0000BE200000}"/>
    <cellStyle name="Comma 2 2 2 2 2 2 2 2 2 2 2 2 6 2 3" xfId="8386" xr:uid="{00000000-0005-0000-0000-0000BF200000}"/>
    <cellStyle name="Comma 2 2 2 2 2 2 2 2 2 2 2 2 6 2 3 10" xfId="8387" xr:uid="{00000000-0005-0000-0000-0000C0200000}"/>
    <cellStyle name="Comma 2 2 2 2 2 2 2 2 2 2 2 2 6 2 3 11" xfId="8388" xr:uid="{00000000-0005-0000-0000-0000C1200000}"/>
    <cellStyle name="Comma 2 2 2 2 2 2 2 2 2 2 2 2 6 2 3 12" xfId="8389" xr:uid="{00000000-0005-0000-0000-0000C2200000}"/>
    <cellStyle name="Comma 2 2 2 2 2 2 2 2 2 2 2 2 6 2 3 2" xfId="8390" xr:uid="{00000000-0005-0000-0000-0000C3200000}"/>
    <cellStyle name="Comma 2 2 2 2 2 2 2 2 2 2 2 2 6 2 3 3" xfId="8391" xr:uid="{00000000-0005-0000-0000-0000C4200000}"/>
    <cellStyle name="Comma 2 2 2 2 2 2 2 2 2 2 2 2 6 2 3 4" xfId="8392" xr:uid="{00000000-0005-0000-0000-0000C5200000}"/>
    <cellStyle name="Comma 2 2 2 2 2 2 2 2 2 2 2 2 6 2 3 5" xfId="8393" xr:uid="{00000000-0005-0000-0000-0000C6200000}"/>
    <cellStyle name="Comma 2 2 2 2 2 2 2 2 2 2 2 2 6 2 3 6" xfId="8394" xr:uid="{00000000-0005-0000-0000-0000C7200000}"/>
    <cellStyle name="Comma 2 2 2 2 2 2 2 2 2 2 2 2 6 2 3 6 2" xfId="8395" xr:uid="{00000000-0005-0000-0000-0000C8200000}"/>
    <cellStyle name="Comma 2 2 2 2 2 2 2 2 2 2 2 2 6 2 3 7" xfId="8396" xr:uid="{00000000-0005-0000-0000-0000C9200000}"/>
    <cellStyle name="Comma 2 2 2 2 2 2 2 2 2 2 2 2 6 2 3 8" xfId="8397" xr:uid="{00000000-0005-0000-0000-0000CA200000}"/>
    <cellStyle name="Comma 2 2 2 2 2 2 2 2 2 2 2 2 6 2 3 9" xfId="8398" xr:uid="{00000000-0005-0000-0000-0000CB200000}"/>
    <cellStyle name="Comma 2 2 2 2 2 2 2 2 2 2 2 2 6 2 4" xfId="8399" xr:uid="{00000000-0005-0000-0000-0000CC200000}"/>
    <cellStyle name="Comma 2 2 2 2 2 2 2 2 2 2 2 2 6 2 4 10" xfId="8400" xr:uid="{00000000-0005-0000-0000-0000CD200000}"/>
    <cellStyle name="Comma 2 2 2 2 2 2 2 2 2 2 2 2 6 2 4 11" xfId="8401" xr:uid="{00000000-0005-0000-0000-0000CE200000}"/>
    <cellStyle name="Comma 2 2 2 2 2 2 2 2 2 2 2 2 6 2 4 12" xfId="8402" xr:uid="{00000000-0005-0000-0000-0000CF200000}"/>
    <cellStyle name="Comma 2 2 2 2 2 2 2 2 2 2 2 2 6 2 4 2" xfId="8403" xr:uid="{00000000-0005-0000-0000-0000D0200000}"/>
    <cellStyle name="Comma 2 2 2 2 2 2 2 2 2 2 2 2 6 2 4 3" xfId="8404" xr:uid="{00000000-0005-0000-0000-0000D1200000}"/>
    <cellStyle name="Comma 2 2 2 2 2 2 2 2 2 2 2 2 6 2 4 4" xfId="8405" xr:uid="{00000000-0005-0000-0000-0000D2200000}"/>
    <cellStyle name="Comma 2 2 2 2 2 2 2 2 2 2 2 2 6 2 4 5" xfId="8406" xr:uid="{00000000-0005-0000-0000-0000D3200000}"/>
    <cellStyle name="Comma 2 2 2 2 2 2 2 2 2 2 2 2 6 2 4 6" xfId="8407" xr:uid="{00000000-0005-0000-0000-0000D4200000}"/>
    <cellStyle name="Comma 2 2 2 2 2 2 2 2 2 2 2 2 6 2 4 6 2" xfId="8408" xr:uid="{00000000-0005-0000-0000-0000D5200000}"/>
    <cellStyle name="Comma 2 2 2 2 2 2 2 2 2 2 2 2 6 2 4 7" xfId="8409" xr:uid="{00000000-0005-0000-0000-0000D6200000}"/>
    <cellStyle name="Comma 2 2 2 2 2 2 2 2 2 2 2 2 6 2 4 8" xfId="8410" xr:uid="{00000000-0005-0000-0000-0000D7200000}"/>
    <cellStyle name="Comma 2 2 2 2 2 2 2 2 2 2 2 2 6 2 4 9" xfId="8411" xr:uid="{00000000-0005-0000-0000-0000D8200000}"/>
    <cellStyle name="Comma 2 2 2 2 2 2 2 2 2 2 2 2 6 2 5" xfId="8412" xr:uid="{00000000-0005-0000-0000-0000D9200000}"/>
    <cellStyle name="Comma 2 2 2 2 2 2 2 2 2 2 2 2 6 2 5 10" xfId="8413" xr:uid="{00000000-0005-0000-0000-0000DA200000}"/>
    <cellStyle name="Comma 2 2 2 2 2 2 2 2 2 2 2 2 6 2 5 11" xfId="8414" xr:uid="{00000000-0005-0000-0000-0000DB200000}"/>
    <cellStyle name="Comma 2 2 2 2 2 2 2 2 2 2 2 2 6 2 5 12" xfId="8415" xr:uid="{00000000-0005-0000-0000-0000DC200000}"/>
    <cellStyle name="Comma 2 2 2 2 2 2 2 2 2 2 2 2 6 2 5 2" xfId="8416" xr:uid="{00000000-0005-0000-0000-0000DD200000}"/>
    <cellStyle name="Comma 2 2 2 2 2 2 2 2 2 2 2 2 6 2 5 3" xfId="8417" xr:uid="{00000000-0005-0000-0000-0000DE200000}"/>
    <cellStyle name="Comma 2 2 2 2 2 2 2 2 2 2 2 2 6 2 5 4" xfId="8418" xr:uid="{00000000-0005-0000-0000-0000DF200000}"/>
    <cellStyle name="Comma 2 2 2 2 2 2 2 2 2 2 2 2 6 2 5 5" xfId="8419" xr:uid="{00000000-0005-0000-0000-0000E0200000}"/>
    <cellStyle name="Comma 2 2 2 2 2 2 2 2 2 2 2 2 6 2 5 6" xfId="8420" xr:uid="{00000000-0005-0000-0000-0000E1200000}"/>
    <cellStyle name="Comma 2 2 2 2 2 2 2 2 2 2 2 2 6 2 5 6 2" xfId="8421" xr:uid="{00000000-0005-0000-0000-0000E2200000}"/>
    <cellStyle name="Comma 2 2 2 2 2 2 2 2 2 2 2 2 6 2 5 7" xfId="8422" xr:uid="{00000000-0005-0000-0000-0000E3200000}"/>
    <cellStyle name="Comma 2 2 2 2 2 2 2 2 2 2 2 2 6 2 5 8" xfId="8423" xr:uid="{00000000-0005-0000-0000-0000E4200000}"/>
    <cellStyle name="Comma 2 2 2 2 2 2 2 2 2 2 2 2 6 2 5 9" xfId="8424" xr:uid="{00000000-0005-0000-0000-0000E5200000}"/>
    <cellStyle name="Comma 2 2 2 2 2 2 2 2 2 2 2 2 6 2 6" xfId="8425" xr:uid="{00000000-0005-0000-0000-0000E6200000}"/>
    <cellStyle name="Comma 2 2 2 2 2 2 2 2 2 2 2 2 6 2 6 10" xfId="8426" xr:uid="{00000000-0005-0000-0000-0000E7200000}"/>
    <cellStyle name="Comma 2 2 2 2 2 2 2 2 2 2 2 2 6 2 6 11" xfId="8427" xr:uid="{00000000-0005-0000-0000-0000E8200000}"/>
    <cellStyle name="Comma 2 2 2 2 2 2 2 2 2 2 2 2 6 2 6 12" xfId="8428" xr:uid="{00000000-0005-0000-0000-0000E9200000}"/>
    <cellStyle name="Comma 2 2 2 2 2 2 2 2 2 2 2 2 6 2 6 2" xfId="8429" xr:uid="{00000000-0005-0000-0000-0000EA200000}"/>
    <cellStyle name="Comma 2 2 2 2 2 2 2 2 2 2 2 2 6 2 6 3" xfId="8430" xr:uid="{00000000-0005-0000-0000-0000EB200000}"/>
    <cellStyle name="Comma 2 2 2 2 2 2 2 2 2 2 2 2 6 2 6 4" xfId="8431" xr:uid="{00000000-0005-0000-0000-0000EC200000}"/>
    <cellStyle name="Comma 2 2 2 2 2 2 2 2 2 2 2 2 6 2 6 5" xfId="8432" xr:uid="{00000000-0005-0000-0000-0000ED200000}"/>
    <cellStyle name="Comma 2 2 2 2 2 2 2 2 2 2 2 2 6 2 6 6" xfId="8433" xr:uid="{00000000-0005-0000-0000-0000EE200000}"/>
    <cellStyle name="Comma 2 2 2 2 2 2 2 2 2 2 2 2 6 2 6 6 2" xfId="8434" xr:uid="{00000000-0005-0000-0000-0000EF200000}"/>
    <cellStyle name="Comma 2 2 2 2 2 2 2 2 2 2 2 2 6 2 6 7" xfId="8435" xr:uid="{00000000-0005-0000-0000-0000F0200000}"/>
    <cellStyle name="Comma 2 2 2 2 2 2 2 2 2 2 2 2 6 2 6 8" xfId="8436" xr:uid="{00000000-0005-0000-0000-0000F1200000}"/>
    <cellStyle name="Comma 2 2 2 2 2 2 2 2 2 2 2 2 6 2 6 9" xfId="8437" xr:uid="{00000000-0005-0000-0000-0000F2200000}"/>
    <cellStyle name="Comma 2 2 2 2 2 2 2 2 2 2 2 2 6 2 7" xfId="8438" xr:uid="{00000000-0005-0000-0000-0000F3200000}"/>
    <cellStyle name="Comma 2 2 2 2 2 2 2 2 2 2 2 2 6 2 7 2" xfId="8439" xr:uid="{00000000-0005-0000-0000-0000F4200000}"/>
    <cellStyle name="Comma 2 2 2 2 2 2 2 2 2 2 2 2 6 2 8" xfId="8440" xr:uid="{00000000-0005-0000-0000-0000F5200000}"/>
    <cellStyle name="Comma 2 2 2 2 2 2 2 2 2 2 2 2 6 20" xfId="8441" xr:uid="{00000000-0005-0000-0000-0000F6200000}"/>
    <cellStyle name="Comma 2 2 2 2 2 2 2 2 2 2 2 2 6 21" xfId="8442" xr:uid="{00000000-0005-0000-0000-0000F7200000}"/>
    <cellStyle name="Comma 2 2 2 2 2 2 2 2 2 2 2 2 6 22" xfId="8443" xr:uid="{00000000-0005-0000-0000-0000F8200000}"/>
    <cellStyle name="Comma 2 2 2 2 2 2 2 2 2 2 2 2 6 23" xfId="8444" xr:uid="{00000000-0005-0000-0000-0000F9200000}"/>
    <cellStyle name="Comma 2 2 2 2 2 2 2 2 2 2 2 2 6 3" xfId="8445" xr:uid="{00000000-0005-0000-0000-0000FA200000}"/>
    <cellStyle name="Comma 2 2 2 2 2 2 2 2 2 2 2 2 6 3 2" xfId="8446" xr:uid="{00000000-0005-0000-0000-0000FB200000}"/>
    <cellStyle name="Comma 2 2 2 2 2 2 2 2 2 2 2 2 6 3 2 10" xfId="8447" xr:uid="{00000000-0005-0000-0000-0000FC200000}"/>
    <cellStyle name="Comma 2 2 2 2 2 2 2 2 2 2 2 2 6 3 2 11" xfId="8448" xr:uid="{00000000-0005-0000-0000-0000FD200000}"/>
    <cellStyle name="Comma 2 2 2 2 2 2 2 2 2 2 2 2 6 3 2 12" xfId="8449" xr:uid="{00000000-0005-0000-0000-0000FE200000}"/>
    <cellStyle name="Comma 2 2 2 2 2 2 2 2 2 2 2 2 6 3 2 2" xfId="8450" xr:uid="{00000000-0005-0000-0000-0000FF200000}"/>
    <cellStyle name="Comma 2 2 2 2 2 2 2 2 2 2 2 2 6 3 2 3" xfId="8451" xr:uid="{00000000-0005-0000-0000-000000210000}"/>
    <cellStyle name="Comma 2 2 2 2 2 2 2 2 2 2 2 2 6 3 2 4" xfId="8452" xr:uid="{00000000-0005-0000-0000-000001210000}"/>
    <cellStyle name="Comma 2 2 2 2 2 2 2 2 2 2 2 2 6 3 2 5" xfId="8453" xr:uid="{00000000-0005-0000-0000-000002210000}"/>
    <cellStyle name="Comma 2 2 2 2 2 2 2 2 2 2 2 2 6 3 2 6" xfId="8454" xr:uid="{00000000-0005-0000-0000-000003210000}"/>
    <cellStyle name="Comma 2 2 2 2 2 2 2 2 2 2 2 2 6 3 2 6 2" xfId="8455" xr:uid="{00000000-0005-0000-0000-000004210000}"/>
    <cellStyle name="Comma 2 2 2 2 2 2 2 2 2 2 2 2 6 3 2 7" xfId="8456" xr:uid="{00000000-0005-0000-0000-000005210000}"/>
    <cellStyle name="Comma 2 2 2 2 2 2 2 2 2 2 2 2 6 3 2 8" xfId="8457" xr:uid="{00000000-0005-0000-0000-000006210000}"/>
    <cellStyle name="Comma 2 2 2 2 2 2 2 2 2 2 2 2 6 3 2 9" xfId="8458" xr:uid="{00000000-0005-0000-0000-000007210000}"/>
    <cellStyle name="Comma 2 2 2 2 2 2 2 2 2 2 2 2 6 3 3" xfId="8459" xr:uid="{00000000-0005-0000-0000-000008210000}"/>
    <cellStyle name="Comma 2 2 2 2 2 2 2 2 2 2 2 2 6 3 3 10" xfId="8460" xr:uid="{00000000-0005-0000-0000-000009210000}"/>
    <cellStyle name="Comma 2 2 2 2 2 2 2 2 2 2 2 2 6 3 3 11" xfId="8461" xr:uid="{00000000-0005-0000-0000-00000A210000}"/>
    <cellStyle name="Comma 2 2 2 2 2 2 2 2 2 2 2 2 6 3 3 12" xfId="8462" xr:uid="{00000000-0005-0000-0000-00000B210000}"/>
    <cellStyle name="Comma 2 2 2 2 2 2 2 2 2 2 2 2 6 3 3 2" xfId="8463" xr:uid="{00000000-0005-0000-0000-00000C210000}"/>
    <cellStyle name="Comma 2 2 2 2 2 2 2 2 2 2 2 2 6 3 3 3" xfId="8464" xr:uid="{00000000-0005-0000-0000-00000D210000}"/>
    <cellStyle name="Comma 2 2 2 2 2 2 2 2 2 2 2 2 6 3 3 4" xfId="8465" xr:uid="{00000000-0005-0000-0000-00000E210000}"/>
    <cellStyle name="Comma 2 2 2 2 2 2 2 2 2 2 2 2 6 3 3 5" xfId="8466" xr:uid="{00000000-0005-0000-0000-00000F210000}"/>
    <cellStyle name="Comma 2 2 2 2 2 2 2 2 2 2 2 2 6 3 3 6" xfId="8467" xr:uid="{00000000-0005-0000-0000-000010210000}"/>
    <cellStyle name="Comma 2 2 2 2 2 2 2 2 2 2 2 2 6 3 3 6 2" xfId="8468" xr:uid="{00000000-0005-0000-0000-000011210000}"/>
    <cellStyle name="Comma 2 2 2 2 2 2 2 2 2 2 2 2 6 3 3 7" xfId="8469" xr:uid="{00000000-0005-0000-0000-000012210000}"/>
    <cellStyle name="Comma 2 2 2 2 2 2 2 2 2 2 2 2 6 3 3 8" xfId="8470" xr:uid="{00000000-0005-0000-0000-000013210000}"/>
    <cellStyle name="Comma 2 2 2 2 2 2 2 2 2 2 2 2 6 3 3 9" xfId="8471" xr:uid="{00000000-0005-0000-0000-000014210000}"/>
    <cellStyle name="Comma 2 2 2 2 2 2 2 2 2 2 2 2 6 3 4" xfId="8472" xr:uid="{00000000-0005-0000-0000-000015210000}"/>
    <cellStyle name="Comma 2 2 2 2 2 2 2 2 2 2 2 2 6 3 4 10" xfId="8473" xr:uid="{00000000-0005-0000-0000-000016210000}"/>
    <cellStyle name="Comma 2 2 2 2 2 2 2 2 2 2 2 2 6 3 4 11" xfId="8474" xr:uid="{00000000-0005-0000-0000-000017210000}"/>
    <cellStyle name="Comma 2 2 2 2 2 2 2 2 2 2 2 2 6 3 4 12" xfId="8475" xr:uid="{00000000-0005-0000-0000-000018210000}"/>
    <cellStyle name="Comma 2 2 2 2 2 2 2 2 2 2 2 2 6 3 4 2" xfId="8476" xr:uid="{00000000-0005-0000-0000-000019210000}"/>
    <cellStyle name="Comma 2 2 2 2 2 2 2 2 2 2 2 2 6 3 4 3" xfId="8477" xr:uid="{00000000-0005-0000-0000-00001A210000}"/>
    <cellStyle name="Comma 2 2 2 2 2 2 2 2 2 2 2 2 6 3 4 4" xfId="8478" xr:uid="{00000000-0005-0000-0000-00001B210000}"/>
    <cellStyle name="Comma 2 2 2 2 2 2 2 2 2 2 2 2 6 3 4 5" xfId="8479" xr:uid="{00000000-0005-0000-0000-00001C210000}"/>
    <cellStyle name="Comma 2 2 2 2 2 2 2 2 2 2 2 2 6 3 4 6" xfId="8480" xr:uid="{00000000-0005-0000-0000-00001D210000}"/>
    <cellStyle name="Comma 2 2 2 2 2 2 2 2 2 2 2 2 6 3 4 6 2" xfId="8481" xr:uid="{00000000-0005-0000-0000-00001E210000}"/>
    <cellStyle name="Comma 2 2 2 2 2 2 2 2 2 2 2 2 6 3 4 7" xfId="8482" xr:uid="{00000000-0005-0000-0000-00001F210000}"/>
    <cellStyle name="Comma 2 2 2 2 2 2 2 2 2 2 2 2 6 3 4 8" xfId="8483" xr:uid="{00000000-0005-0000-0000-000020210000}"/>
    <cellStyle name="Comma 2 2 2 2 2 2 2 2 2 2 2 2 6 3 4 9" xfId="8484" xr:uid="{00000000-0005-0000-0000-000021210000}"/>
    <cellStyle name="Comma 2 2 2 2 2 2 2 2 2 2 2 2 6 3 5" xfId="8485" xr:uid="{00000000-0005-0000-0000-000022210000}"/>
    <cellStyle name="Comma 2 2 2 2 2 2 2 2 2 2 2 2 6 3 5 10" xfId="8486" xr:uid="{00000000-0005-0000-0000-000023210000}"/>
    <cellStyle name="Comma 2 2 2 2 2 2 2 2 2 2 2 2 6 3 5 11" xfId="8487" xr:uid="{00000000-0005-0000-0000-000024210000}"/>
    <cellStyle name="Comma 2 2 2 2 2 2 2 2 2 2 2 2 6 3 5 12" xfId="8488" xr:uid="{00000000-0005-0000-0000-000025210000}"/>
    <cellStyle name="Comma 2 2 2 2 2 2 2 2 2 2 2 2 6 3 5 2" xfId="8489" xr:uid="{00000000-0005-0000-0000-000026210000}"/>
    <cellStyle name="Comma 2 2 2 2 2 2 2 2 2 2 2 2 6 3 5 3" xfId="8490" xr:uid="{00000000-0005-0000-0000-000027210000}"/>
    <cellStyle name="Comma 2 2 2 2 2 2 2 2 2 2 2 2 6 3 5 4" xfId="8491" xr:uid="{00000000-0005-0000-0000-000028210000}"/>
    <cellStyle name="Comma 2 2 2 2 2 2 2 2 2 2 2 2 6 3 5 5" xfId="8492" xr:uid="{00000000-0005-0000-0000-000029210000}"/>
    <cellStyle name="Comma 2 2 2 2 2 2 2 2 2 2 2 2 6 3 5 6" xfId="8493" xr:uid="{00000000-0005-0000-0000-00002A210000}"/>
    <cellStyle name="Comma 2 2 2 2 2 2 2 2 2 2 2 2 6 3 5 6 2" xfId="8494" xr:uid="{00000000-0005-0000-0000-00002B210000}"/>
    <cellStyle name="Comma 2 2 2 2 2 2 2 2 2 2 2 2 6 3 5 7" xfId="8495" xr:uid="{00000000-0005-0000-0000-00002C210000}"/>
    <cellStyle name="Comma 2 2 2 2 2 2 2 2 2 2 2 2 6 3 5 8" xfId="8496" xr:uid="{00000000-0005-0000-0000-00002D210000}"/>
    <cellStyle name="Comma 2 2 2 2 2 2 2 2 2 2 2 2 6 3 5 9" xfId="8497" xr:uid="{00000000-0005-0000-0000-00002E210000}"/>
    <cellStyle name="Comma 2 2 2 2 2 2 2 2 2 2 2 2 6 3 6" xfId="8498" xr:uid="{00000000-0005-0000-0000-00002F210000}"/>
    <cellStyle name="Comma 2 2 2 2 2 2 2 2 2 2 2 2 6 4" xfId="8499" xr:uid="{00000000-0005-0000-0000-000030210000}"/>
    <cellStyle name="Comma 2 2 2 2 2 2 2 2 2 2 2 2 6 4 2" xfId="8500" xr:uid="{00000000-0005-0000-0000-000031210000}"/>
    <cellStyle name="Comma 2 2 2 2 2 2 2 2 2 2 2 2 6 4 2 10" xfId="8501" xr:uid="{00000000-0005-0000-0000-000032210000}"/>
    <cellStyle name="Comma 2 2 2 2 2 2 2 2 2 2 2 2 6 4 2 11" xfId="8502" xr:uid="{00000000-0005-0000-0000-000033210000}"/>
    <cellStyle name="Comma 2 2 2 2 2 2 2 2 2 2 2 2 6 4 2 12" xfId="8503" xr:uid="{00000000-0005-0000-0000-000034210000}"/>
    <cellStyle name="Comma 2 2 2 2 2 2 2 2 2 2 2 2 6 4 2 2" xfId="8504" xr:uid="{00000000-0005-0000-0000-000035210000}"/>
    <cellStyle name="Comma 2 2 2 2 2 2 2 2 2 2 2 2 6 4 2 3" xfId="8505" xr:uid="{00000000-0005-0000-0000-000036210000}"/>
    <cellStyle name="Comma 2 2 2 2 2 2 2 2 2 2 2 2 6 4 2 4" xfId="8506" xr:uid="{00000000-0005-0000-0000-000037210000}"/>
    <cellStyle name="Comma 2 2 2 2 2 2 2 2 2 2 2 2 6 4 2 5" xfId="8507" xr:uid="{00000000-0005-0000-0000-000038210000}"/>
    <cellStyle name="Comma 2 2 2 2 2 2 2 2 2 2 2 2 6 4 2 6" xfId="8508" xr:uid="{00000000-0005-0000-0000-000039210000}"/>
    <cellStyle name="Comma 2 2 2 2 2 2 2 2 2 2 2 2 6 4 2 6 2" xfId="8509" xr:uid="{00000000-0005-0000-0000-00003A210000}"/>
    <cellStyle name="Comma 2 2 2 2 2 2 2 2 2 2 2 2 6 4 2 7" xfId="8510" xr:uid="{00000000-0005-0000-0000-00003B210000}"/>
    <cellStyle name="Comma 2 2 2 2 2 2 2 2 2 2 2 2 6 4 2 8" xfId="8511" xr:uid="{00000000-0005-0000-0000-00003C210000}"/>
    <cellStyle name="Comma 2 2 2 2 2 2 2 2 2 2 2 2 6 4 2 9" xfId="8512" xr:uid="{00000000-0005-0000-0000-00003D210000}"/>
    <cellStyle name="Comma 2 2 2 2 2 2 2 2 2 2 2 2 6 4 3" xfId="8513" xr:uid="{00000000-0005-0000-0000-00003E210000}"/>
    <cellStyle name="Comma 2 2 2 2 2 2 2 2 2 2 2 2 6 4 3 10" xfId="8514" xr:uid="{00000000-0005-0000-0000-00003F210000}"/>
    <cellStyle name="Comma 2 2 2 2 2 2 2 2 2 2 2 2 6 4 3 11" xfId="8515" xr:uid="{00000000-0005-0000-0000-000040210000}"/>
    <cellStyle name="Comma 2 2 2 2 2 2 2 2 2 2 2 2 6 4 3 12" xfId="8516" xr:uid="{00000000-0005-0000-0000-000041210000}"/>
    <cellStyle name="Comma 2 2 2 2 2 2 2 2 2 2 2 2 6 4 3 2" xfId="8517" xr:uid="{00000000-0005-0000-0000-000042210000}"/>
    <cellStyle name="Comma 2 2 2 2 2 2 2 2 2 2 2 2 6 4 3 3" xfId="8518" xr:uid="{00000000-0005-0000-0000-000043210000}"/>
    <cellStyle name="Comma 2 2 2 2 2 2 2 2 2 2 2 2 6 4 3 4" xfId="8519" xr:uid="{00000000-0005-0000-0000-000044210000}"/>
    <cellStyle name="Comma 2 2 2 2 2 2 2 2 2 2 2 2 6 4 3 5" xfId="8520" xr:uid="{00000000-0005-0000-0000-000045210000}"/>
    <cellStyle name="Comma 2 2 2 2 2 2 2 2 2 2 2 2 6 4 3 6" xfId="8521" xr:uid="{00000000-0005-0000-0000-000046210000}"/>
    <cellStyle name="Comma 2 2 2 2 2 2 2 2 2 2 2 2 6 4 3 6 2" xfId="8522" xr:uid="{00000000-0005-0000-0000-000047210000}"/>
    <cellStyle name="Comma 2 2 2 2 2 2 2 2 2 2 2 2 6 4 3 7" xfId="8523" xr:uid="{00000000-0005-0000-0000-000048210000}"/>
    <cellStyle name="Comma 2 2 2 2 2 2 2 2 2 2 2 2 6 4 3 8" xfId="8524" xr:uid="{00000000-0005-0000-0000-000049210000}"/>
    <cellStyle name="Comma 2 2 2 2 2 2 2 2 2 2 2 2 6 4 3 9" xfId="8525" xr:uid="{00000000-0005-0000-0000-00004A210000}"/>
    <cellStyle name="Comma 2 2 2 2 2 2 2 2 2 2 2 2 6 4 4" xfId="8526" xr:uid="{00000000-0005-0000-0000-00004B210000}"/>
    <cellStyle name="Comma 2 2 2 2 2 2 2 2 2 2 2 2 6 4 4 10" xfId="8527" xr:uid="{00000000-0005-0000-0000-00004C210000}"/>
    <cellStyle name="Comma 2 2 2 2 2 2 2 2 2 2 2 2 6 4 4 11" xfId="8528" xr:uid="{00000000-0005-0000-0000-00004D210000}"/>
    <cellStyle name="Comma 2 2 2 2 2 2 2 2 2 2 2 2 6 4 4 12" xfId="8529" xr:uid="{00000000-0005-0000-0000-00004E210000}"/>
    <cellStyle name="Comma 2 2 2 2 2 2 2 2 2 2 2 2 6 4 4 2" xfId="8530" xr:uid="{00000000-0005-0000-0000-00004F210000}"/>
    <cellStyle name="Comma 2 2 2 2 2 2 2 2 2 2 2 2 6 4 4 3" xfId="8531" xr:uid="{00000000-0005-0000-0000-000050210000}"/>
    <cellStyle name="Comma 2 2 2 2 2 2 2 2 2 2 2 2 6 4 4 4" xfId="8532" xr:uid="{00000000-0005-0000-0000-000051210000}"/>
    <cellStyle name="Comma 2 2 2 2 2 2 2 2 2 2 2 2 6 4 4 5" xfId="8533" xr:uid="{00000000-0005-0000-0000-000052210000}"/>
    <cellStyle name="Comma 2 2 2 2 2 2 2 2 2 2 2 2 6 4 4 6" xfId="8534" xr:uid="{00000000-0005-0000-0000-000053210000}"/>
    <cellStyle name="Comma 2 2 2 2 2 2 2 2 2 2 2 2 6 4 4 6 2" xfId="8535" xr:uid="{00000000-0005-0000-0000-000054210000}"/>
    <cellStyle name="Comma 2 2 2 2 2 2 2 2 2 2 2 2 6 4 4 7" xfId="8536" xr:uid="{00000000-0005-0000-0000-000055210000}"/>
    <cellStyle name="Comma 2 2 2 2 2 2 2 2 2 2 2 2 6 4 4 8" xfId="8537" xr:uid="{00000000-0005-0000-0000-000056210000}"/>
    <cellStyle name="Comma 2 2 2 2 2 2 2 2 2 2 2 2 6 4 4 9" xfId="8538" xr:uid="{00000000-0005-0000-0000-000057210000}"/>
    <cellStyle name="Comma 2 2 2 2 2 2 2 2 2 2 2 2 6 5" xfId="8539" xr:uid="{00000000-0005-0000-0000-000058210000}"/>
    <cellStyle name="Comma 2 2 2 2 2 2 2 2 2 2 2 2 6 5 2" xfId="8540" xr:uid="{00000000-0005-0000-0000-000059210000}"/>
    <cellStyle name="Comma 2 2 2 2 2 2 2 2 2 2 2 2 6 5 2 10" xfId="8541" xr:uid="{00000000-0005-0000-0000-00005A210000}"/>
    <cellStyle name="Comma 2 2 2 2 2 2 2 2 2 2 2 2 6 5 2 11" xfId="8542" xr:uid="{00000000-0005-0000-0000-00005B210000}"/>
    <cellStyle name="Comma 2 2 2 2 2 2 2 2 2 2 2 2 6 5 2 12" xfId="8543" xr:uid="{00000000-0005-0000-0000-00005C210000}"/>
    <cellStyle name="Comma 2 2 2 2 2 2 2 2 2 2 2 2 6 5 2 2" xfId="8544" xr:uid="{00000000-0005-0000-0000-00005D210000}"/>
    <cellStyle name="Comma 2 2 2 2 2 2 2 2 2 2 2 2 6 5 2 3" xfId="8545" xr:uid="{00000000-0005-0000-0000-00005E210000}"/>
    <cellStyle name="Comma 2 2 2 2 2 2 2 2 2 2 2 2 6 5 2 4" xfId="8546" xr:uid="{00000000-0005-0000-0000-00005F210000}"/>
    <cellStyle name="Comma 2 2 2 2 2 2 2 2 2 2 2 2 6 5 2 5" xfId="8547" xr:uid="{00000000-0005-0000-0000-000060210000}"/>
    <cellStyle name="Comma 2 2 2 2 2 2 2 2 2 2 2 2 6 5 2 6" xfId="8548" xr:uid="{00000000-0005-0000-0000-000061210000}"/>
    <cellStyle name="Comma 2 2 2 2 2 2 2 2 2 2 2 2 6 5 2 6 2" xfId="8549" xr:uid="{00000000-0005-0000-0000-000062210000}"/>
    <cellStyle name="Comma 2 2 2 2 2 2 2 2 2 2 2 2 6 5 2 7" xfId="8550" xr:uid="{00000000-0005-0000-0000-000063210000}"/>
    <cellStyle name="Comma 2 2 2 2 2 2 2 2 2 2 2 2 6 5 2 8" xfId="8551" xr:uid="{00000000-0005-0000-0000-000064210000}"/>
    <cellStyle name="Comma 2 2 2 2 2 2 2 2 2 2 2 2 6 5 2 9" xfId="8552" xr:uid="{00000000-0005-0000-0000-000065210000}"/>
    <cellStyle name="Comma 2 2 2 2 2 2 2 2 2 2 2 2 6 5 3" xfId="8553" xr:uid="{00000000-0005-0000-0000-000066210000}"/>
    <cellStyle name="Comma 2 2 2 2 2 2 2 2 2 2 2 2 6 5 3 10" xfId="8554" xr:uid="{00000000-0005-0000-0000-000067210000}"/>
    <cellStyle name="Comma 2 2 2 2 2 2 2 2 2 2 2 2 6 5 3 11" xfId="8555" xr:uid="{00000000-0005-0000-0000-000068210000}"/>
    <cellStyle name="Comma 2 2 2 2 2 2 2 2 2 2 2 2 6 5 3 12" xfId="8556" xr:uid="{00000000-0005-0000-0000-000069210000}"/>
    <cellStyle name="Comma 2 2 2 2 2 2 2 2 2 2 2 2 6 5 3 2" xfId="8557" xr:uid="{00000000-0005-0000-0000-00006A210000}"/>
    <cellStyle name="Comma 2 2 2 2 2 2 2 2 2 2 2 2 6 5 3 3" xfId="8558" xr:uid="{00000000-0005-0000-0000-00006B210000}"/>
    <cellStyle name="Comma 2 2 2 2 2 2 2 2 2 2 2 2 6 5 3 4" xfId="8559" xr:uid="{00000000-0005-0000-0000-00006C210000}"/>
    <cellStyle name="Comma 2 2 2 2 2 2 2 2 2 2 2 2 6 5 3 5" xfId="8560" xr:uid="{00000000-0005-0000-0000-00006D210000}"/>
    <cellStyle name="Comma 2 2 2 2 2 2 2 2 2 2 2 2 6 5 3 6" xfId="8561" xr:uid="{00000000-0005-0000-0000-00006E210000}"/>
    <cellStyle name="Comma 2 2 2 2 2 2 2 2 2 2 2 2 6 5 3 6 2" xfId="8562" xr:uid="{00000000-0005-0000-0000-00006F210000}"/>
    <cellStyle name="Comma 2 2 2 2 2 2 2 2 2 2 2 2 6 5 3 7" xfId="8563" xr:uid="{00000000-0005-0000-0000-000070210000}"/>
    <cellStyle name="Comma 2 2 2 2 2 2 2 2 2 2 2 2 6 5 3 8" xfId="8564" xr:uid="{00000000-0005-0000-0000-000071210000}"/>
    <cellStyle name="Comma 2 2 2 2 2 2 2 2 2 2 2 2 6 5 3 9" xfId="8565" xr:uid="{00000000-0005-0000-0000-000072210000}"/>
    <cellStyle name="Comma 2 2 2 2 2 2 2 2 2 2 2 2 6 6" xfId="8566" xr:uid="{00000000-0005-0000-0000-000073210000}"/>
    <cellStyle name="Comma 2 2 2 2 2 2 2 2 2 2 2 2 6 6 2" xfId="8567" xr:uid="{00000000-0005-0000-0000-000074210000}"/>
    <cellStyle name="Comma 2 2 2 2 2 2 2 2 2 2 2 2 6 6 2 10" xfId="8568" xr:uid="{00000000-0005-0000-0000-000075210000}"/>
    <cellStyle name="Comma 2 2 2 2 2 2 2 2 2 2 2 2 6 6 2 11" xfId="8569" xr:uid="{00000000-0005-0000-0000-000076210000}"/>
    <cellStyle name="Comma 2 2 2 2 2 2 2 2 2 2 2 2 6 6 2 12" xfId="8570" xr:uid="{00000000-0005-0000-0000-000077210000}"/>
    <cellStyle name="Comma 2 2 2 2 2 2 2 2 2 2 2 2 6 6 2 2" xfId="8571" xr:uid="{00000000-0005-0000-0000-000078210000}"/>
    <cellStyle name="Comma 2 2 2 2 2 2 2 2 2 2 2 2 6 6 2 3" xfId="8572" xr:uid="{00000000-0005-0000-0000-000079210000}"/>
    <cellStyle name="Comma 2 2 2 2 2 2 2 2 2 2 2 2 6 6 2 4" xfId="8573" xr:uid="{00000000-0005-0000-0000-00007A210000}"/>
    <cellStyle name="Comma 2 2 2 2 2 2 2 2 2 2 2 2 6 6 2 5" xfId="8574" xr:uid="{00000000-0005-0000-0000-00007B210000}"/>
    <cellStyle name="Comma 2 2 2 2 2 2 2 2 2 2 2 2 6 6 2 6" xfId="8575" xr:uid="{00000000-0005-0000-0000-00007C210000}"/>
    <cellStyle name="Comma 2 2 2 2 2 2 2 2 2 2 2 2 6 6 2 6 2" xfId="8576" xr:uid="{00000000-0005-0000-0000-00007D210000}"/>
    <cellStyle name="Comma 2 2 2 2 2 2 2 2 2 2 2 2 6 6 2 7" xfId="8577" xr:uid="{00000000-0005-0000-0000-00007E210000}"/>
    <cellStyle name="Comma 2 2 2 2 2 2 2 2 2 2 2 2 6 6 2 8" xfId="8578" xr:uid="{00000000-0005-0000-0000-00007F210000}"/>
    <cellStyle name="Comma 2 2 2 2 2 2 2 2 2 2 2 2 6 6 2 9" xfId="8579" xr:uid="{00000000-0005-0000-0000-000080210000}"/>
    <cellStyle name="Comma 2 2 2 2 2 2 2 2 2 2 2 2 6 7" xfId="8580" xr:uid="{00000000-0005-0000-0000-000081210000}"/>
    <cellStyle name="Comma 2 2 2 2 2 2 2 2 2 2 2 2 6 7 10" xfId="8581" xr:uid="{00000000-0005-0000-0000-000082210000}"/>
    <cellStyle name="Comma 2 2 2 2 2 2 2 2 2 2 2 2 6 7 11" xfId="8582" xr:uid="{00000000-0005-0000-0000-000083210000}"/>
    <cellStyle name="Comma 2 2 2 2 2 2 2 2 2 2 2 2 6 7 12" xfId="8583" xr:uid="{00000000-0005-0000-0000-000084210000}"/>
    <cellStyle name="Comma 2 2 2 2 2 2 2 2 2 2 2 2 6 7 2" xfId="8584" xr:uid="{00000000-0005-0000-0000-000085210000}"/>
    <cellStyle name="Comma 2 2 2 2 2 2 2 2 2 2 2 2 6 7 3" xfId="8585" xr:uid="{00000000-0005-0000-0000-000086210000}"/>
    <cellStyle name="Comma 2 2 2 2 2 2 2 2 2 2 2 2 6 7 4" xfId="8586" xr:uid="{00000000-0005-0000-0000-000087210000}"/>
    <cellStyle name="Comma 2 2 2 2 2 2 2 2 2 2 2 2 6 7 5" xfId="8587" xr:uid="{00000000-0005-0000-0000-000088210000}"/>
    <cellStyle name="Comma 2 2 2 2 2 2 2 2 2 2 2 2 6 7 6" xfId="8588" xr:uid="{00000000-0005-0000-0000-000089210000}"/>
    <cellStyle name="Comma 2 2 2 2 2 2 2 2 2 2 2 2 6 7 6 2" xfId="8589" xr:uid="{00000000-0005-0000-0000-00008A210000}"/>
    <cellStyle name="Comma 2 2 2 2 2 2 2 2 2 2 2 2 6 7 7" xfId="8590" xr:uid="{00000000-0005-0000-0000-00008B210000}"/>
    <cellStyle name="Comma 2 2 2 2 2 2 2 2 2 2 2 2 6 7 8" xfId="8591" xr:uid="{00000000-0005-0000-0000-00008C210000}"/>
    <cellStyle name="Comma 2 2 2 2 2 2 2 2 2 2 2 2 6 7 9" xfId="8592" xr:uid="{00000000-0005-0000-0000-00008D210000}"/>
    <cellStyle name="Comma 2 2 2 2 2 2 2 2 2 2 2 2 6 8" xfId="8593" xr:uid="{00000000-0005-0000-0000-00008E210000}"/>
    <cellStyle name="Comma 2 2 2 2 2 2 2 2 2 2 2 2 6 9" xfId="8594" xr:uid="{00000000-0005-0000-0000-00008F210000}"/>
    <cellStyle name="Comma 2 2 2 2 2 2 2 2 2 2 2 2 7" xfId="8595" xr:uid="{00000000-0005-0000-0000-000090210000}"/>
    <cellStyle name="Comma 2 2 2 2 2 2 2 2 2 2 2 2 7 10" xfId="8596" xr:uid="{00000000-0005-0000-0000-000091210000}"/>
    <cellStyle name="Comma 2 2 2 2 2 2 2 2 2 2 2 2 7 11" xfId="8597" xr:uid="{00000000-0005-0000-0000-000092210000}"/>
    <cellStyle name="Comma 2 2 2 2 2 2 2 2 2 2 2 2 7 12" xfId="8598" xr:uid="{00000000-0005-0000-0000-000093210000}"/>
    <cellStyle name="Comma 2 2 2 2 2 2 2 2 2 2 2 2 7 13" xfId="8599" xr:uid="{00000000-0005-0000-0000-000094210000}"/>
    <cellStyle name="Comma 2 2 2 2 2 2 2 2 2 2 2 2 7 14" xfId="8600" xr:uid="{00000000-0005-0000-0000-000095210000}"/>
    <cellStyle name="Comma 2 2 2 2 2 2 2 2 2 2 2 2 7 14 2" xfId="8601" xr:uid="{00000000-0005-0000-0000-000096210000}"/>
    <cellStyle name="Comma 2 2 2 2 2 2 2 2 2 2 2 2 7 15" xfId="8602" xr:uid="{00000000-0005-0000-0000-000097210000}"/>
    <cellStyle name="Comma 2 2 2 2 2 2 2 2 2 2 2 2 7 15 2" xfId="8603" xr:uid="{00000000-0005-0000-0000-000098210000}"/>
    <cellStyle name="Comma 2 2 2 2 2 2 2 2 2 2 2 2 7 16" xfId="8604" xr:uid="{00000000-0005-0000-0000-000099210000}"/>
    <cellStyle name="Comma 2 2 2 2 2 2 2 2 2 2 2 2 7 17" xfId="8605" xr:uid="{00000000-0005-0000-0000-00009A210000}"/>
    <cellStyle name="Comma 2 2 2 2 2 2 2 2 2 2 2 2 7 18" xfId="8606" xr:uid="{00000000-0005-0000-0000-00009B210000}"/>
    <cellStyle name="Comma 2 2 2 2 2 2 2 2 2 2 2 2 7 19" xfId="8607" xr:uid="{00000000-0005-0000-0000-00009C210000}"/>
    <cellStyle name="Comma 2 2 2 2 2 2 2 2 2 2 2 2 7 2" xfId="8608" xr:uid="{00000000-0005-0000-0000-00009D210000}"/>
    <cellStyle name="Comma 2 2 2 2 2 2 2 2 2 2 2 2 7 2 2" xfId="8609" xr:uid="{00000000-0005-0000-0000-00009E210000}"/>
    <cellStyle name="Comma 2 2 2 2 2 2 2 2 2 2 2 2 7 2 2 2" xfId="8610" xr:uid="{00000000-0005-0000-0000-00009F210000}"/>
    <cellStyle name="Comma 2 2 2 2 2 2 2 2 2 2 2 2 7 2 2 3" xfId="8611" xr:uid="{00000000-0005-0000-0000-0000A0210000}"/>
    <cellStyle name="Comma 2 2 2 2 2 2 2 2 2 2 2 2 7 2 2 4" xfId="8612" xr:uid="{00000000-0005-0000-0000-0000A1210000}"/>
    <cellStyle name="Comma 2 2 2 2 2 2 2 2 2 2 2 2 7 2 2 5" xfId="8613" xr:uid="{00000000-0005-0000-0000-0000A2210000}"/>
    <cellStyle name="Comma 2 2 2 2 2 2 2 2 2 2 2 2 7 2 3" xfId="8614" xr:uid="{00000000-0005-0000-0000-0000A3210000}"/>
    <cellStyle name="Comma 2 2 2 2 2 2 2 2 2 2 2 2 7 2 3 2" xfId="8615" xr:uid="{00000000-0005-0000-0000-0000A4210000}"/>
    <cellStyle name="Comma 2 2 2 2 2 2 2 2 2 2 2 2 7 2 3 3" xfId="8616" xr:uid="{00000000-0005-0000-0000-0000A5210000}"/>
    <cellStyle name="Comma 2 2 2 2 2 2 2 2 2 2 2 2 7 2 3 4" xfId="8617" xr:uid="{00000000-0005-0000-0000-0000A6210000}"/>
    <cellStyle name="Comma 2 2 2 2 2 2 2 2 2 2 2 2 7 2 4" xfId="8618" xr:uid="{00000000-0005-0000-0000-0000A7210000}"/>
    <cellStyle name="Comma 2 2 2 2 2 2 2 2 2 2 2 2 7 2 4 2" xfId="8619" xr:uid="{00000000-0005-0000-0000-0000A8210000}"/>
    <cellStyle name="Comma 2 2 2 2 2 2 2 2 2 2 2 2 7 2 4 3" xfId="8620" xr:uid="{00000000-0005-0000-0000-0000A9210000}"/>
    <cellStyle name="Comma 2 2 2 2 2 2 2 2 2 2 2 2 7 20" xfId="8621" xr:uid="{00000000-0005-0000-0000-0000AA210000}"/>
    <cellStyle name="Comma 2 2 2 2 2 2 2 2 2 2 2 2 7 3" xfId="8622" xr:uid="{00000000-0005-0000-0000-0000AB210000}"/>
    <cellStyle name="Comma 2 2 2 2 2 2 2 2 2 2 2 2 7 3 2" xfId="8623" xr:uid="{00000000-0005-0000-0000-0000AC210000}"/>
    <cellStyle name="Comma 2 2 2 2 2 2 2 2 2 2 2 2 7 3 2 2" xfId="8624" xr:uid="{00000000-0005-0000-0000-0000AD210000}"/>
    <cellStyle name="Comma 2 2 2 2 2 2 2 2 2 2 2 2 7 3 2 3" xfId="8625" xr:uid="{00000000-0005-0000-0000-0000AE210000}"/>
    <cellStyle name="Comma 2 2 2 2 2 2 2 2 2 2 2 2 7 3 3" xfId="8626" xr:uid="{00000000-0005-0000-0000-0000AF210000}"/>
    <cellStyle name="Comma 2 2 2 2 2 2 2 2 2 2 2 2 7 3 3 2" xfId="8627" xr:uid="{00000000-0005-0000-0000-0000B0210000}"/>
    <cellStyle name="Comma 2 2 2 2 2 2 2 2 2 2 2 2 7 4" xfId="8628" xr:uid="{00000000-0005-0000-0000-0000B1210000}"/>
    <cellStyle name="Comma 2 2 2 2 2 2 2 2 2 2 2 2 7 5" xfId="8629" xr:uid="{00000000-0005-0000-0000-0000B2210000}"/>
    <cellStyle name="Comma 2 2 2 2 2 2 2 2 2 2 2 2 7 6" xfId="8630" xr:uid="{00000000-0005-0000-0000-0000B3210000}"/>
    <cellStyle name="Comma 2 2 2 2 2 2 2 2 2 2 2 2 7 6 2" xfId="8631" xr:uid="{00000000-0005-0000-0000-0000B4210000}"/>
    <cellStyle name="Comma 2 2 2 2 2 2 2 2 2 2 2 2 7 6 3" xfId="8632" xr:uid="{00000000-0005-0000-0000-0000B5210000}"/>
    <cellStyle name="Comma 2 2 2 2 2 2 2 2 2 2 2 2 7 7" xfId="8633" xr:uid="{00000000-0005-0000-0000-0000B6210000}"/>
    <cellStyle name="Comma 2 2 2 2 2 2 2 2 2 2 2 2 7 8" xfId="8634" xr:uid="{00000000-0005-0000-0000-0000B7210000}"/>
    <cellStyle name="Comma 2 2 2 2 2 2 2 2 2 2 2 2 7 9" xfId="8635" xr:uid="{00000000-0005-0000-0000-0000B8210000}"/>
    <cellStyle name="Comma 2 2 2 2 2 2 2 2 2 2 2 2 8" xfId="8636" xr:uid="{00000000-0005-0000-0000-0000B9210000}"/>
    <cellStyle name="Comma 2 2 2 2 2 2 2 2 2 2 2 2 8 10" xfId="8637" xr:uid="{00000000-0005-0000-0000-0000BA210000}"/>
    <cellStyle name="Comma 2 2 2 2 2 2 2 2 2 2 2 2 8 11" xfId="8638" xr:uid="{00000000-0005-0000-0000-0000BB210000}"/>
    <cellStyle name="Comma 2 2 2 2 2 2 2 2 2 2 2 2 8 12" xfId="8639" xr:uid="{00000000-0005-0000-0000-0000BC210000}"/>
    <cellStyle name="Comma 2 2 2 2 2 2 2 2 2 2 2 2 8 12 2" xfId="8640" xr:uid="{00000000-0005-0000-0000-0000BD210000}"/>
    <cellStyle name="Comma 2 2 2 2 2 2 2 2 2 2 2 2 8 13" xfId="8641" xr:uid="{00000000-0005-0000-0000-0000BE210000}"/>
    <cellStyle name="Comma 2 2 2 2 2 2 2 2 2 2 2 2 8 14" xfId="8642" xr:uid="{00000000-0005-0000-0000-0000BF210000}"/>
    <cellStyle name="Comma 2 2 2 2 2 2 2 2 2 2 2 2 8 15" xfId="8643" xr:uid="{00000000-0005-0000-0000-0000C0210000}"/>
    <cellStyle name="Comma 2 2 2 2 2 2 2 2 2 2 2 2 8 16" xfId="8644" xr:uid="{00000000-0005-0000-0000-0000C1210000}"/>
    <cellStyle name="Comma 2 2 2 2 2 2 2 2 2 2 2 2 8 17" xfId="8645" xr:uid="{00000000-0005-0000-0000-0000C2210000}"/>
    <cellStyle name="Comma 2 2 2 2 2 2 2 2 2 2 2 2 8 18" xfId="8646" xr:uid="{00000000-0005-0000-0000-0000C3210000}"/>
    <cellStyle name="Comma 2 2 2 2 2 2 2 2 2 2 2 2 8 2" xfId="8647" xr:uid="{00000000-0005-0000-0000-0000C4210000}"/>
    <cellStyle name="Comma 2 2 2 2 2 2 2 2 2 2 2 2 8 2 2" xfId="8648" xr:uid="{00000000-0005-0000-0000-0000C5210000}"/>
    <cellStyle name="Comma 2 2 2 2 2 2 2 2 2 2 2 2 8 2 2 2" xfId="8649" xr:uid="{00000000-0005-0000-0000-0000C6210000}"/>
    <cellStyle name="Comma 2 2 2 2 2 2 2 2 2 2 2 2 8 2 2 3" xfId="8650" xr:uid="{00000000-0005-0000-0000-0000C7210000}"/>
    <cellStyle name="Comma 2 2 2 2 2 2 2 2 2 2 2 2 8 2 3" xfId="8651" xr:uid="{00000000-0005-0000-0000-0000C8210000}"/>
    <cellStyle name="Comma 2 2 2 2 2 2 2 2 2 2 2 2 8 2 3 2" xfId="8652" xr:uid="{00000000-0005-0000-0000-0000C9210000}"/>
    <cellStyle name="Comma 2 2 2 2 2 2 2 2 2 2 2 2 8 3" xfId="8653" xr:uid="{00000000-0005-0000-0000-0000CA210000}"/>
    <cellStyle name="Comma 2 2 2 2 2 2 2 2 2 2 2 2 8 4" xfId="8654" xr:uid="{00000000-0005-0000-0000-0000CB210000}"/>
    <cellStyle name="Comma 2 2 2 2 2 2 2 2 2 2 2 2 8 5" xfId="8655" xr:uid="{00000000-0005-0000-0000-0000CC210000}"/>
    <cellStyle name="Comma 2 2 2 2 2 2 2 2 2 2 2 2 8 5 2" xfId="8656" xr:uid="{00000000-0005-0000-0000-0000CD210000}"/>
    <cellStyle name="Comma 2 2 2 2 2 2 2 2 2 2 2 2 8 5 3" xfId="8657" xr:uid="{00000000-0005-0000-0000-0000CE210000}"/>
    <cellStyle name="Comma 2 2 2 2 2 2 2 2 2 2 2 2 8 6" xfId="8658" xr:uid="{00000000-0005-0000-0000-0000CF210000}"/>
    <cellStyle name="Comma 2 2 2 2 2 2 2 2 2 2 2 2 8 7" xfId="8659" xr:uid="{00000000-0005-0000-0000-0000D0210000}"/>
    <cellStyle name="Comma 2 2 2 2 2 2 2 2 2 2 2 2 8 8" xfId="8660" xr:uid="{00000000-0005-0000-0000-0000D1210000}"/>
    <cellStyle name="Comma 2 2 2 2 2 2 2 2 2 2 2 2 8 9" xfId="8661" xr:uid="{00000000-0005-0000-0000-0000D2210000}"/>
    <cellStyle name="Comma 2 2 2 2 2 2 2 2 2 2 2 2 9" xfId="8662" xr:uid="{00000000-0005-0000-0000-0000D3210000}"/>
    <cellStyle name="Comma 2 2 2 2 2 2 2 2 2 2 2 2 9 10" xfId="8663" xr:uid="{00000000-0005-0000-0000-0000D4210000}"/>
    <cellStyle name="Comma 2 2 2 2 2 2 2 2 2 2 2 2 9 10 2" xfId="8664" xr:uid="{00000000-0005-0000-0000-0000D5210000}"/>
    <cellStyle name="Comma 2 2 2 2 2 2 2 2 2 2 2 2 9 11" xfId="8665" xr:uid="{00000000-0005-0000-0000-0000D6210000}"/>
    <cellStyle name="Comma 2 2 2 2 2 2 2 2 2 2 2 2 9 12" xfId="8666" xr:uid="{00000000-0005-0000-0000-0000D7210000}"/>
    <cellStyle name="Comma 2 2 2 2 2 2 2 2 2 2 2 2 9 13" xfId="8667" xr:uid="{00000000-0005-0000-0000-0000D8210000}"/>
    <cellStyle name="Comma 2 2 2 2 2 2 2 2 2 2 2 2 9 14" xfId="8668" xr:uid="{00000000-0005-0000-0000-0000D9210000}"/>
    <cellStyle name="Comma 2 2 2 2 2 2 2 2 2 2 2 2 9 15" xfId="8669" xr:uid="{00000000-0005-0000-0000-0000DA210000}"/>
    <cellStyle name="Comma 2 2 2 2 2 2 2 2 2 2 2 2 9 16" xfId="8670" xr:uid="{00000000-0005-0000-0000-0000DB210000}"/>
    <cellStyle name="Comma 2 2 2 2 2 2 2 2 2 2 2 2 9 2" xfId="8671" xr:uid="{00000000-0005-0000-0000-0000DC210000}"/>
    <cellStyle name="Comma 2 2 2 2 2 2 2 2 2 2 2 2 9 2 2" xfId="8672" xr:uid="{00000000-0005-0000-0000-0000DD210000}"/>
    <cellStyle name="Comma 2 2 2 2 2 2 2 2 2 2 2 2 9 2 2 2" xfId="8673" xr:uid="{00000000-0005-0000-0000-0000DE210000}"/>
    <cellStyle name="Comma 2 2 2 2 2 2 2 2 2 2 2 2 9 2 2 3" xfId="8674" xr:uid="{00000000-0005-0000-0000-0000DF210000}"/>
    <cellStyle name="Comma 2 2 2 2 2 2 2 2 2 2 2 2 9 2 3" xfId="8675" xr:uid="{00000000-0005-0000-0000-0000E0210000}"/>
    <cellStyle name="Comma 2 2 2 2 2 2 2 2 2 2 2 2 9 2 3 2" xfId="8676" xr:uid="{00000000-0005-0000-0000-0000E1210000}"/>
    <cellStyle name="Comma 2 2 2 2 2 2 2 2 2 2 2 2 9 3" xfId="8677" xr:uid="{00000000-0005-0000-0000-0000E2210000}"/>
    <cellStyle name="Comma 2 2 2 2 2 2 2 2 2 2 2 2 9 4" xfId="8678" xr:uid="{00000000-0005-0000-0000-0000E3210000}"/>
    <cellStyle name="Comma 2 2 2 2 2 2 2 2 2 2 2 2 9 4 2" xfId="8679" xr:uid="{00000000-0005-0000-0000-0000E4210000}"/>
    <cellStyle name="Comma 2 2 2 2 2 2 2 2 2 2 2 2 9 4 3" xfId="8680" xr:uid="{00000000-0005-0000-0000-0000E5210000}"/>
    <cellStyle name="Comma 2 2 2 2 2 2 2 2 2 2 2 2 9 5" xfId="8681" xr:uid="{00000000-0005-0000-0000-0000E6210000}"/>
    <cellStyle name="Comma 2 2 2 2 2 2 2 2 2 2 2 2 9 6" xfId="8682" xr:uid="{00000000-0005-0000-0000-0000E7210000}"/>
    <cellStyle name="Comma 2 2 2 2 2 2 2 2 2 2 2 2 9 7" xfId="8683" xr:uid="{00000000-0005-0000-0000-0000E8210000}"/>
    <cellStyle name="Comma 2 2 2 2 2 2 2 2 2 2 2 2 9 8" xfId="8684" xr:uid="{00000000-0005-0000-0000-0000E9210000}"/>
    <cellStyle name="Comma 2 2 2 2 2 2 2 2 2 2 2 2 9 9" xfId="8685" xr:uid="{00000000-0005-0000-0000-0000EA210000}"/>
    <cellStyle name="Comma 2 2 2 2 2 2 2 2 2 2 2 20" xfId="8686" xr:uid="{00000000-0005-0000-0000-0000EB210000}"/>
    <cellStyle name="Comma 2 2 2 2 2 2 2 2 2 2 2 21" xfId="8687" xr:uid="{00000000-0005-0000-0000-0000EC210000}"/>
    <cellStyle name="Comma 2 2 2 2 2 2 2 2 2 2 2 22" xfId="8688" xr:uid="{00000000-0005-0000-0000-0000ED210000}"/>
    <cellStyle name="Comma 2 2 2 2 2 2 2 2 2 2 2 23" xfId="8689" xr:uid="{00000000-0005-0000-0000-0000EE210000}"/>
    <cellStyle name="Comma 2 2 2 2 2 2 2 2 2 2 2 24" xfId="8690" xr:uid="{00000000-0005-0000-0000-0000EF210000}"/>
    <cellStyle name="Comma 2 2 2 2 2 2 2 2 2 2 2 25" xfId="8691" xr:uid="{00000000-0005-0000-0000-0000F0210000}"/>
    <cellStyle name="Comma 2 2 2 2 2 2 2 2 2 2 2 26" xfId="8692" xr:uid="{00000000-0005-0000-0000-0000F1210000}"/>
    <cellStyle name="Comma 2 2 2 2 2 2 2 2 2 2 2 26 2" xfId="8693" xr:uid="{00000000-0005-0000-0000-0000F2210000}"/>
    <cellStyle name="Comma 2 2 2 2 2 2 2 2 2 2 2 26 3" xfId="8694" xr:uid="{00000000-0005-0000-0000-0000F3210000}"/>
    <cellStyle name="Comma 2 2 2 2 2 2 2 2 2 2 2 27" xfId="8695" xr:uid="{00000000-0005-0000-0000-0000F4210000}"/>
    <cellStyle name="Comma 2 2 2 2 2 2 2 2 2 2 2 28" xfId="8696" xr:uid="{00000000-0005-0000-0000-0000F5210000}"/>
    <cellStyle name="Comma 2 2 2 2 2 2 2 2 2 2 2 29" xfId="8697" xr:uid="{00000000-0005-0000-0000-0000F6210000}"/>
    <cellStyle name="Comma 2 2 2 2 2 2 2 2 2 2 2 29 2" xfId="8698" xr:uid="{00000000-0005-0000-0000-0000F7210000}"/>
    <cellStyle name="Comma 2 2 2 2 2 2 2 2 2 2 2 3" xfId="8699" xr:uid="{00000000-0005-0000-0000-0000F8210000}"/>
    <cellStyle name="Comma 2 2 2 2 2 2 2 2 2 2 2 30" xfId="8700" xr:uid="{00000000-0005-0000-0000-0000F9210000}"/>
    <cellStyle name="Comma 2 2 2 2 2 2 2 2 2 2 2 31" xfId="8701" xr:uid="{00000000-0005-0000-0000-0000FA210000}"/>
    <cellStyle name="Comma 2 2 2 2 2 2 2 2 2 2 2 32" xfId="8702" xr:uid="{00000000-0005-0000-0000-0000FB210000}"/>
    <cellStyle name="Comma 2 2 2 2 2 2 2 2 2 2 2 33" xfId="8703" xr:uid="{00000000-0005-0000-0000-0000FC210000}"/>
    <cellStyle name="Comma 2 2 2 2 2 2 2 2 2 2 2 34" xfId="8704" xr:uid="{00000000-0005-0000-0000-0000FD210000}"/>
    <cellStyle name="Comma 2 2 2 2 2 2 2 2 2 2 2 35" xfId="8705" xr:uid="{00000000-0005-0000-0000-0000FE210000}"/>
    <cellStyle name="Comma 2 2 2 2 2 2 2 2 2 2 2 36" xfId="8706" xr:uid="{00000000-0005-0000-0000-0000FF210000}"/>
    <cellStyle name="Comma 2 2 2 2 2 2 2 2 2 2 2 37" xfId="8707" xr:uid="{00000000-0005-0000-0000-000000220000}"/>
    <cellStyle name="Comma 2 2 2 2 2 2 2 2 2 2 2 4" xfId="8708" xr:uid="{00000000-0005-0000-0000-000001220000}"/>
    <cellStyle name="Comma 2 2 2 2 2 2 2 2 2 2 2 5" xfId="8709" xr:uid="{00000000-0005-0000-0000-000002220000}"/>
    <cellStyle name="Comma 2 2 2 2 2 2 2 2 2 2 2 6" xfId="8710" xr:uid="{00000000-0005-0000-0000-000003220000}"/>
    <cellStyle name="Comma 2 2 2 2 2 2 2 2 2 2 2 7" xfId="8711" xr:uid="{00000000-0005-0000-0000-000004220000}"/>
    <cellStyle name="Comma 2 2 2 2 2 2 2 2 2 2 2 8" xfId="8712" xr:uid="{00000000-0005-0000-0000-000005220000}"/>
    <cellStyle name="Comma 2 2 2 2 2 2 2 2 2 2 2 8 10" xfId="8713" xr:uid="{00000000-0005-0000-0000-000006220000}"/>
    <cellStyle name="Comma 2 2 2 2 2 2 2 2 2 2 2 8 10 2" xfId="8714" xr:uid="{00000000-0005-0000-0000-000007220000}"/>
    <cellStyle name="Comma 2 2 2 2 2 2 2 2 2 2 2 8 10 3" xfId="8715" xr:uid="{00000000-0005-0000-0000-000008220000}"/>
    <cellStyle name="Comma 2 2 2 2 2 2 2 2 2 2 2 8 10 4" xfId="8716" xr:uid="{00000000-0005-0000-0000-000009220000}"/>
    <cellStyle name="Comma 2 2 2 2 2 2 2 2 2 2 2 8 10 5" xfId="8717" xr:uid="{00000000-0005-0000-0000-00000A220000}"/>
    <cellStyle name="Comma 2 2 2 2 2 2 2 2 2 2 2 8 10 6" xfId="8718" xr:uid="{00000000-0005-0000-0000-00000B220000}"/>
    <cellStyle name="Comma 2 2 2 2 2 2 2 2 2 2 2 8 10 7" xfId="8719" xr:uid="{00000000-0005-0000-0000-00000C220000}"/>
    <cellStyle name="Comma 2 2 2 2 2 2 2 2 2 2 2 8 10 8" xfId="8720" xr:uid="{00000000-0005-0000-0000-00000D220000}"/>
    <cellStyle name="Comma 2 2 2 2 2 2 2 2 2 2 2 8 11" xfId="8721" xr:uid="{00000000-0005-0000-0000-00000E220000}"/>
    <cellStyle name="Comma 2 2 2 2 2 2 2 2 2 2 2 8 11 2" xfId="8722" xr:uid="{00000000-0005-0000-0000-00000F220000}"/>
    <cellStyle name="Comma 2 2 2 2 2 2 2 2 2 2 2 8 11 3" xfId="8723" xr:uid="{00000000-0005-0000-0000-000010220000}"/>
    <cellStyle name="Comma 2 2 2 2 2 2 2 2 2 2 2 8 11 4" xfId="8724" xr:uid="{00000000-0005-0000-0000-000011220000}"/>
    <cellStyle name="Comma 2 2 2 2 2 2 2 2 2 2 2 8 11 5" xfId="8725" xr:uid="{00000000-0005-0000-0000-000012220000}"/>
    <cellStyle name="Comma 2 2 2 2 2 2 2 2 2 2 2 8 11 6" xfId="8726" xr:uid="{00000000-0005-0000-0000-000013220000}"/>
    <cellStyle name="Comma 2 2 2 2 2 2 2 2 2 2 2 8 11 7" xfId="8727" xr:uid="{00000000-0005-0000-0000-000014220000}"/>
    <cellStyle name="Comma 2 2 2 2 2 2 2 2 2 2 2 8 11 8" xfId="8728" xr:uid="{00000000-0005-0000-0000-000015220000}"/>
    <cellStyle name="Comma 2 2 2 2 2 2 2 2 2 2 2 8 12" xfId="8729" xr:uid="{00000000-0005-0000-0000-000016220000}"/>
    <cellStyle name="Comma 2 2 2 2 2 2 2 2 2 2 2 8 12 2" xfId="8730" xr:uid="{00000000-0005-0000-0000-000017220000}"/>
    <cellStyle name="Comma 2 2 2 2 2 2 2 2 2 2 2 8 12 3" xfId="8731" xr:uid="{00000000-0005-0000-0000-000018220000}"/>
    <cellStyle name="Comma 2 2 2 2 2 2 2 2 2 2 2 8 12 4" xfId="8732" xr:uid="{00000000-0005-0000-0000-000019220000}"/>
    <cellStyle name="Comma 2 2 2 2 2 2 2 2 2 2 2 8 12 5" xfId="8733" xr:uid="{00000000-0005-0000-0000-00001A220000}"/>
    <cellStyle name="Comma 2 2 2 2 2 2 2 2 2 2 2 8 12 6" xfId="8734" xr:uid="{00000000-0005-0000-0000-00001B220000}"/>
    <cellStyle name="Comma 2 2 2 2 2 2 2 2 2 2 2 8 12 7" xfId="8735" xr:uid="{00000000-0005-0000-0000-00001C220000}"/>
    <cellStyle name="Comma 2 2 2 2 2 2 2 2 2 2 2 8 12 8" xfId="8736" xr:uid="{00000000-0005-0000-0000-00001D220000}"/>
    <cellStyle name="Comma 2 2 2 2 2 2 2 2 2 2 2 8 13" xfId="8737" xr:uid="{00000000-0005-0000-0000-00001E220000}"/>
    <cellStyle name="Comma 2 2 2 2 2 2 2 2 2 2 2 8 13 2" xfId="8738" xr:uid="{00000000-0005-0000-0000-00001F220000}"/>
    <cellStyle name="Comma 2 2 2 2 2 2 2 2 2 2 2 8 13 3" xfId="8739" xr:uid="{00000000-0005-0000-0000-000020220000}"/>
    <cellStyle name="Comma 2 2 2 2 2 2 2 2 2 2 2 8 13 4" xfId="8740" xr:uid="{00000000-0005-0000-0000-000021220000}"/>
    <cellStyle name="Comma 2 2 2 2 2 2 2 2 2 2 2 8 13 5" xfId="8741" xr:uid="{00000000-0005-0000-0000-000022220000}"/>
    <cellStyle name="Comma 2 2 2 2 2 2 2 2 2 2 2 8 13 6" xfId="8742" xr:uid="{00000000-0005-0000-0000-000023220000}"/>
    <cellStyle name="Comma 2 2 2 2 2 2 2 2 2 2 2 8 13 7" xfId="8743" xr:uid="{00000000-0005-0000-0000-000024220000}"/>
    <cellStyle name="Comma 2 2 2 2 2 2 2 2 2 2 2 8 13 8" xfId="8744" xr:uid="{00000000-0005-0000-0000-000025220000}"/>
    <cellStyle name="Comma 2 2 2 2 2 2 2 2 2 2 2 8 14" xfId="8745" xr:uid="{00000000-0005-0000-0000-000026220000}"/>
    <cellStyle name="Comma 2 2 2 2 2 2 2 2 2 2 2 8 14 2" xfId="8746" xr:uid="{00000000-0005-0000-0000-000027220000}"/>
    <cellStyle name="Comma 2 2 2 2 2 2 2 2 2 2 2 8 2" xfId="8747" xr:uid="{00000000-0005-0000-0000-000028220000}"/>
    <cellStyle name="Comma 2 2 2 2 2 2 2 2 2 2 2 8 2 10" xfId="8748" xr:uid="{00000000-0005-0000-0000-000029220000}"/>
    <cellStyle name="Comma 2 2 2 2 2 2 2 2 2 2 2 8 2 11" xfId="8749" xr:uid="{00000000-0005-0000-0000-00002A220000}"/>
    <cellStyle name="Comma 2 2 2 2 2 2 2 2 2 2 2 8 2 12" xfId="8750" xr:uid="{00000000-0005-0000-0000-00002B220000}"/>
    <cellStyle name="Comma 2 2 2 2 2 2 2 2 2 2 2 8 2 12 2" xfId="8751" xr:uid="{00000000-0005-0000-0000-00002C220000}"/>
    <cellStyle name="Comma 2 2 2 2 2 2 2 2 2 2 2 8 2 13" xfId="8752" xr:uid="{00000000-0005-0000-0000-00002D220000}"/>
    <cellStyle name="Comma 2 2 2 2 2 2 2 2 2 2 2 8 2 14" xfId="8753" xr:uid="{00000000-0005-0000-0000-00002E220000}"/>
    <cellStyle name="Comma 2 2 2 2 2 2 2 2 2 2 2 8 2 15" xfId="8754" xr:uid="{00000000-0005-0000-0000-00002F220000}"/>
    <cellStyle name="Comma 2 2 2 2 2 2 2 2 2 2 2 8 2 16" xfId="8755" xr:uid="{00000000-0005-0000-0000-000030220000}"/>
    <cellStyle name="Comma 2 2 2 2 2 2 2 2 2 2 2 8 2 17" xfId="8756" xr:uid="{00000000-0005-0000-0000-000031220000}"/>
    <cellStyle name="Comma 2 2 2 2 2 2 2 2 2 2 2 8 2 18" xfId="8757" xr:uid="{00000000-0005-0000-0000-000032220000}"/>
    <cellStyle name="Comma 2 2 2 2 2 2 2 2 2 2 2 8 2 2" xfId="8758" xr:uid="{00000000-0005-0000-0000-000033220000}"/>
    <cellStyle name="Comma 2 2 2 2 2 2 2 2 2 2 2 8 2 2 2" xfId="8759" xr:uid="{00000000-0005-0000-0000-000034220000}"/>
    <cellStyle name="Comma 2 2 2 2 2 2 2 2 2 2 2 8 2 2 3" xfId="8760" xr:uid="{00000000-0005-0000-0000-000035220000}"/>
    <cellStyle name="Comma 2 2 2 2 2 2 2 2 2 2 2 8 2 2 4" xfId="8761" xr:uid="{00000000-0005-0000-0000-000036220000}"/>
    <cellStyle name="Comma 2 2 2 2 2 2 2 2 2 2 2 8 2 3" xfId="8762" xr:uid="{00000000-0005-0000-0000-000037220000}"/>
    <cellStyle name="Comma 2 2 2 2 2 2 2 2 2 2 2 8 2 4" xfId="8763" xr:uid="{00000000-0005-0000-0000-000038220000}"/>
    <cellStyle name="Comma 2 2 2 2 2 2 2 2 2 2 2 8 2 5" xfId="8764" xr:uid="{00000000-0005-0000-0000-000039220000}"/>
    <cellStyle name="Comma 2 2 2 2 2 2 2 2 2 2 2 8 2 6" xfId="8765" xr:uid="{00000000-0005-0000-0000-00003A220000}"/>
    <cellStyle name="Comma 2 2 2 2 2 2 2 2 2 2 2 8 2 7" xfId="8766" xr:uid="{00000000-0005-0000-0000-00003B220000}"/>
    <cellStyle name="Comma 2 2 2 2 2 2 2 2 2 2 2 8 2 8" xfId="8767" xr:uid="{00000000-0005-0000-0000-00003C220000}"/>
    <cellStyle name="Comma 2 2 2 2 2 2 2 2 2 2 2 8 2 9" xfId="8768" xr:uid="{00000000-0005-0000-0000-00003D220000}"/>
    <cellStyle name="Comma 2 2 2 2 2 2 2 2 2 2 2 8 3" xfId="8769" xr:uid="{00000000-0005-0000-0000-00003E220000}"/>
    <cellStyle name="Comma 2 2 2 2 2 2 2 2 2 2 2 8 3 10" xfId="8770" xr:uid="{00000000-0005-0000-0000-00003F220000}"/>
    <cellStyle name="Comma 2 2 2 2 2 2 2 2 2 2 2 8 3 10 2" xfId="8771" xr:uid="{00000000-0005-0000-0000-000040220000}"/>
    <cellStyle name="Comma 2 2 2 2 2 2 2 2 2 2 2 8 3 11" xfId="8772" xr:uid="{00000000-0005-0000-0000-000041220000}"/>
    <cellStyle name="Comma 2 2 2 2 2 2 2 2 2 2 2 8 3 12" xfId="8773" xr:uid="{00000000-0005-0000-0000-000042220000}"/>
    <cellStyle name="Comma 2 2 2 2 2 2 2 2 2 2 2 8 3 13" xfId="8774" xr:uid="{00000000-0005-0000-0000-000043220000}"/>
    <cellStyle name="Comma 2 2 2 2 2 2 2 2 2 2 2 8 3 14" xfId="8775" xr:uid="{00000000-0005-0000-0000-000044220000}"/>
    <cellStyle name="Comma 2 2 2 2 2 2 2 2 2 2 2 8 3 15" xfId="8776" xr:uid="{00000000-0005-0000-0000-000045220000}"/>
    <cellStyle name="Comma 2 2 2 2 2 2 2 2 2 2 2 8 3 16" xfId="8777" xr:uid="{00000000-0005-0000-0000-000046220000}"/>
    <cellStyle name="Comma 2 2 2 2 2 2 2 2 2 2 2 8 3 2" xfId="8778" xr:uid="{00000000-0005-0000-0000-000047220000}"/>
    <cellStyle name="Comma 2 2 2 2 2 2 2 2 2 2 2 8 3 2 2" xfId="8779" xr:uid="{00000000-0005-0000-0000-000048220000}"/>
    <cellStyle name="Comma 2 2 2 2 2 2 2 2 2 2 2 8 3 2 2 2" xfId="8780" xr:uid="{00000000-0005-0000-0000-000049220000}"/>
    <cellStyle name="Comma 2 2 2 2 2 2 2 2 2 2 2 8 3 2 2 3" xfId="8781" xr:uid="{00000000-0005-0000-0000-00004A220000}"/>
    <cellStyle name="Comma 2 2 2 2 2 2 2 2 2 2 2 8 3 3" xfId="8782" xr:uid="{00000000-0005-0000-0000-00004B220000}"/>
    <cellStyle name="Comma 2 2 2 2 2 2 2 2 2 2 2 8 3 4" xfId="8783" xr:uid="{00000000-0005-0000-0000-00004C220000}"/>
    <cellStyle name="Comma 2 2 2 2 2 2 2 2 2 2 2 8 3 5" xfId="8784" xr:uid="{00000000-0005-0000-0000-00004D220000}"/>
    <cellStyle name="Comma 2 2 2 2 2 2 2 2 2 2 2 8 3 6" xfId="8785" xr:uid="{00000000-0005-0000-0000-00004E220000}"/>
    <cellStyle name="Comma 2 2 2 2 2 2 2 2 2 2 2 8 3 7" xfId="8786" xr:uid="{00000000-0005-0000-0000-00004F220000}"/>
    <cellStyle name="Comma 2 2 2 2 2 2 2 2 2 2 2 8 3 8" xfId="8787" xr:uid="{00000000-0005-0000-0000-000050220000}"/>
    <cellStyle name="Comma 2 2 2 2 2 2 2 2 2 2 2 8 3 9" xfId="8788" xr:uid="{00000000-0005-0000-0000-000051220000}"/>
    <cellStyle name="Comma 2 2 2 2 2 2 2 2 2 2 2 8 4" xfId="8789" xr:uid="{00000000-0005-0000-0000-000052220000}"/>
    <cellStyle name="Comma 2 2 2 2 2 2 2 2 2 2 2 8 4 10" xfId="8790" xr:uid="{00000000-0005-0000-0000-000053220000}"/>
    <cellStyle name="Comma 2 2 2 2 2 2 2 2 2 2 2 8 4 11" xfId="8791" xr:uid="{00000000-0005-0000-0000-000054220000}"/>
    <cellStyle name="Comma 2 2 2 2 2 2 2 2 2 2 2 8 4 12" xfId="8792" xr:uid="{00000000-0005-0000-0000-000055220000}"/>
    <cellStyle name="Comma 2 2 2 2 2 2 2 2 2 2 2 8 4 13" xfId="8793" xr:uid="{00000000-0005-0000-0000-000056220000}"/>
    <cellStyle name="Comma 2 2 2 2 2 2 2 2 2 2 2 8 4 14" xfId="8794" xr:uid="{00000000-0005-0000-0000-000057220000}"/>
    <cellStyle name="Comma 2 2 2 2 2 2 2 2 2 2 2 8 4 15" xfId="8795" xr:uid="{00000000-0005-0000-0000-000058220000}"/>
    <cellStyle name="Comma 2 2 2 2 2 2 2 2 2 2 2 8 4 2" xfId="8796" xr:uid="{00000000-0005-0000-0000-000059220000}"/>
    <cellStyle name="Comma 2 2 2 2 2 2 2 2 2 2 2 8 4 3" xfId="8797" xr:uid="{00000000-0005-0000-0000-00005A220000}"/>
    <cellStyle name="Comma 2 2 2 2 2 2 2 2 2 2 2 8 4 4" xfId="8798" xr:uid="{00000000-0005-0000-0000-00005B220000}"/>
    <cellStyle name="Comma 2 2 2 2 2 2 2 2 2 2 2 8 4 5" xfId="8799" xr:uid="{00000000-0005-0000-0000-00005C220000}"/>
    <cellStyle name="Comma 2 2 2 2 2 2 2 2 2 2 2 8 4 6" xfId="8800" xr:uid="{00000000-0005-0000-0000-00005D220000}"/>
    <cellStyle name="Comma 2 2 2 2 2 2 2 2 2 2 2 8 4 7" xfId="8801" xr:uid="{00000000-0005-0000-0000-00005E220000}"/>
    <cellStyle name="Comma 2 2 2 2 2 2 2 2 2 2 2 8 4 8" xfId="8802" xr:uid="{00000000-0005-0000-0000-00005F220000}"/>
    <cellStyle name="Comma 2 2 2 2 2 2 2 2 2 2 2 8 4 9" xfId="8803" xr:uid="{00000000-0005-0000-0000-000060220000}"/>
    <cellStyle name="Comma 2 2 2 2 2 2 2 2 2 2 2 8 4 9 2" xfId="8804" xr:uid="{00000000-0005-0000-0000-000061220000}"/>
    <cellStyle name="Comma 2 2 2 2 2 2 2 2 2 2 2 8 5" xfId="8805" xr:uid="{00000000-0005-0000-0000-000062220000}"/>
    <cellStyle name="Comma 2 2 2 2 2 2 2 2 2 2 2 8 5 10" xfId="8806" xr:uid="{00000000-0005-0000-0000-000063220000}"/>
    <cellStyle name="Comma 2 2 2 2 2 2 2 2 2 2 2 8 5 11" xfId="8807" xr:uid="{00000000-0005-0000-0000-000064220000}"/>
    <cellStyle name="Comma 2 2 2 2 2 2 2 2 2 2 2 8 5 12" xfId="8808" xr:uid="{00000000-0005-0000-0000-000065220000}"/>
    <cellStyle name="Comma 2 2 2 2 2 2 2 2 2 2 2 8 5 13" xfId="8809" xr:uid="{00000000-0005-0000-0000-000066220000}"/>
    <cellStyle name="Comma 2 2 2 2 2 2 2 2 2 2 2 8 5 14" xfId="8810" xr:uid="{00000000-0005-0000-0000-000067220000}"/>
    <cellStyle name="Comma 2 2 2 2 2 2 2 2 2 2 2 8 5 2" xfId="8811" xr:uid="{00000000-0005-0000-0000-000068220000}"/>
    <cellStyle name="Comma 2 2 2 2 2 2 2 2 2 2 2 8 5 3" xfId="8812" xr:uid="{00000000-0005-0000-0000-000069220000}"/>
    <cellStyle name="Comma 2 2 2 2 2 2 2 2 2 2 2 8 5 4" xfId="8813" xr:uid="{00000000-0005-0000-0000-00006A220000}"/>
    <cellStyle name="Comma 2 2 2 2 2 2 2 2 2 2 2 8 5 5" xfId="8814" xr:uid="{00000000-0005-0000-0000-00006B220000}"/>
    <cellStyle name="Comma 2 2 2 2 2 2 2 2 2 2 2 8 5 6" xfId="8815" xr:uid="{00000000-0005-0000-0000-00006C220000}"/>
    <cellStyle name="Comma 2 2 2 2 2 2 2 2 2 2 2 8 5 7" xfId="8816" xr:uid="{00000000-0005-0000-0000-00006D220000}"/>
    <cellStyle name="Comma 2 2 2 2 2 2 2 2 2 2 2 8 5 8" xfId="8817" xr:uid="{00000000-0005-0000-0000-00006E220000}"/>
    <cellStyle name="Comma 2 2 2 2 2 2 2 2 2 2 2 8 5 8 2" xfId="8818" xr:uid="{00000000-0005-0000-0000-00006F220000}"/>
    <cellStyle name="Comma 2 2 2 2 2 2 2 2 2 2 2 8 5 9" xfId="8819" xr:uid="{00000000-0005-0000-0000-000070220000}"/>
    <cellStyle name="Comma 2 2 2 2 2 2 2 2 2 2 2 8 6" xfId="8820" xr:uid="{00000000-0005-0000-0000-000071220000}"/>
    <cellStyle name="Comma 2 2 2 2 2 2 2 2 2 2 2 8 6 10" xfId="8821" xr:uid="{00000000-0005-0000-0000-000072220000}"/>
    <cellStyle name="Comma 2 2 2 2 2 2 2 2 2 2 2 8 6 11" xfId="8822" xr:uid="{00000000-0005-0000-0000-000073220000}"/>
    <cellStyle name="Comma 2 2 2 2 2 2 2 2 2 2 2 8 6 12" xfId="8823" xr:uid="{00000000-0005-0000-0000-000074220000}"/>
    <cellStyle name="Comma 2 2 2 2 2 2 2 2 2 2 2 8 6 13" xfId="8824" xr:uid="{00000000-0005-0000-0000-000075220000}"/>
    <cellStyle name="Comma 2 2 2 2 2 2 2 2 2 2 2 8 6 2" xfId="8825" xr:uid="{00000000-0005-0000-0000-000076220000}"/>
    <cellStyle name="Comma 2 2 2 2 2 2 2 2 2 2 2 8 6 3" xfId="8826" xr:uid="{00000000-0005-0000-0000-000077220000}"/>
    <cellStyle name="Comma 2 2 2 2 2 2 2 2 2 2 2 8 6 4" xfId="8827" xr:uid="{00000000-0005-0000-0000-000078220000}"/>
    <cellStyle name="Comma 2 2 2 2 2 2 2 2 2 2 2 8 6 5" xfId="8828" xr:uid="{00000000-0005-0000-0000-000079220000}"/>
    <cellStyle name="Comma 2 2 2 2 2 2 2 2 2 2 2 8 6 6" xfId="8829" xr:uid="{00000000-0005-0000-0000-00007A220000}"/>
    <cellStyle name="Comma 2 2 2 2 2 2 2 2 2 2 2 8 6 7" xfId="8830" xr:uid="{00000000-0005-0000-0000-00007B220000}"/>
    <cellStyle name="Comma 2 2 2 2 2 2 2 2 2 2 2 8 6 7 2" xfId="8831" xr:uid="{00000000-0005-0000-0000-00007C220000}"/>
    <cellStyle name="Comma 2 2 2 2 2 2 2 2 2 2 2 8 6 8" xfId="8832" xr:uid="{00000000-0005-0000-0000-00007D220000}"/>
    <cellStyle name="Comma 2 2 2 2 2 2 2 2 2 2 2 8 6 9" xfId="8833" xr:uid="{00000000-0005-0000-0000-00007E220000}"/>
    <cellStyle name="Comma 2 2 2 2 2 2 2 2 2 2 2 8 7" xfId="8834" xr:uid="{00000000-0005-0000-0000-00007F220000}"/>
    <cellStyle name="Comma 2 2 2 2 2 2 2 2 2 2 2 8 8" xfId="8835" xr:uid="{00000000-0005-0000-0000-000080220000}"/>
    <cellStyle name="Comma 2 2 2 2 2 2 2 2 2 2 2 8 9" xfId="8836" xr:uid="{00000000-0005-0000-0000-000081220000}"/>
    <cellStyle name="Comma 2 2 2 2 2 2 2 2 2 2 2 8 9 2" xfId="8837" xr:uid="{00000000-0005-0000-0000-000082220000}"/>
    <cellStyle name="Comma 2 2 2 2 2 2 2 2 2 2 2 8 9 3" xfId="8838" xr:uid="{00000000-0005-0000-0000-000083220000}"/>
    <cellStyle name="Comma 2 2 2 2 2 2 2 2 2 2 2 8 9 4" xfId="8839" xr:uid="{00000000-0005-0000-0000-000084220000}"/>
    <cellStyle name="Comma 2 2 2 2 2 2 2 2 2 2 2 8 9 5" xfId="8840" xr:uid="{00000000-0005-0000-0000-000085220000}"/>
    <cellStyle name="Comma 2 2 2 2 2 2 2 2 2 2 2 8 9 6" xfId="8841" xr:uid="{00000000-0005-0000-0000-000086220000}"/>
    <cellStyle name="Comma 2 2 2 2 2 2 2 2 2 2 2 8 9 7" xfId="8842" xr:uid="{00000000-0005-0000-0000-000087220000}"/>
    <cellStyle name="Comma 2 2 2 2 2 2 2 2 2 2 2 8 9 8" xfId="8843" xr:uid="{00000000-0005-0000-0000-000088220000}"/>
    <cellStyle name="Comma 2 2 2 2 2 2 2 2 2 2 2 9" xfId="8844" xr:uid="{00000000-0005-0000-0000-000089220000}"/>
    <cellStyle name="Comma 2 2 2 2 2 2 2 2 2 2 2 9 2" xfId="8845" xr:uid="{00000000-0005-0000-0000-00008A220000}"/>
    <cellStyle name="Comma 2 2 2 2 2 2 2 2 2 2 2 9 2 10" xfId="8846" xr:uid="{00000000-0005-0000-0000-00008B220000}"/>
    <cellStyle name="Comma 2 2 2 2 2 2 2 2 2 2 2 9 2 11" xfId="8847" xr:uid="{00000000-0005-0000-0000-00008C220000}"/>
    <cellStyle name="Comma 2 2 2 2 2 2 2 2 2 2 2 9 2 12" xfId="8848" xr:uid="{00000000-0005-0000-0000-00008D220000}"/>
    <cellStyle name="Comma 2 2 2 2 2 2 2 2 2 2 2 9 2 2" xfId="8849" xr:uid="{00000000-0005-0000-0000-00008E220000}"/>
    <cellStyle name="Comma 2 2 2 2 2 2 2 2 2 2 2 9 2 2 2" xfId="8850" xr:uid="{00000000-0005-0000-0000-00008F220000}"/>
    <cellStyle name="Comma 2 2 2 2 2 2 2 2 2 2 2 9 2 2 2 2" xfId="8851" xr:uid="{00000000-0005-0000-0000-000090220000}"/>
    <cellStyle name="Comma 2 2 2 2 2 2 2 2 2 2 2 9 2 2 3" xfId="8852" xr:uid="{00000000-0005-0000-0000-000091220000}"/>
    <cellStyle name="Comma 2 2 2 2 2 2 2 2 2 2 2 9 2 2 3 2" xfId="8853" xr:uid="{00000000-0005-0000-0000-000092220000}"/>
    <cellStyle name="Comma 2 2 2 2 2 2 2 2 2 2 2 9 2 2 4" xfId="8854" xr:uid="{00000000-0005-0000-0000-000093220000}"/>
    <cellStyle name="Comma 2 2 2 2 2 2 2 2 2 2 2 9 2 2 4 2" xfId="8855" xr:uid="{00000000-0005-0000-0000-000094220000}"/>
    <cellStyle name="Comma 2 2 2 2 2 2 2 2 2 2 2 9 2 2 5" xfId="8856" xr:uid="{00000000-0005-0000-0000-000095220000}"/>
    <cellStyle name="Comma 2 2 2 2 2 2 2 2 2 2 2 9 2 3" xfId="8857" xr:uid="{00000000-0005-0000-0000-000096220000}"/>
    <cellStyle name="Comma 2 2 2 2 2 2 2 2 2 2 2 9 2 3 2" xfId="8858" xr:uid="{00000000-0005-0000-0000-000097220000}"/>
    <cellStyle name="Comma 2 2 2 2 2 2 2 2 2 2 2 9 2 3 3" xfId="8859" xr:uid="{00000000-0005-0000-0000-000098220000}"/>
    <cellStyle name="Comma 2 2 2 2 2 2 2 2 2 2 2 9 2 4" xfId="8860" xr:uid="{00000000-0005-0000-0000-000099220000}"/>
    <cellStyle name="Comma 2 2 2 2 2 2 2 2 2 2 2 9 2 4 2" xfId="8861" xr:uid="{00000000-0005-0000-0000-00009A220000}"/>
    <cellStyle name="Comma 2 2 2 2 2 2 2 2 2 2 2 9 2 5" xfId="8862" xr:uid="{00000000-0005-0000-0000-00009B220000}"/>
    <cellStyle name="Comma 2 2 2 2 2 2 2 2 2 2 2 9 2 6" xfId="8863" xr:uid="{00000000-0005-0000-0000-00009C220000}"/>
    <cellStyle name="Comma 2 2 2 2 2 2 2 2 2 2 2 9 2 6 2" xfId="8864" xr:uid="{00000000-0005-0000-0000-00009D220000}"/>
    <cellStyle name="Comma 2 2 2 2 2 2 2 2 2 2 2 9 2 7" xfId="8865" xr:uid="{00000000-0005-0000-0000-00009E220000}"/>
    <cellStyle name="Comma 2 2 2 2 2 2 2 2 2 2 2 9 2 8" xfId="8866" xr:uid="{00000000-0005-0000-0000-00009F220000}"/>
    <cellStyle name="Comma 2 2 2 2 2 2 2 2 2 2 2 9 2 9" xfId="8867" xr:uid="{00000000-0005-0000-0000-0000A0220000}"/>
    <cellStyle name="Comma 2 2 2 2 2 2 2 2 2 2 2 9 3" xfId="8868" xr:uid="{00000000-0005-0000-0000-0000A1220000}"/>
    <cellStyle name="Comma 2 2 2 2 2 2 2 2 2 2 2 9 3 10" xfId="8869" xr:uid="{00000000-0005-0000-0000-0000A2220000}"/>
    <cellStyle name="Comma 2 2 2 2 2 2 2 2 2 2 2 9 3 11" xfId="8870" xr:uid="{00000000-0005-0000-0000-0000A3220000}"/>
    <cellStyle name="Comma 2 2 2 2 2 2 2 2 2 2 2 9 3 12" xfId="8871" xr:uid="{00000000-0005-0000-0000-0000A4220000}"/>
    <cellStyle name="Comma 2 2 2 2 2 2 2 2 2 2 2 9 3 2" xfId="8872" xr:uid="{00000000-0005-0000-0000-0000A5220000}"/>
    <cellStyle name="Comma 2 2 2 2 2 2 2 2 2 2 2 9 3 2 2" xfId="8873" xr:uid="{00000000-0005-0000-0000-0000A6220000}"/>
    <cellStyle name="Comma 2 2 2 2 2 2 2 2 2 2 2 9 3 2 3" xfId="8874" xr:uid="{00000000-0005-0000-0000-0000A7220000}"/>
    <cellStyle name="Comma 2 2 2 2 2 2 2 2 2 2 2 9 3 2 4" xfId="8875" xr:uid="{00000000-0005-0000-0000-0000A8220000}"/>
    <cellStyle name="Comma 2 2 2 2 2 2 2 2 2 2 2 9 3 3" xfId="8876" xr:uid="{00000000-0005-0000-0000-0000A9220000}"/>
    <cellStyle name="Comma 2 2 2 2 2 2 2 2 2 2 2 9 3 3 2" xfId="8877" xr:uid="{00000000-0005-0000-0000-0000AA220000}"/>
    <cellStyle name="Comma 2 2 2 2 2 2 2 2 2 2 2 9 3 4" xfId="8878" xr:uid="{00000000-0005-0000-0000-0000AB220000}"/>
    <cellStyle name="Comma 2 2 2 2 2 2 2 2 2 2 2 9 3 5" xfId="8879" xr:uid="{00000000-0005-0000-0000-0000AC220000}"/>
    <cellStyle name="Comma 2 2 2 2 2 2 2 2 2 2 2 9 3 6" xfId="8880" xr:uid="{00000000-0005-0000-0000-0000AD220000}"/>
    <cellStyle name="Comma 2 2 2 2 2 2 2 2 2 2 2 9 3 6 2" xfId="8881" xr:uid="{00000000-0005-0000-0000-0000AE220000}"/>
    <cellStyle name="Comma 2 2 2 2 2 2 2 2 2 2 2 9 3 7" xfId="8882" xr:uid="{00000000-0005-0000-0000-0000AF220000}"/>
    <cellStyle name="Comma 2 2 2 2 2 2 2 2 2 2 2 9 3 8" xfId="8883" xr:uid="{00000000-0005-0000-0000-0000B0220000}"/>
    <cellStyle name="Comma 2 2 2 2 2 2 2 2 2 2 2 9 3 9" xfId="8884" xr:uid="{00000000-0005-0000-0000-0000B1220000}"/>
    <cellStyle name="Comma 2 2 2 2 2 2 2 2 2 2 2 9 4" xfId="8885" xr:uid="{00000000-0005-0000-0000-0000B2220000}"/>
    <cellStyle name="Comma 2 2 2 2 2 2 2 2 2 2 2 9 4 10" xfId="8886" xr:uid="{00000000-0005-0000-0000-0000B3220000}"/>
    <cellStyle name="Comma 2 2 2 2 2 2 2 2 2 2 2 9 4 11" xfId="8887" xr:uid="{00000000-0005-0000-0000-0000B4220000}"/>
    <cellStyle name="Comma 2 2 2 2 2 2 2 2 2 2 2 9 4 12" xfId="8888" xr:uid="{00000000-0005-0000-0000-0000B5220000}"/>
    <cellStyle name="Comma 2 2 2 2 2 2 2 2 2 2 2 9 4 2" xfId="8889" xr:uid="{00000000-0005-0000-0000-0000B6220000}"/>
    <cellStyle name="Comma 2 2 2 2 2 2 2 2 2 2 2 9 4 3" xfId="8890" xr:uid="{00000000-0005-0000-0000-0000B7220000}"/>
    <cellStyle name="Comma 2 2 2 2 2 2 2 2 2 2 2 9 4 4" xfId="8891" xr:uid="{00000000-0005-0000-0000-0000B8220000}"/>
    <cellStyle name="Comma 2 2 2 2 2 2 2 2 2 2 2 9 4 5" xfId="8892" xr:uid="{00000000-0005-0000-0000-0000B9220000}"/>
    <cellStyle name="Comma 2 2 2 2 2 2 2 2 2 2 2 9 4 6" xfId="8893" xr:uid="{00000000-0005-0000-0000-0000BA220000}"/>
    <cellStyle name="Comma 2 2 2 2 2 2 2 2 2 2 2 9 4 6 2" xfId="8894" xr:uid="{00000000-0005-0000-0000-0000BB220000}"/>
    <cellStyle name="Comma 2 2 2 2 2 2 2 2 2 2 2 9 4 7" xfId="8895" xr:uid="{00000000-0005-0000-0000-0000BC220000}"/>
    <cellStyle name="Comma 2 2 2 2 2 2 2 2 2 2 2 9 4 8" xfId="8896" xr:uid="{00000000-0005-0000-0000-0000BD220000}"/>
    <cellStyle name="Comma 2 2 2 2 2 2 2 2 2 2 2 9 4 9" xfId="8897" xr:uid="{00000000-0005-0000-0000-0000BE220000}"/>
    <cellStyle name="Comma 2 2 2 2 2 2 2 2 2 2 2 9 5" xfId="8898" xr:uid="{00000000-0005-0000-0000-0000BF220000}"/>
    <cellStyle name="Comma 2 2 2 2 2 2 2 2 2 2 2 9 5 10" xfId="8899" xr:uid="{00000000-0005-0000-0000-0000C0220000}"/>
    <cellStyle name="Comma 2 2 2 2 2 2 2 2 2 2 2 9 5 11" xfId="8900" xr:uid="{00000000-0005-0000-0000-0000C1220000}"/>
    <cellStyle name="Comma 2 2 2 2 2 2 2 2 2 2 2 9 5 12" xfId="8901" xr:uid="{00000000-0005-0000-0000-0000C2220000}"/>
    <cellStyle name="Comma 2 2 2 2 2 2 2 2 2 2 2 9 5 2" xfId="8902" xr:uid="{00000000-0005-0000-0000-0000C3220000}"/>
    <cellStyle name="Comma 2 2 2 2 2 2 2 2 2 2 2 9 5 3" xfId="8903" xr:uid="{00000000-0005-0000-0000-0000C4220000}"/>
    <cellStyle name="Comma 2 2 2 2 2 2 2 2 2 2 2 9 5 4" xfId="8904" xr:uid="{00000000-0005-0000-0000-0000C5220000}"/>
    <cellStyle name="Comma 2 2 2 2 2 2 2 2 2 2 2 9 5 5" xfId="8905" xr:uid="{00000000-0005-0000-0000-0000C6220000}"/>
    <cellStyle name="Comma 2 2 2 2 2 2 2 2 2 2 2 9 5 6" xfId="8906" xr:uid="{00000000-0005-0000-0000-0000C7220000}"/>
    <cellStyle name="Comma 2 2 2 2 2 2 2 2 2 2 2 9 5 6 2" xfId="8907" xr:uid="{00000000-0005-0000-0000-0000C8220000}"/>
    <cellStyle name="Comma 2 2 2 2 2 2 2 2 2 2 2 9 5 7" xfId="8908" xr:uid="{00000000-0005-0000-0000-0000C9220000}"/>
    <cellStyle name="Comma 2 2 2 2 2 2 2 2 2 2 2 9 5 8" xfId="8909" xr:uid="{00000000-0005-0000-0000-0000CA220000}"/>
    <cellStyle name="Comma 2 2 2 2 2 2 2 2 2 2 2 9 5 9" xfId="8910" xr:uid="{00000000-0005-0000-0000-0000CB220000}"/>
    <cellStyle name="Comma 2 2 2 2 2 2 2 2 2 2 2 9 6" xfId="8911" xr:uid="{00000000-0005-0000-0000-0000CC220000}"/>
    <cellStyle name="Comma 2 2 2 2 2 2 2 2 2 2 2 9 6 2" xfId="8912" xr:uid="{00000000-0005-0000-0000-0000CD220000}"/>
    <cellStyle name="Comma 2 2 2 2 2 2 2 2 2 2 2 9 6 3" xfId="8913" xr:uid="{00000000-0005-0000-0000-0000CE220000}"/>
    <cellStyle name="Comma 2 2 2 2 2 2 2 2 2 2 2 9 6 4" xfId="8914" xr:uid="{00000000-0005-0000-0000-0000CF220000}"/>
    <cellStyle name="Comma 2 2 2 2 2 2 2 2 2 2 2 9 6 5" xfId="8915" xr:uid="{00000000-0005-0000-0000-0000D0220000}"/>
    <cellStyle name="Comma 2 2 2 2 2 2 2 2 2 2 2 9 6 6" xfId="8916" xr:uid="{00000000-0005-0000-0000-0000D1220000}"/>
    <cellStyle name="Comma 2 2 2 2 2 2 2 2 2 2 2 9 6 7" xfId="8917" xr:uid="{00000000-0005-0000-0000-0000D2220000}"/>
    <cellStyle name="Comma 2 2 2 2 2 2 2 2 2 2 2 9 6 8" xfId="8918" xr:uid="{00000000-0005-0000-0000-0000D3220000}"/>
    <cellStyle name="Comma 2 2 2 2 2 2 2 2 2 2 2 9 7" xfId="8919" xr:uid="{00000000-0005-0000-0000-0000D4220000}"/>
    <cellStyle name="Comma 2 2 2 2 2 2 2 2 2 2 2 9 7 2" xfId="8920" xr:uid="{00000000-0005-0000-0000-0000D5220000}"/>
    <cellStyle name="Comma 2 2 2 2 2 2 2 2 2 2 2 9 7 3" xfId="8921" xr:uid="{00000000-0005-0000-0000-0000D6220000}"/>
    <cellStyle name="Comma 2 2 2 2 2 2 2 2 2 2 2 9 7 4" xfId="8922" xr:uid="{00000000-0005-0000-0000-0000D7220000}"/>
    <cellStyle name="Comma 2 2 2 2 2 2 2 2 2 2 2 9 7 5" xfId="8923" xr:uid="{00000000-0005-0000-0000-0000D8220000}"/>
    <cellStyle name="Comma 2 2 2 2 2 2 2 2 2 2 2 9 7 6" xfId="8924" xr:uid="{00000000-0005-0000-0000-0000D9220000}"/>
    <cellStyle name="Comma 2 2 2 2 2 2 2 2 2 2 2 9 7 7" xfId="8925" xr:uid="{00000000-0005-0000-0000-0000DA220000}"/>
    <cellStyle name="Comma 2 2 2 2 2 2 2 2 2 2 2 9 7 8" xfId="8926" xr:uid="{00000000-0005-0000-0000-0000DB220000}"/>
    <cellStyle name="Comma 2 2 2 2 2 2 2 2 2 2 2 9 8" xfId="8927" xr:uid="{00000000-0005-0000-0000-0000DC220000}"/>
    <cellStyle name="Comma 2 2 2 2 2 2 2 2 2 2 2 9 8 2" xfId="8928" xr:uid="{00000000-0005-0000-0000-0000DD220000}"/>
    <cellStyle name="Comma 2 2 2 2 2 2 2 2 2 2 2 9 8 3" xfId="8929" xr:uid="{00000000-0005-0000-0000-0000DE220000}"/>
    <cellStyle name="Comma 2 2 2 2 2 2 2 2 2 2 2 9 8 4" xfId="8930" xr:uid="{00000000-0005-0000-0000-0000DF220000}"/>
    <cellStyle name="Comma 2 2 2 2 2 2 2 2 2 2 2 9 8 5" xfId="8931" xr:uid="{00000000-0005-0000-0000-0000E0220000}"/>
    <cellStyle name="Comma 2 2 2 2 2 2 2 2 2 2 2 9 8 6" xfId="8932" xr:uid="{00000000-0005-0000-0000-0000E1220000}"/>
    <cellStyle name="Comma 2 2 2 2 2 2 2 2 2 2 2 9 8 7" xfId="8933" xr:uid="{00000000-0005-0000-0000-0000E2220000}"/>
    <cellStyle name="Comma 2 2 2 2 2 2 2 2 2 2 2 9 8 8" xfId="8934" xr:uid="{00000000-0005-0000-0000-0000E3220000}"/>
    <cellStyle name="Comma 2 2 2 2 2 2 2 2 2 2 2 9 9" xfId="8935" xr:uid="{00000000-0005-0000-0000-0000E4220000}"/>
    <cellStyle name="Comma 2 2 2 2 2 2 2 2 2 2 2 9 9 2" xfId="8936" xr:uid="{00000000-0005-0000-0000-0000E5220000}"/>
    <cellStyle name="Comma 2 2 2 2 2 2 2 2 2 2 2 9 9 3" xfId="8937" xr:uid="{00000000-0005-0000-0000-0000E6220000}"/>
    <cellStyle name="Comma 2 2 2 2 2 2 2 2 2 2 2 9 9 4" xfId="8938" xr:uid="{00000000-0005-0000-0000-0000E7220000}"/>
    <cellStyle name="Comma 2 2 2 2 2 2 2 2 2 2 2 9 9 5" xfId="8939" xr:uid="{00000000-0005-0000-0000-0000E8220000}"/>
    <cellStyle name="Comma 2 2 2 2 2 2 2 2 2 2 2 9 9 6" xfId="8940" xr:uid="{00000000-0005-0000-0000-0000E9220000}"/>
    <cellStyle name="Comma 2 2 2 2 2 2 2 2 2 2 2 9 9 7" xfId="8941" xr:uid="{00000000-0005-0000-0000-0000EA220000}"/>
    <cellStyle name="Comma 2 2 2 2 2 2 2 2 2 2 2 9 9 8" xfId="8942" xr:uid="{00000000-0005-0000-0000-0000EB220000}"/>
    <cellStyle name="Comma 2 2 2 2 2 2 2 2 2 2 20" xfId="8943" xr:uid="{00000000-0005-0000-0000-0000EC220000}"/>
    <cellStyle name="Comma 2 2 2 2 2 2 2 2 2 2 20 2" xfId="8944" xr:uid="{00000000-0005-0000-0000-0000ED220000}"/>
    <cellStyle name="Comma 2 2 2 2 2 2 2 2 2 2 20 3" xfId="8945" xr:uid="{00000000-0005-0000-0000-0000EE220000}"/>
    <cellStyle name="Comma 2 2 2 2 2 2 2 2 2 2 20 4" xfId="8946" xr:uid="{00000000-0005-0000-0000-0000EF220000}"/>
    <cellStyle name="Comma 2 2 2 2 2 2 2 2 2 2 20 5" xfId="8947" xr:uid="{00000000-0005-0000-0000-0000F0220000}"/>
    <cellStyle name="Comma 2 2 2 2 2 2 2 2 2 2 20 6" xfId="8948" xr:uid="{00000000-0005-0000-0000-0000F1220000}"/>
    <cellStyle name="Comma 2 2 2 2 2 2 2 2 2 2 20 7" xfId="8949" xr:uid="{00000000-0005-0000-0000-0000F2220000}"/>
    <cellStyle name="Comma 2 2 2 2 2 2 2 2 2 2 20 8" xfId="8950" xr:uid="{00000000-0005-0000-0000-0000F3220000}"/>
    <cellStyle name="Comma 2 2 2 2 2 2 2 2 2 2 21" xfId="8951" xr:uid="{00000000-0005-0000-0000-0000F4220000}"/>
    <cellStyle name="Comma 2 2 2 2 2 2 2 2 2 2 21 2" xfId="8952" xr:uid="{00000000-0005-0000-0000-0000F5220000}"/>
    <cellStyle name="Comma 2 2 2 2 2 2 2 2 2 2 21 3" xfId="8953" xr:uid="{00000000-0005-0000-0000-0000F6220000}"/>
    <cellStyle name="Comma 2 2 2 2 2 2 2 2 2 2 21 4" xfId="8954" xr:uid="{00000000-0005-0000-0000-0000F7220000}"/>
    <cellStyle name="Comma 2 2 2 2 2 2 2 2 2 2 21 5" xfId="8955" xr:uid="{00000000-0005-0000-0000-0000F8220000}"/>
    <cellStyle name="Comma 2 2 2 2 2 2 2 2 2 2 21 6" xfId="8956" xr:uid="{00000000-0005-0000-0000-0000F9220000}"/>
    <cellStyle name="Comma 2 2 2 2 2 2 2 2 2 2 21 7" xfId="8957" xr:uid="{00000000-0005-0000-0000-0000FA220000}"/>
    <cellStyle name="Comma 2 2 2 2 2 2 2 2 2 2 21 8" xfId="8958" xr:uid="{00000000-0005-0000-0000-0000FB220000}"/>
    <cellStyle name="Comma 2 2 2 2 2 2 2 2 2 2 22" xfId="8959" xr:uid="{00000000-0005-0000-0000-0000FC220000}"/>
    <cellStyle name="Comma 2 2 2 2 2 2 2 2 2 2 22 2" xfId="8960" xr:uid="{00000000-0005-0000-0000-0000FD220000}"/>
    <cellStyle name="Comma 2 2 2 2 2 2 2 2 2 2 23" xfId="8961" xr:uid="{00000000-0005-0000-0000-0000FE220000}"/>
    <cellStyle name="Comma 2 2 2 2 2 2 2 2 2 2 3" xfId="8962" xr:uid="{00000000-0005-0000-0000-0000FF220000}"/>
    <cellStyle name="Comma 2 2 2 2 2 2 2 2 2 2 3 10" xfId="8963" xr:uid="{00000000-0005-0000-0000-000000230000}"/>
    <cellStyle name="Comma 2 2 2 2 2 2 2 2 2 2 3 10 2" xfId="8964" xr:uid="{00000000-0005-0000-0000-000001230000}"/>
    <cellStyle name="Comma 2 2 2 2 2 2 2 2 2 2 3 10 3" xfId="8965" xr:uid="{00000000-0005-0000-0000-000002230000}"/>
    <cellStyle name="Comma 2 2 2 2 2 2 2 2 2 2 3 10 4" xfId="8966" xr:uid="{00000000-0005-0000-0000-000003230000}"/>
    <cellStyle name="Comma 2 2 2 2 2 2 2 2 2 2 3 10 5" xfId="8967" xr:uid="{00000000-0005-0000-0000-000004230000}"/>
    <cellStyle name="Comma 2 2 2 2 2 2 2 2 2 2 3 10 6" xfId="8968" xr:uid="{00000000-0005-0000-0000-000005230000}"/>
    <cellStyle name="Comma 2 2 2 2 2 2 2 2 2 2 3 10 7" xfId="8969" xr:uid="{00000000-0005-0000-0000-000006230000}"/>
    <cellStyle name="Comma 2 2 2 2 2 2 2 2 2 2 3 10 8" xfId="8970" xr:uid="{00000000-0005-0000-0000-000007230000}"/>
    <cellStyle name="Comma 2 2 2 2 2 2 2 2 2 2 3 11" xfId="8971" xr:uid="{00000000-0005-0000-0000-000008230000}"/>
    <cellStyle name="Comma 2 2 2 2 2 2 2 2 2 2 3 11 2" xfId="8972" xr:uid="{00000000-0005-0000-0000-000009230000}"/>
    <cellStyle name="Comma 2 2 2 2 2 2 2 2 2 2 3 11 3" xfId="8973" xr:uid="{00000000-0005-0000-0000-00000A230000}"/>
    <cellStyle name="Comma 2 2 2 2 2 2 2 2 2 2 3 11 4" xfId="8974" xr:uid="{00000000-0005-0000-0000-00000B230000}"/>
    <cellStyle name="Comma 2 2 2 2 2 2 2 2 2 2 3 11 5" xfId="8975" xr:uid="{00000000-0005-0000-0000-00000C230000}"/>
    <cellStyle name="Comma 2 2 2 2 2 2 2 2 2 2 3 11 6" xfId="8976" xr:uid="{00000000-0005-0000-0000-00000D230000}"/>
    <cellStyle name="Comma 2 2 2 2 2 2 2 2 2 2 3 11 7" xfId="8977" xr:uid="{00000000-0005-0000-0000-00000E230000}"/>
    <cellStyle name="Comma 2 2 2 2 2 2 2 2 2 2 3 11 8" xfId="8978" xr:uid="{00000000-0005-0000-0000-00000F230000}"/>
    <cellStyle name="Comma 2 2 2 2 2 2 2 2 2 2 3 12" xfId="8979" xr:uid="{00000000-0005-0000-0000-000010230000}"/>
    <cellStyle name="Comma 2 2 2 2 2 2 2 2 2 2 3 12 2" xfId="8980" xr:uid="{00000000-0005-0000-0000-000011230000}"/>
    <cellStyle name="Comma 2 2 2 2 2 2 2 2 2 2 3 12 3" xfId="8981" xr:uid="{00000000-0005-0000-0000-000012230000}"/>
    <cellStyle name="Comma 2 2 2 2 2 2 2 2 2 2 3 12 4" xfId="8982" xr:uid="{00000000-0005-0000-0000-000013230000}"/>
    <cellStyle name="Comma 2 2 2 2 2 2 2 2 2 2 3 12 5" xfId="8983" xr:uid="{00000000-0005-0000-0000-000014230000}"/>
    <cellStyle name="Comma 2 2 2 2 2 2 2 2 2 2 3 12 6" xfId="8984" xr:uid="{00000000-0005-0000-0000-000015230000}"/>
    <cellStyle name="Comma 2 2 2 2 2 2 2 2 2 2 3 12 7" xfId="8985" xr:uid="{00000000-0005-0000-0000-000016230000}"/>
    <cellStyle name="Comma 2 2 2 2 2 2 2 2 2 2 3 12 8" xfId="8986" xr:uid="{00000000-0005-0000-0000-000017230000}"/>
    <cellStyle name="Comma 2 2 2 2 2 2 2 2 2 2 3 13" xfId="8987" xr:uid="{00000000-0005-0000-0000-000018230000}"/>
    <cellStyle name="Comma 2 2 2 2 2 2 2 2 2 2 3 13 2" xfId="8988" xr:uid="{00000000-0005-0000-0000-000019230000}"/>
    <cellStyle name="Comma 2 2 2 2 2 2 2 2 2 2 3 13 3" xfId="8989" xr:uid="{00000000-0005-0000-0000-00001A230000}"/>
    <cellStyle name="Comma 2 2 2 2 2 2 2 2 2 2 3 13 4" xfId="8990" xr:uid="{00000000-0005-0000-0000-00001B230000}"/>
    <cellStyle name="Comma 2 2 2 2 2 2 2 2 2 2 3 13 5" xfId="8991" xr:uid="{00000000-0005-0000-0000-00001C230000}"/>
    <cellStyle name="Comma 2 2 2 2 2 2 2 2 2 2 3 13 6" xfId="8992" xr:uid="{00000000-0005-0000-0000-00001D230000}"/>
    <cellStyle name="Comma 2 2 2 2 2 2 2 2 2 2 3 13 7" xfId="8993" xr:uid="{00000000-0005-0000-0000-00001E230000}"/>
    <cellStyle name="Comma 2 2 2 2 2 2 2 2 2 2 3 13 8" xfId="8994" xr:uid="{00000000-0005-0000-0000-00001F230000}"/>
    <cellStyle name="Comma 2 2 2 2 2 2 2 2 2 2 3 14" xfId="8995" xr:uid="{00000000-0005-0000-0000-000020230000}"/>
    <cellStyle name="Comma 2 2 2 2 2 2 2 2 2 2 3 14 2" xfId="8996" xr:uid="{00000000-0005-0000-0000-000021230000}"/>
    <cellStyle name="Comma 2 2 2 2 2 2 2 2 2 2 3 14 3" xfId="8997" xr:uid="{00000000-0005-0000-0000-000022230000}"/>
    <cellStyle name="Comma 2 2 2 2 2 2 2 2 2 2 3 15" xfId="8998" xr:uid="{00000000-0005-0000-0000-000023230000}"/>
    <cellStyle name="Comma 2 2 2 2 2 2 2 2 2 2 3 16" xfId="8999" xr:uid="{00000000-0005-0000-0000-000024230000}"/>
    <cellStyle name="Comma 2 2 2 2 2 2 2 2 2 2 3 16 2" xfId="9000" xr:uid="{00000000-0005-0000-0000-000025230000}"/>
    <cellStyle name="Comma 2 2 2 2 2 2 2 2 2 2 3 17" xfId="9001" xr:uid="{00000000-0005-0000-0000-000026230000}"/>
    <cellStyle name="Comma 2 2 2 2 2 2 2 2 2 2 3 17 2" xfId="9002" xr:uid="{00000000-0005-0000-0000-000027230000}"/>
    <cellStyle name="Comma 2 2 2 2 2 2 2 2 2 2 3 18" xfId="9003" xr:uid="{00000000-0005-0000-0000-000028230000}"/>
    <cellStyle name="Comma 2 2 2 2 2 2 2 2 2 2 3 19" xfId="9004" xr:uid="{00000000-0005-0000-0000-000029230000}"/>
    <cellStyle name="Comma 2 2 2 2 2 2 2 2 2 2 3 2" xfId="9005" xr:uid="{00000000-0005-0000-0000-00002A230000}"/>
    <cellStyle name="Comma 2 2 2 2 2 2 2 2 2 2 3 2 2" xfId="9006" xr:uid="{00000000-0005-0000-0000-00002B230000}"/>
    <cellStyle name="Comma 2 2 2 2 2 2 2 2 2 2 3 2 2 2" xfId="9007" xr:uid="{00000000-0005-0000-0000-00002C230000}"/>
    <cellStyle name="Comma 2 2 2 2 2 2 2 2 2 2 3 2 2 3" xfId="9008" xr:uid="{00000000-0005-0000-0000-00002D230000}"/>
    <cellStyle name="Comma 2 2 2 2 2 2 2 2 2 2 3 2 3" xfId="9009" xr:uid="{00000000-0005-0000-0000-00002E230000}"/>
    <cellStyle name="Comma 2 2 2 2 2 2 2 2 2 2 3 2 4" xfId="9010" xr:uid="{00000000-0005-0000-0000-00002F230000}"/>
    <cellStyle name="Comma 2 2 2 2 2 2 2 2 2 2 3 2 5" xfId="9011" xr:uid="{00000000-0005-0000-0000-000030230000}"/>
    <cellStyle name="Comma 2 2 2 2 2 2 2 2 2 2 3 20" xfId="9012" xr:uid="{00000000-0005-0000-0000-000031230000}"/>
    <cellStyle name="Comma 2 2 2 2 2 2 2 2 2 2 3 21" xfId="9013" xr:uid="{00000000-0005-0000-0000-000032230000}"/>
    <cellStyle name="Comma 2 2 2 2 2 2 2 2 2 2 3 22" xfId="9014" xr:uid="{00000000-0005-0000-0000-000033230000}"/>
    <cellStyle name="Comma 2 2 2 2 2 2 2 2 2 2 3 23" xfId="9015" xr:uid="{00000000-0005-0000-0000-000034230000}"/>
    <cellStyle name="Comma 2 2 2 2 2 2 2 2 2 2 3 24" xfId="9016" xr:uid="{00000000-0005-0000-0000-000035230000}"/>
    <cellStyle name="Comma 2 2 2 2 2 2 2 2 2 2 3 25" xfId="9017" xr:uid="{00000000-0005-0000-0000-000036230000}"/>
    <cellStyle name="Comma 2 2 2 2 2 2 2 2 2 2 3 3" xfId="9018" xr:uid="{00000000-0005-0000-0000-000037230000}"/>
    <cellStyle name="Comma 2 2 2 2 2 2 2 2 2 2 3 3 2" xfId="9019" xr:uid="{00000000-0005-0000-0000-000038230000}"/>
    <cellStyle name="Comma 2 2 2 2 2 2 2 2 2 2 3 3 3" xfId="9020" xr:uid="{00000000-0005-0000-0000-000039230000}"/>
    <cellStyle name="Comma 2 2 2 2 2 2 2 2 2 2 3 4" xfId="9021" xr:uid="{00000000-0005-0000-0000-00003A230000}"/>
    <cellStyle name="Comma 2 2 2 2 2 2 2 2 2 2 3 4 2" xfId="9022" xr:uid="{00000000-0005-0000-0000-00003B230000}"/>
    <cellStyle name="Comma 2 2 2 2 2 2 2 2 2 2 3 5" xfId="9023" xr:uid="{00000000-0005-0000-0000-00003C230000}"/>
    <cellStyle name="Comma 2 2 2 2 2 2 2 2 2 2 3 5 2" xfId="9024" xr:uid="{00000000-0005-0000-0000-00003D230000}"/>
    <cellStyle name="Comma 2 2 2 2 2 2 2 2 2 2 3 5 3" xfId="9025" xr:uid="{00000000-0005-0000-0000-00003E230000}"/>
    <cellStyle name="Comma 2 2 2 2 2 2 2 2 2 2 3 5 4" xfId="9026" xr:uid="{00000000-0005-0000-0000-00003F230000}"/>
    <cellStyle name="Comma 2 2 2 2 2 2 2 2 2 2 3 5 5" xfId="9027" xr:uid="{00000000-0005-0000-0000-000040230000}"/>
    <cellStyle name="Comma 2 2 2 2 2 2 2 2 2 2 3 5 6" xfId="9028" xr:uid="{00000000-0005-0000-0000-000041230000}"/>
    <cellStyle name="Comma 2 2 2 2 2 2 2 2 2 2 3 5 7" xfId="9029" xr:uid="{00000000-0005-0000-0000-000042230000}"/>
    <cellStyle name="Comma 2 2 2 2 2 2 2 2 2 2 3 5 8" xfId="9030" xr:uid="{00000000-0005-0000-0000-000043230000}"/>
    <cellStyle name="Comma 2 2 2 2 2 2 2 2 2 2 3 6" xfId="9031" xr:uid="{00000000-0005-0000-0000-000044230000}"/>
    <cellStyle name="Comma 2 2 2 2 2 2 2 2 2 2 3 6 2" xfId="9032" xr:uid="{00000000-0005-0000-0000-000045230000}"/>
    <cellStyle name="Comma 2 2 2 2 2 2 2 2 2 2 3 7" xfId="9033" xr:uid="{00000000-0005-0000-0000-000046230000}"/>
    <cellStyle name="Comma 2 2 2 2 2 2 2 2 2 2 3 7 2" xfId="9034" xr:uid="{00000000-0005-0000-0000-000047230000}"/>
    <cellStyle name="Comma 2 2 2 2 2 2 2 2 2 2 3 7 3" xfId="9035" xr:uid="{00000000-0005-0000-0000-000048230000}"/>
    <cellStyle name="Comma 2 2 2 2 2 2 2 2 2 2 3 7 4" xfId="9036" xr:uid="{00000000-0005-0000-0000-000049230000}"/>
    <cellStyle name="Comma 2 2 2 2 2 2 2 2 2 2 3 7 5" xfId="9037" xr:uid="{00000000-0005-0000-0000-00004A230000}"/>
    <cellStyle name="Comma 2 2 2 2 2 2 2 2 2 2 3 7 6" xfId="9038" xr:uid="{00000000-0005-0000-0000-00004B230000}"/>
    <cellStyle name="Comma 2 2 2 2 2 2 2 2 2 2 3 7 7" xfId="9039" xr:uid="{00000000-0005-0000-0000-00004C230000}"/>
    <cellStyle name="Comma 2 2 2 2 2 2 2 2 2 2 3 7 8" xfId="9040" xr:uid="{00000000-0005-0000-0000-00004D230000}"/>
    <cellStyle name="Comma 2 2 2 2 2 2 2 2 2 2 3 8" xfId="9041" xr:uid="{00000000-0005-0000-0000-00004E230000}"/>
    <cellStyle name="Comma 2 2 2 2 2 2 2 2 2 2 3 8 2" xfId="9042" xr:uid="{00000000-0005-0000-0000-00004F230000}"/>
    <cellStyle name="Comma 2 2 2 2 2 2 2 2 2 2 3 8 3" xfId="9043" xr:uid="{00000000-0005-0000-0000-000050230000}"/>
    <cellStyle name="Comma 2 2 2 2 2 2 2 2 2 2 3 8 4" xfId="9044" xr:uid="{00000000-0005-0000-0000-000051230000}"/>
    <cellStyle name="Comma 2 2 2 2 2 2 2 2 2 2 3 8 5" xfId="9045" xr:uid="{00000000-0005-0000-0000-000052230000}"/>
    <cellStyle name="Comma 2 2 2 2 2 2 2 2 2 2 3 8 6" xfId="9046" xr:uid="{00000000-0005-0000-0000-000053230000}"/>
    <cellStyle name="Comma 2 2 2 2 2 2 2 2 2 2 3 8 7" xfId="9047" xr:uid="{00000000-0005-0000-0000-000054230000}"/>
    <cellStyle name="Comma 2 2 2 2 2 2 2 2 2 2 3 8 8" xfId="9048" xr:uid="{00000000-0005-0000-0000-000055230000}"/>
    <cellStyle name="Comma 2 2 2 2 2 2 2 2 2 2 3 9" xfId="9049" xr:uid="{00000000-0005-0000-0000-000056230000}"/>
    <cellStyle name="Comma 2 2 2 2 2 2 2 2 2 2 3 9 2" xfId="9050" xr:uid="{00000000-0005-0000-0000-000057230000}"/>
    <cellStyle name="Comma 2 2 2 2 2 2 2 2 2 2 3 9 3" xfId="9051" xr:uid="{00000000-0005-0000-0000-000058230000}"/>
    <cellStyle name="Comma 2 2 2 2 2 2 2 2 2 2 3 9 4" xfId="9052" xr:uid="{00000000-0005-0000-0000-000059230000}"/>
    <cellStyle name="Comma 2 2 2 2 2 2 2 2 2 2 3 9 5" xfId="9053" xr:uid="{00000000-0005-0000-0000-00005A230000}"/>
    <cellStyle name="Comma 2 2 2 2 2 2 2 2 2 2 3 9 6" xfId="9054" xr:uid="{00000000-0005-0000-0000-00005B230000}"/>
    <cellStyle name="Comma 2 2 2 2 2 2 2 2 2 2 3 9 7" xfId="9055" xr:uid="{00000000-0005-0000-0000-00005C230000}"/>
    <cellStyle name="Comma 2 2 2 2 2 2 2 2 2 2 3 9 8" xfId="9056" xr:uid="{00000000-0005-0000-0000-00005D230000}"/>
    <cellStyle name="Comma 2 2 2 2 2 2 2 2 2 2 4" xfId="9057" xr:uid="{00000000-0005-0000-0000-00005E230000}"/>
    <cellStyle name="Comma 2 2 2 2 2 2 2 2 2 2 4 10" xfId="9058" xr:uid="{00000000-0005-0000-0000-00005F230000}"/>
    <cellStyle name="Comma 2 2 2 2 2 2 2 2 2 2 4 10 2" xfId="9059" xr:uid="{00000000-0005-0000-0000-000060230000}"/>
    <cellStyle name="Comma 2 2 2 2 2 2 2 2 2 2 4 10 3" xfId="9060" xr:uid="{00000000-0005-0000-0000-000061230000}"/>
    <cellStyle name="Comma 2 2 2 2 2 2 2 2 2 2 4 10 4" xfId="9061" xr:uid="{00000000-0005-0000-0000-000062230000}"/>
    <cellStyle name="Comma 2 2 2 2 2 2 2 2 2 2 4 10 5" xfId="9062" xr:uid="{00000000-0005-0000-0000-000063230000}"/>
    <cellStyle name="Comma 2 2 2 2 2 2 2 2 2 2 4 10 6" xfId="9063" xr:uid="{00000000-0005-0000-0000-000064230000}"/>
    <cellStyle name="Comma 2 2 2 2 2 2 2 2 2 2 4 10 7" xfId="9064" xr:uid="{00000000-0005-0000-0000-000065230000}"/>
    <cellStyle name="Comma 2 2 2 2 2 2 2 2 2 2 4 10 8" xfId="9065" xr:uid="{00000000-0005-0000-0000-000066230000}"/>
    <cellStyle name="Comma 2 2 2 2 2 2 2 2 2 2 4 11" xfId="9066" xr:uid="{00000000-0005-0000-0000-000067230000}"/>
    <cellStyle name="Comma 2 2 2 2 2 2 2 2 2 2 4 11 2" xfId="9067" xr:uid="{00000000-0005-0000-0000-000068230000}"/>
    <cellStyle name="Comma 2 2 2 2 2 2 2 2 2 2 4 11 3" xfId="9068" xr:uid="{00000000-0005-0000-0000-000069230000}"/>
    <cellStyle name="Comma 2 2 2 2 2 2 2 2 2 2 4 11 4" xfId="9069" xr:uid="{00000000-0005-0000-0000-00006A230000}"/>
    <cellStyle name="Comma 2 2 2 2 2 2 2 2 2 2 4 11 5" xfId="9070" xr:uid="{00000000-0005-0000-0000-00006B230000}"/>
    <cellStyle name="Comma 2 2 2 2 2 2 2 2 2 2 4 11 6" xfId="9071" xr:uid="{00000000-0005-0000-0000-00006C230000}"/>
    <cellStyle name="Comma 2 2 2 2 2 2 2 2 2 2 4 11 7" xfId="9072" xr:uid="{00000000-0005-0000-0000-00006D230000}"/>
    <cellStyle name="Comma 2 2 2 2 2 2 2 2 2 2 4 11 8" xfId="9073" xr:uid="{00000000-0005-0000-0000-00006E230000}"/>
    <cellStyle name="Comma 2 2 2 2 2 2 2 2 2 2 4 12" xfId="9074" xr:uid="{00000000-0005-0000-0000-00006F230000}"/>
    <cellStyle name="Comma 2 2 2 2 2 2 2 2 2 2 4 12 2" xfId="9075" xr:uid="{00000000-0005-0000-0000-000070230000}"/>
    <cellStyle name="Comma 2 2 2 2 2 2 2 2 2 2 4 12 3" xfId="9076" xr:uid="{00000000-0005-0000-0000-000071230000}"/>
    <cellStyle name="Comma 2 2 2 2 2 2 2 2 2 2 4 12 4" xfId="9077" xr:uid="{00000000-0005-0000-0000-000072230000}"/>
    <cellStyle name="Comma 2 2 2 2 2 2 2 2 2 2 4 12 5" xfId="9078" xr:uid="{00000000-0005-0000-0000-000073230000}"/>
    <cellStyle name="Comma 2 2 2 2 2 2 2 2 2 2 4 12 6" xfId="9079" xr:uid="{00000000-0005-0000-0000-000074230000}"/>
    <cellStyle name="Comma 2 2 2 2 2 2 2 2 2 2 4 12 7" xfId="9080" xr:uid="{00000000-0005-0000-0000-000075230000}"/>
    <cellStyle name="Comma 2 2 2 2 2 2 2 2 2 2 4 12 8" xfId="9081" xr:uid="{00000000-0005-0000-0000-000076230000}"/>
    <cellStyle name="Comma 2 2 2 2 2 2 2 2 2 2 4 13" xfId="9082" xr:uid="{00000000-0005-0000-0000-000077230000}"/>
    <cellStyle name="Comma 2 2 2 2 2 2 2 2 2 2 4 13 2" xfId="9083" xr:uid="{00000000-0005-0000-0000-000078230000}"/>
    <cellStyle name="Comma 2 2 2 2 2 2 2 2 2 2 4 13 3" xfId="9084" xr:uid="{00000000-0005-0000-0000-000079230000}"/>
    <cellStyle name="Comma 2 2 2 2 2 2 2 2 2 2 4 13 4" xfId="9085" xr:uid="{00000000-0005-0000-0000-00007A230000}"/>
    <cellStyle name="Comma 2 2 2 2 2 2 2 2 2 2 4 13 5" xfId="9086" xr:uid="{00000000-0005-0000-0000-00007B230000}"/>
    <cellStyle name="Comma 2 2 2 2 2 2 2 2 2 2 4 13 6" xfId="9087" xr:uid="{00000000-0005-0000-0000-00007C230000}"/>
    <cellStyle name="Comma 2 2 2 2 2 2 2 2 2 2 4 13 7" xfId="9088" xr:uid="{00000000-0005-0000-0000-00007D230000}"/>
    <cellStyle name="Comma 2 2 2 2 2 2 2 2 2 2 4 13 8" xfId="9089" xr:uid="{00000000-0005-0000-0000-00007E230000}"/>
    <cellStyle name="Comma 2 2 2 2 2 2 2 2 2 2 4 14" xfId="9090" xr:uid="{00000000-0005-0000-0000-00007F230000}"/>
    <cellStyle name="Comma 2 2 2 2 2 2 2 2 2 2 4 14 2" xfId="9091" xr:uid="{00000000-0005-0000-0000-000080230000}"/>
    <cellStyle name="Comma 2 2 2 2 2 2 2 2 2 2 4 14 3" xfId="9092" xr:uid="{00000000-0005-0000-0000-000081230000}"/>
    <cellStyle name="Comma 2 2 2 2 2 2 2 2 2 2 4 15" xfId="9093" xr:uid="{00000000-0005-0000-0000-000082230000}"/>
    <cellStyle name="Comma 2 2 2 2 2 2 2 2 2 2 4 16" xfId="9094" xr:uid="{00000000-0005-0000-0000-000083230000}"/>
    <cellStyle name="Comma 2 2 2 2 2 2 2 2 2 2 4 16 2" xfId="9095" xr:uid="{00000000-0005-0000-0000-000084230000}"/>
    <cellStyle name="Comma 2 2 2 2 2 2 2 2 2 2 4 17" xfId="9096" xr:uid="{00000000-0005-0000-0000-000085230000}"/>
    <cellStyle name="Comma 2 2 2 2 2 2 2 2 2 2 4 17 2" xfId="9097" xr:uid="{00000000-0005-0000-0000-000086230000}"/>
    <cellStyle name="Comma 2 2 2 2 2 2 2 2 2 2 4 18" xfId="9098" xr:uid="{00000000-0005-0000-0000-000087230000}"/>
    <cellStyle name="Comma 2 2 2 2 2 2 2 2 2 2 4 19" xfId="9099" xr:uid="{00000000-0005-0000-0000-000088230000}"/>
    <cellStyle name="Comma 2 2 2 2 2 2 2 2 2 2 4 2" xfId="9100" xr:uid="{00000000-0005-0000-0000-000089230000}"/>
    <cellStyle name="Comma 2 2 2 2 2 2 2 2 2 2 4 2 2" xfId="9101" xr:uid="{00000000-0005-0000-0000-00008A230000}"/>
    <cellStyle name="Comma 2 2 2 2 2 2 2 2 2 2 4 2 3" xfId="9102" xr:uid="{00000000-0005-0000-0000-00008B230000}"/>
    <cellStyle name="Comma 2 2 2 2 2 2 2 2 2 2 4 2 4" xfId="9103" xr:uid="{00000000-0005-0000-0000-00008C230000}"/>
    <cellStyle name="Comma 2 2 2 2 2 2 2 2 2 2 4 2 5" xfId="9104" xr:uid="{00000000-0005-0000-0000-00008D230000}"/>
    <cellStyle name="Comma 2 2 2 2 2 2 2 2 2 2 4 20" xfId="9105" xr:uid="{00000000-0005-0000-0000-00008E230000}"/>
    <cellStyle name="Comma 2 2 2 2 2 2 2 2 2 2 4 21" xfId="9106" xr:uid="{00000000-0005-0000-0000-00008F230000}"/>
    <cellStyle name="Comma 2 2 2 2 2 2 2 2 2 2 4 22" xfId="9107" xr:uid="{00000000-0005-0000-0000-000090230000}"/>
    <cellStyle name="Comma 2 2 2 2 2 2 2 2 2 2 4 23" xfId="9108" xr:uid="{00000000-0005-0000-0000-000091230000}"/>
    <cellStyle name="Comma 2 2 2 2 2 2 2 2 2 2 4 24" xfId="9109" xr:uid="{00000000-0005-0000-0000-000092230000}"/>
    <cellStyle name="Comma 2 2 2 2 2 2 2 2 2 2 4 25" xfId="9110" xr:uid="{00000000-0005-0000-0000-000093230000}"/>
    <cellStyle name="Comma 2 2 2 2 2 2 2 2 2 2 4 3" xfId="9111" xr:uid="{00000000-0005-0000-0000-000094230000}"/>
    <cellStyle name="Comma 2 2 2 2 2 2 2 2 2 2 4 3 2" xfId="9112" xr:uid="{00000000-0005-0000-0000-000095230000}"/>
    <cellStyle name="Comma 2 2 2 2 2 2 2 2 2 2 4 3 3" xfId="9113" xr:uid="{00000000-0005-0000-0000-000096230000}"/>
    <cellStyle name="Comma 2 2 2 2 2 2 2 2 2 2 4 4" xfId="9114" xr:uid="{00000000-0005-0000-0000-000097230000}"/>
    <cellStyle name="Comma 2 2 2 2 2 2 2 2 2 2 4 4 2" xfId="9115" xr:uid="{00000000-0005-0000-0000-000098230000}"/>
    <cellStyle name="Comma 2 2 2 2 2 2 2 2 2 2 4 5" xfId="9116" xr:uid="{00000000-0005-0000-0000-000099230000}"/>
    <cellStyle name="Comma 2 2 2 2 2 2 2 2 2 2 4 5 2" xfId="9117" xr:uid="{00000000-0005-0000-0000-00009A230000}"/>
    <cellStyle name="Comma 2 2 2 2 2 2 2 2 2 2 4 5 3" xfId="9118" xr:uid="{00000000-0005-0000-0000-00009B230000}"/>
    <cellStyle name="Comma 2 2 2 2 2 2 2 2 2 2 4 5 4" xfId="9119" xr:uid="{00000000-0005-0000-0000-00009C230000}"/>
    <cellStyle name="Comma 2 2 2 2 2 2 2 2 2 2 4 5 5" xfId="9120" xr:uid="{00000000-0005-0000-0000-00009D230000}"/>
    <cellStyle name="Comma 2 2 2 2 2 2 2 2 2 2 4 5 6" xfId="9121" xr:uid="{00000000-0005-0000-0000-00009E230000}"/>
    <cellStyle name="Comma 2 2 2 2 2 2 2 2 2 2 4 5 7" xfId="9122" xr:uid="{00000000-0005-0000-0000-00009F230000}"/>
    <cellStyle name="Comma 2 2 2 2 2 2 2 2 2 2 4 5 8" xfId="9123" xr:uid="{00000000-0005-0000-0000-0000A0230000}"/>
    <cellStyle name="Comma 2 2 2 2 2 2 2 2 2 2 4 6" xfId="9124" xr:uid="{00000000-0005-0000-0000-0000A1230000}"/>
    <cellStyle name="Comma 2 2 2 2 2 2 2 2 2 2 4 6 2" xfId="9125" xr:uid="{00000000-0005-0000-0000-0000A2230000}"/>
    <cellStyle name="Comma 2 2 2 2 2 2 2 2 2 2 4 7" xfId="9126" xr:uid="{00000000-0005-0000-0000-0000A3230000}"/>
    <cellStyle name="Comma 2 2 2 2 2 2 2 2 2 2 4 7 2" xfId="9127" xr:uid="{00000000-0005-0000-0000-0000A4230000}"/>
    <cellStyle name="Comma 2 2 2 2 2 2 2 2 2 2 4 7 3" xfId="9128" xr:uid="{00000000-0005-0000-0000-0000A5230000}"/>
    <cellStyle name="Comma 2 2 2 2 2 2 2 2 2 2 4 7 4" xfId="9129" xr:uid="{00000000-0005-0000-0000-0000A6230000}"/>
    <cellStyle name="Comma 2 2 2 2 2 2 2 2 2 2 4 7 5" xfId="9130" xr:uid="{00000000-0005-0000-0000-0000A7230000}"/>
    <cellStyle name="Comma 2 2 2 2 2 2 2 2 2 2 4 7 6" xfId="9131" xr:uid="{00000000-0005-0000-0000-0000A8230000}"/>
    <cellStyle name="Comma 2 2 2 2 2 2 2 2 2 2 4 7 7" xfId="9132" xr:uid="{00000000-0005-0000-0000-0000A9230000}"/>
    <cellStyle name="Comma 2 2 2 2 2 2 2 2 2 2 4 7 8" xfId="9133" xr:uid="{00000000-0005-0000-0000-0000AA230000}"/>
    <cellStyle name="Comma 2 2 2 2 2 2 2 2 2 2 4 8" xfId="9134" xr:uid="{00000000-0005-0000-0000-0000AB230000}"/>
    <cellStyle name="Comma 2 2 2 2 2 2 2 2 2 2 4 8 2" xfId="9135" xr:uid="{00000000-0005-0000-0000-0000AC230000}"/>
    <cellStyle name="Comma 2 2 2 2 2 2 2 2 2 2 4 8 3" xfId="9136" xr:uid="{00000000-0005-0000-0000-0000AD230000}"/>
    <cellStyle name="Comma 2 2 2 2 2 2 2 2 2 2 4 8 4" xfId="9137" xr:uid="{00000000-0005-0000-0000-0000AE230000}"/>
    <cellStyle name="Comma 2 2 2 2 2 2 2 2 2 2 4 8 5" xfId="9138" xr:uid="{00000000-0005-0000-0000-0000AF230000}"/>
    <cellStyle name="Comma 2 2 2 2 2 2 2 2 2 2 4 8 6" xfId="9139" xr:uid="{00000000-0005-0000-0000-0000B0230000}"/>
    <cellStyle name="Comma 2 2 2 2 2 2 2 2 2 2 4 8 7" xfId="9140" xr:uid="{00000000-0005-0000-0000-0000B1230000}"/>
    <cellStyle name="Comma 2 2 2 2 2 2 2 2 2 2 4 8 8" xfId="9141" xr:uid="{00000000-0005-0000-0000-0000B2230000}"/>
    <cellStyle name="Comma 2 2 2 2 2 2 2 2 2 2 4 9" xfId="9142" xr:uid="{00000000-0005-0000-0000-0000B3230000}"/>
    <cellStyle name="Comma 2 2 2 2 2 2 2 2 2 2 4 9 2" xfId="9143" xr:uid="{00000000-0005-0000-0000-0000B4230000}"/>
    <cellStyle name="Comma 2 2 2 2 2 2 2 2 2 2 4 9 3" xfId="9144" xr:uid="{00000000-0005-0000-0000-0000B5230000}"/>
    <cellStyle name="Comma 2 2 2 2 2 2 2 2 2 2 4 9 4" xfId="9145" xr:uid="{00000000-0005-0000-0000-0000B6230000}"/>
    <cellStyle name="Comma 2 2 2 2 2 2 2 2 2 2 4 9 5" xfId="9146" xr:uid="{00000000-0005-0000-0000-0000B7230000}"/>
    <cellStyle name="Comma 2 2 2 2 2 2 2 2 2 2 4 9 6" xfId="9147" xr:uid="{00000000-0005-0000-0000-0000B8230000}"/>
    <cellStyle name="Comma 2 2 2 2 2 2 2 2 2 2 4 9 7" xfId="9148" xr:uid="{00000000-0005-0000-0000-0000B9230000}"/>
    <cellStyle name="Comma 2 2 2 2 2 2 2 2 2 2 4 9 8" xfId="9149" xr:uid="{00000000-0005-0000-0000-0000BA230000}"/>
    <cellStyle name="Comma 2 2 2 2 2 2 2 2 2 2 5" xfId="9150" xr:uid="{00000000-0005-0000-0000-0000BB230000}"/>
    <cellStyle name="Comma 2 2 2 2 2 2 2 2 2 2 5 10" xfId="9151" xr:uid="{00000000-0005-0000-0000-0000BC230000}"/>
    <cellStyle name="Comma 2 2 2 2 2 2 2 2 2 2 5 10 2" xfId="9152" xr:uid="{00000000-0005-0000-0000-0000BD230000}"/>
    <cellStyle name="Comma 2 2 2 2 2 2 2 2 2 2 5 10 3" xfId="9153" xr:uid="{00000000-0005-0000-0000-0000BE230000}"/>
    <cellStyle name="Comma 2 2 2 2 2 2 2 2 2 2 5 10 4" xfId="9154" xr:uid="{00000000-0005-0000-0000-0000BF230000}"/>
    <cellStyle name="Comma 2 2 2 2 2 2 2 2 2 2 5 10 5" xfId="9155" xr:uid="{00000000-0005-0000-0000-0000C0230000}"/>
    <cellStyle name="Comma 2 2 2 2 2 2 2 2 2 2 5 10 6" xfId="9156" xr:uid="{00000000-0005-0000-0000-0000C1230000}"/>
    <cellStyle name="Comma 2 2 2 2 2 2 2 2 2 2 5 10 7" xfId="9157" xr:uid="{00000000-0005-0000-0000-0000C2230000}"/>
    <cellStyle name="Comma 2 2 2 2 2 2 2 2 2 2 5 10 8" xfId="9158" xr:uid="{00000000-0005-0000-0000-0000C3230000}"/>
    <cellStyle name="Comma 2 2 2 2 2 2 2 2 2 2 5 11" xfId="9159" xr:uid="{00000000-0005-0000-0000-0000C4230000}"/>
    <cellStyle name="Comma 2 2 2 2 2 2 2 2 2 2 5 11 2" xfId="9160" xr:uid="{00000000-0005-0000-0000-0000C5230000}"/>
    <cellStyle name="Comma 2 2 2 2 2 2 2 2 2 2 5 11 3" xfId="9161" xr:uid="{00000000-0005-0000-0000-0000C6230000}"/>
    <cellStyle name="Comma 2 2 2 2 2 2 2 2 2 2 5 11 4" xfId="9162" xr:uid="{00000000-0005-0000-0000-0000C7230000}"/>
    <cellStyle name="Comma 2 2 2 2 2 2 2 2 2 2 5 11 5" xfId="9163" xr:uid="{00000000-0005-0000-0000-0000C8230000}"/>
    <cellStyle name="Comma 2 2 2 2 2 2 2 2 2 2 5 11 6" xfId="9164" xr:uid="{00000000-0005-0000-0000-0000C9230000}"/>
    <cellStyle name="Comma 2 2 2 2 2 2 2 2 2 2 5 11 7" xfId="9165" xr:uid="{00000000-0005-0000-0000-0000CA230000}"/>
    <cellStyle name="Comma 2 2 2 2 2 2 2 2 2 2 5 11 8" xfId="9166" xr:uid="{00000000-0005-0000-0000-0000CB230000}"/>
    <cellStyle name="Comma 2 2 2 2 2 2 2 2 2 2 5 12" xfId="9167" xr:uid="{00000000-0005-0000-0000-0000CC230000}"/>
    <cellStyle name="Comma 2 2 2 2 2 2 2 2 2 2 5 12 2" xfId="9168" xr:uid="{00000000-0005-0000-0000-0000CD230000}"/>
    <cellStyle name="Comma 2 2 2 2 2 2 2 2 2 2 5 12 3" xfId="9169" xr:uid="{00000000-0005-0000-0000-0000CE230000}"/>
    <cellStyle name="Comma 2 2 2 2 2 2 2 2 2 2 5 12 4" xfId="9170" xr:uid="{00000000-0005-0000-0000-0000CF230000}"/>
    <cellStyle name="Comma 2 2 2 2 2 2 2 2 2 2 5 12 5" xfId="9171" xr:uid="{00000000-0005-0000-0000-0000D0230000}"/>
    <cellStyle name="Comma 2 2 2 2 2 2 2 2 2 2 5 12 6" xfId="9172" xr:uid="{00000000-0005-0000-0000-0000D1230000}"/>
    <cellStyle name="Comma 2 2 2 2 2 2 2 2 2 2 5 12 7" xfId="9173" xr:uid="{00000000-0005-0000-0000-0000D2230000}"/>
    <cellStyle name="Comma 2 2 2 2 2 2 2 2 2 2 5 12 8" xfId="9174" xr:uid="{00000000-0005-0000-0000-0000D3230000}"/>
    <cellStyle name="Comma 2 2 2 2 2 2 2 2 2 2 5 13" xfId="9175" xr:uid="{00000000-0005-0000-0000-0000D4230000}"/>
    <cellStyle name="Comma 2 2 2 2 2 2 2 2 2 2 5 13 2" xfId="9176" xr:uid="{00000000-0005-0000-0000-0000D5230000}"/>
    <cellStyle name="Comma 2 2 2 2 2 2 2 2 2 2 5 13 3" xfId="9177" xr:uid="{00000000-0005-0000-0000-0000D6230000}"/>
    <cellStyle name="Comma 2 2 2 2 2 2 2 2 2 2 5 13 4" xfId="9178" xr:uid="{00000000-0005-0000-0000-0000D7230000}"/>
    <cellStyle name="Comma 2 2 2 2 2 2 2 2 2 2 5 13 5" xfId="9179" xr:uid="{00000000-0005-0000-0000-0000D8230000}"/>
    <cellStyle name="Comma 2 2 2 2 2 2 2 2 2 2 5 13 6" xfId="9180" xr:uid="{00000000-0005-0000-0000-0000D9230000}"/>
    <cellStyle name="Comma 2 2 2 2 2 2 2 2 2 2 5 13 7" xfId="9181" xr:uid="{00000000-0005-0000-0000-0000DA230000}"/>
    <cellStyle name="Comma 2 2 2 2 2 2 2 2 2 2 5 13 8" xfId="9182" xr:uid="{00000000-0005-0000-0000-0000DB230000}"/>
    <cellStyle name="Comma 2 2 2 2 2 2 2 2 2 2 5 14" xfId="9183" xr:uid="{00000000-0005-0000-0000-0000DC230000}"/>
    <cellStyle name="Comma 2 2 2 2 2 2 2 2 2 2 5 14 2" xfId="9184" xr:uid="{00000000-0005-0000-0000-0000DD230000}"/>
    <cellStyle name="Comma 2 2 2 2 2 2 2 2 2 2 5 14 3" xfId="9185" xr:uid="{00000000-0005-0000-0000-0000DE230000}"/>
    <cellStyle name="Comma 2 2 2 2 2 2 2 2 2 2 5 15" xfId="9186" xr:uid="{00000000-0005-0000-0000-0000DF230000}"/>
    <cellStyle name="Comma 2 2 2 2 2 2 2 2 2 2 5 16" xfId="9187" xr:uid="{00000000-0005-0000-0000-0000E0230000}"/>
    <cellStyle name="Comma 2 2 2 2 2 2 2 2 2 2 5 16 2" xfId="9188" xr:uid="{00000000-0005-0000-0000-0000E1230000}"/>
    <cellStyle name="Comma 2 2 2 2 2 2 2 2 2 2 5 17" xfId="9189" xr:uid="{00000000-0005-0000-0000-0000E2230000}"/>
    <cellStyle name="Comma 2 2 2 2 2 2 2 2 2 2 5 17 2" xfId="9190" xr:uid="{00000000-0005-0000-0000-0000E3230000}"/>
    <cellStyle name="Comma 2 2 2 2 2 2 2 2 2 2 5 18" xfId="9191" xr:uid="{00000000-0005-0000-0000-0000E4230000}"/>
    <cellStyle name="Comma 2 2 2 2 2 2 2 2 2 2 5 19" xfId="9192" xr:uid="{00000000-0005-0000-0000-0000E5230000}"/>
    <cellStyle name="Comma 2 2 2 2 2 2 2 2 2 2 5 2" xfId="9193" xr:uid="{00000000-0005-0000-0000-0000E6230000}"/>
    <cellStyle name="Comma 2 2 2 2 2 2 2 2 2 2 5 2 2" xfId="9194" xr:uid="{00000000-0005-0000-0000-0000E7230000}"/>
    <cellStyle name="Comma 2 2 2 2 2 2 2 2 2 2 5 2 3" xfId="9195" xr:uid="{00000000-0005-0000-0000-0000E8230000}"/>
    <cellStyle name="Comma 2 2 2 2 2 2 2 2 2 2 5 2 4" xfId="9196" xr:uid="{00000000-0005-0000-0000-0000E9230000}"/>
    <cellStyle name="Comma 2 2 2 2 2 2 2 2 2 2 5 2 5" xfId="9197" xr:uid="{00000000-0005-0000-0000-0000EA230000}"/>
    <cellStyle name="Comma 2 2 2 2 2 2 2 2 2 2 5 20" xfId="9198" xr:uid="{00000000-0005-0000-0000-0000EB230000}"/>
    <cellStyle name="Comma 2 2 2 2 2 2 2 2 2 2 5 21" xfId="9199" xr:uid="{00000000-0005-0000-0000-0000EC230000}"/>
    <cellStyle name="Comma 2 2 2 2 2 2 2 2 2 2 5 22" xfId="9200" xr:uid="{00000000-0005-0000-0000-0000ED230000}"/>
    <cellStyle name="Comma 2 2 2 2 2 2 2 2 2 2 5 23" xfId="9201" xr:uid="{00000000-0005-0000-0000-0000EE230000}"/>
    <cellStyle name="Comma 2 2 2 2 2 2 2 2 2 2 5 24" xfId="9202" xr:uid="{00000000-0005-0000-0000-0000EF230000}"/>
    <cellStyle name="Comma 2 2 2 2 2 2 2 2 2 2 5 25" xfId="9203" xr:uid="{00000000-0005-0000-0000-0000F0230000}"/>
    <cellStyle name="Comma 2 2 2 2 2 2 2 2 2 2 5 3" xfId="9204" xr:uid="{00000000-0005-0000-0000-0000F1230000}"/>
    <cellStyle name="Comma 2 2 2 2 2 2 2 2 2 2 5 3 2" xfId="9205" xr:uid="{00000000-0005-0000-0000-0000F2230000}"/>
    <cellStyle name="Comma 2 2 2 2 2 2 2 2 2 2 5 3 3" xfId="9206" xr:uid="{00000000-0005-0000-0000-0000F3230000}"/>
    <cellStyle name="Comma 2 2 2 2 2 2 2 2 2 2 5 4" xfId="9207" xr:uid="{00000000-0005-0000-0000-0000F4230000}"/>
    <cellStyle name="Comma 2 2 2 2 2 2 2 2 2 2 5 4 2" xfId="9208" xr:uid="{00000000-0005-0000-0000-0000F5230000}"/>
    <cellStyle name="Comma 2 2 2 2 2 2 2 2 2 2 5 5" xfId="9209" xr:uid="{00000000-0005-0000-0000-0000F6230000}"/>
    <cellStyle name="Comma 2 2 2 2 2 2 2 2 2 2 5 5 2" xfId="9210" xr:uid="{00000000-0005-0000-0000-0000F7230000}"/>
    <cellStyle name="Comma 2 2 2 2 2 2 2 2 2 2 5 5 3" xfId="9211" xr:uid="{00000000-0005-0000-0000-0000F8230000}"/>
    <cellStyle name="Comma 2 2 2 2 2 2 2 2 2 2 5 5 4" xfId="9212" xr:uid="{00000000-0005-0000-0000-0000F9230000}"/>
    <cellStyle name="Comma 2 2 2 2 2 2 2 2 2 2 5 5 5" xfId="9213" xr:uid="{00000000-0005-0000-0000-0000FA230000}"/>
    <cellStyle name="Comma 2 2 2 2 2 2 2 2 2 2 5 5 6" xfId="9214" xr:uid="{00000000-0005-0000-0000-0000FB230000}"/>
    <cellStyle name="Comma 2 2 2 2 2 2 2 2 2 2 5 5 7" xfId="9215" xr:uid="{00000000-0005-0000-0000-0000FC230000}"/>
    <cellStyle name="Comma 2 2 2 2 2 2 2 2 2 2 5 5 8" xfId="9216" xr:uid="{00000000-0005-0000-0000-0000FD230000}"/>
    <cellStyle name="Comma 2 2 2 2 2 2 2 2 2 2 5 6" xfId="9217" xr:uid="{00000000-0005-0000-0000-0000FE230000}"/>
    <cellStyle name="Comma 2 2 2 2 2 2 2 2 2 2 5 6 2" xfId="9218" xr:uid="{00000000-0005-0000-0000-0000FF230000}"/>
    <cellStyle name="Comma 2 2 2 2 2 2 2 2 2 2 5 7" xfId="9219" xr:uid="{00000000-0005-0000-0000-000000240000}"/>
    <cellStyle name="Comma 2 2 2 2 2 2 2 2 2 2 5 7 2" xfId="9220" xr:uid="{00000000-0005-0000-0000-000001240000}"/>
    <cellStyle name="Comma 2 2 2 2 2 2 2 2 2 2 5 7 3" xfId="9221" xr:uid="{00000000-0005-0000-0000-000002240000}"/>
    <cellStyle name="Comma 2 2 2 2 2 2 2 2 2 2 5 7 4" xfId="9222" xr:uid="{00000000-0005-0000-0000-000003240000}"/>
    <cellStyle name="Comma 2 2 2 2 2 2 2 2 2 2 5 7 5" xfId="9223" xr:uid="{00000000-0005-0000-0000-000004240000}"/>
    <cellStyle name="Comma 2 2 2 2 2 2 2 2 2 2 5 7 6" xfId="9224" xr:uid="{00000000-0005-0000-0000-000005240000}"/>
    <cellStyle name="Comma 2 2 2 2 2 2 2 2 2 2 5 7 7" xfId="9225" xr:uid="{00000000-0005-0000-0000-000006240000}"/>
    <cellStyle name="Comma 2 2 2 2 2 2 2 2 2 2 5 7 8" xfId="9226" xr:uid="{00000000-0005-0000-0000-000007240000}"/>
    <cellStyle name="Comma 2 2 2 2 2 2 2 2 2 2 5 8" xfId="9227" xr:uid="{00000000-0005-0000-0000-000008240000}"/>
    <cellStyle name="Comma 2 2 2 2 2 2 2 2 2 2 5 8 2" xfId="9228" xr:uid="{00000000-0005-0000-0000-000009240000}"/>
    <cellStyle name="Comma 2 2 2 2 2 2 2 2 2 2 5 8 3" xfId="9229" xr:uid="{00000000-0005-0000-0000-00000A240000}"/>
    <cellStyle name="Comma 2 2 2 2 2 2 2 2 2 2 5 8 4" xfId="9230" xr:uid="{00000000-0005-0000-0000-00000B240000}"/>
    <cellStyle name="Comma 2 2 2 2 2 2 2 2 2 2 5 8 5" xfId="9231" xr:uid="{00000000-0005-0000-0000-00000C240000}"/>
    <cellStyle name="Comma 2 2 2 2 2 2 2 2 2 2 5 8 6" xfId="9232" xr:uid="{00000000-0005-0000-0000-00000D240000}"/>
    <cellStyle name="Comma 2 2 2 2 2 2 2 2 2 2 5 8 7" xfId="9233" xr:uid="{00000000-0005-0000-0000-00000E240000}"/>
    <cellStyle name="Comma 2 2 2 2 2 2 2 2 2 2 5 8 8" xfId="9234" xr:uid="{00000000-0005-0000-0000-00000F240000}"/>
    <cellStyle name="Comma 2 2 2 2 2 2 2 2 2 2 5 9" xfId="9235" xr:uid="{00000000-0005-0000-0000-000010240000}"/>
    <cellStyle name="Comma 2 2 2 2 2 2 2 2 2 2 5 9 2" xfId="9236" xr:uid="{00000000-0005-0000-0000-000011240000}"/>
    <cellStyle name="Comma 2 2 2 2 2 2 2 2 2 2 5 9 3" xfId="9237" xr:uid="{00000000-0005-0000-0000-000012240000}"/>
    <cellStyle name="Comma 2 2 2 2 2 2 2 2 2 2 5 9 4" xfId="9238" xr:uid="{00000000-0005-0000-0000-000013240000}"/>
    <cellStyle name="Comma 2 2 2 2 2 2 2 2 2 2 5 9 5" xfId="9239" xr:uid="{00000000-0005-0000-0000-000014240000}"/>
    <cellStyle name="Comma 2 2 2 2 2 2 2 2 2 2 5 9 6" xfId="9240" xr:uid="{00000000-0005-0000-0000-000015240000}"/>
    <cellStyle name="Comma 2 2 2 2 2 2 2 2 2 2 5 9 7" xfId="9241" xr:uid="{00000000-0005-0000-0000-000016240000}"/>
    <cellStyle name="Comma 2 2 2 2 2 2 2 2 2 2 5 9 8" xfId="9242" xr:uid="{00000000-0005-0000-0000-000017240000}"/>
    <cellStyle name="Comma 2 2 2 2 2 2 2 2 2 2 6" xfId="9243" xr:uid="{00000000-0005-0000-0000-000018240000}"/>
    <cellStyle name="Comma 2 2 2 2 2 2 2 2 2 2 6 10" xfId="9244" xr:uid="{00000000-0005-0000-0000-000019240000}"/>
    <cellStyle name="Comma 2 2 2 2 2 2 2 2 2 2 6 10 2" xfId="9245" xr:uid="{00000000-0005-0000-0000-00001A240000}"/>
    <cellStyle name="Comma 2 2 2 2 2 2 2 2 2 2 6 10 3" xfId="9246" xr:uid="{00000000-0005-0000-0000-00001B240000}"/>
    <cellStyle name="Comma 2 2 2 2 2 2 2 2 2 2 6 10 4" xfId="9247" xr:uid="{00000000-0005-0000-0000-00001C240000}"/>
    <cellStyle name="Comma 2 2 2 2 2 2 2 2 2 2 6 10 5" xfId="9248" xr:uid="{00000000-0005-0000-0000-00001D240000}"/>
    <cellStyle name="Comma 2 2 2 2 2 2 2 2 2 2 6 10 6" xfId="9249" xr:uid="{00000000-0005-0000-0000-00001E240000}"/>
    <cellStyle name="Comma 2 2 2 2 2 2 2 2 2 2 6 10 7" xfId="9250" xr:uid="{00000000-0005-0000-0000-00001F240000}"/>
    <cellStyle name="Comma 2 2 2 2 2 2 2 2 2 2 6 10 8" xfId="9251" xr:uid="{00000000-0005-0000-0000-000020240000}"/>
    <cellStyle name="Comma 2 2 2 2 2 2 2 2 2 2 6 11" xfId="9252" xr:uid="{00000000-0005-0000-0000-000021240000}"/>
    <cellStyle name="Comma 2 2 2 2 2 2 2 2 2 2 6 11 2" xfId="9253" xr:uid="{00000000-0005-0000-0000-000022240000}"/>
    <cellStyle name="Comma 2 2 2 2 2 2 2 2 2 2 6 11 3" xfId="9254" xr:uid="{00000000-0005-0000-0000-000023240000}"/>
    <cellStyle name="Comma 2 2 2 2 2 2 2 2 2 2 6 11 4" xfId="9255" xr:uid="{00000000-0005-0000-0000-000024240000}"/>
    <cellStyle name="Comma 2 2 2 2 2 2 2 2 2 2 6 11 5" xfId="9256" xr:uid="{00000000-0005-0000-0000-000025240000}"/>
    <cellStyle name="Comma 2 2 2 2 2 2 2 2 2 2 6 11 6" xfId="9257" xr:uid="{00000000-0005-0000-0000-000026240000}"/>
    <cellStyle name="Comma 2 2 2 2 2 2 2 2 2 2 6 11 7" xfId="9258" xr:uid="{00000000-0005-0000-0000-000027240000}"/>
    <cellStyle name="Comma 2 2 2 2 2 2 2 2 2 2 6 11 8" xfId="9259" xr:uid="{00000000-0005-0000-0000-000028240000}"/>
    <cellStyle name="Comma 2 2 2 2 2 2 2 2 2 2 6 12" xfId="9260" xr:uid="{00000000-0005-0000-0000-000029240000}"/>
    <cellStyle name="Comma 2 2 2 2 2 2 2 2 2 2 6 12 2" xfId="9261" xr:uid="{00000000-0005-0000-0000-00002A240000}"/>
    <cellStyle name="Comma 2 2 2 2 2 2 2 2 2 2 6 12 3" xfId="9262" xr:uid="{00000000-0005-0000-0000-00002B240000}"/>
    <cellStyle name="Comma 2 2 2 2 2 2 2 2 2 2 6 12 4" xfId="9263" xr:uid="{00000000-0005-0000-0000-00002C240000}"/>
    <cellStyle name="Comma 2 2 2 2 2 2 2 2 2 2 6 12 5" xfId="9264" xr:uid="{00000000-0005-0000-0000-00002D240000}"/>
    <cellStyle name="Comma 2 2 2 2 2 2 2 2 2 2 6 12 6" xfId="9265" xr:uid="{00000000-0005-0000-0000-00002E240000}"/>
    <cellStyle name="Comma 2 2 2 2 2 2 2 2 2 2 6 12 7" xfId="9266" xr:uid="{00000000-0005-0000-0000-00002F240000}"/>
    <cellStyle name="Comma 2 2 2 2 2 2 2 2 2 2 6 12 8" xfId="9267" xr:uid="{00000000-0005-0000-0000-000030240000}"/>
    <cellStyle name="Comma 2 2 2 2 2 2 2 2 2 2 6 13" xfId="9268" xr:uid="{00000000-0005-0000-0000-000031240000}"/>
    <cellStyle name="Comma 2 2 2 2 2 2 2 2 2 2 6 13 2" xfId="9269" xr:uid="{00000000-0005-0000-0000-000032240000}"/>
    <cellStyle name="Comma 2 2 2 2 2 2 2 2 2 2 6 13 3" xfId="9270" xr:uid="{00000000-0005-0000-0000-000033240000}"/>
    <cellStyle name="Comma 2 2 2 2 2 2 2 2 2 2 6 13 4" xfId="9271" xr:uid="{00000000-0005-0000-0000-000034240000}"/>
    <cellStyle name="Comma 2 2 2 2 2 2 2 2 2 2 6 13 5" xfId="9272" xr:uid="{00000000-0005-0000-0000-000035240000}"/>
    <cellStyle name="Comma 2 2 2 2 2 2 2 2 2 2 6 13 6" xfId="9273" xr:uid="{00000000-0005-0000-0000-000036240000}"/>
    <cellStyle name="Comma 2 2 2 2 2 2 2 2 2 2 6 13 7" xfId="9274" xr:uid="{00000000-0005-0000-0000-000037240000}"/>
    <cellStyle name="Comma 2 2 2 2 2 2 2 2 2 2 6 13 8" xfId="9275" xr:uid="{00000000-0005-0000-0000-000038240000}"/>
    <cellStyle name="Comma 2 2 2 2 2 2 2 2 2 2 6 14" xfId="9276" xr:uid="{00000000-0005-0000-0000-000039240000}"/>
    <cellStyle name="Comma 2 2 2 2 2 2 2 2 2 2 6 14 2" xfId="9277" xr:uid="{00000000-0005-0000-0000-00003A240000}"/>
    <cellStyle name="Comma 2 2 2 2 2 2 2 2 2 2 6 14 3" xfId="9278" xr:uid="{00000000-0005-0000-0000-00003B240000}"/>
    <cellStyle name="Comma 2 2 2 2 2 2 2 2 2 2 6 15" xfId="9279" xr:uid="{00000000-0005-0000-0000-00003C240000}"/>
    <cellStyle name="Comma 2 2 2 2 2 2 2 2 2 2 6 16" xfId="9280" xr:uid="{00000000-0005-0000-0000-00003D240000}"/>
    <cellStyle name="Comma 2 2 2 2 2 2 2 2 2 2 6 16 2" xfId="9281" xr:uid="{00000000-0005-0000-0000-00003E240000}"/>
    <cellStyle name="Comma 2 2 2 2 2 2 2 2 2 2 6 17" xfId="9282" xr:uid="{00000000-0005-0000-0000-00003F240000}"/>
    <cellStyle name="Comma 2 2 2 2 2 2 2 2 2 2 6 17 2" xfId="9283" xr:uid="{00000000-0005-0000-0000-000040240000}"/>
    <cellStyle name="Comma 2 2 2 2 2 2 2 2 2 2 6 18" xfId="9284" xr:uid="{00000000-0005-0000-0000-000041240000}"/>
    <cellStyle name="Comma 2 2 2 2 2 2 2 2 2 2 6 19" xfId="9285" xr:uid="{00000000-0005-0000-0000-000042240000}"/>
    <cellStyle name="Comma 2 2 2 2 2 2 2 2 2 2 6 2" xfId="9286" xr:uid="{00000000-0005-0000-0000-000043240000}"/>
    <cellStyle name="Comma 2 2 2 2 2 2 2 2 2 2 6 2 2" xfId="9287" xr:uid="{00000000-0005-0000-0000-000044240000}"/>
    <cellStyle name="Comma 2 2 2 2 2 2 2 2 2 2 6 2 3" xfId="9288" xr:uid="{00000000-0005-0000-0000-000045240000}"/>
    <cellStyle name="Comma 2 2 2 2 2 2 2 2 2 2 6 2 4" xfId="9289" xr:uid="{00000000-0005-0000-0000-000046240000}"/>
    <cellStyle name="Comma 2 2 2 2 2 2 2 2 2 2 6 2 5" xfId="9290" xr:uid="{00000000-0005-0000-0000-000047240000}"/>
    <cellStyle name="Comma 2 2 2 2 2 2 2 2 2 2 6 20" xfId="9291" xr:uid="{00000000-0005-0000-0000-000048240000}"/>
    <cellStyle name="Comma 2 2 2 2 2 2 2 2 2 2 6 21" xfId="9292" xr:uid="{00000000-0005-0000-0000-000049240000}"/>
    <cellStyle name="Comma 2 2 2 2 2 2 2 2 2 2 6 22" xfId="9293" xr:uid="{00000000-0005-0000-0000-00004A240000}"/>
    <cellStyle name="Comma 2 2 2 2 2 2 2 2 2 2 6 23" xfId="9294" xr:uid="{00000000-0005-0000-0000-00004B240000}"/>
    <cellStyle name="Comma 2 2 2 2 2 2 2 2 2 2 6 24" xfId="9295" xr:uid="{00000000-0005-0000-0000-00004C240000}"/>
    <cellStyle name="Comma 2 2 2 2 2 2 2 2 2 2 6 25" xfId="9296" xr:uid="{00000000-0005-0000-0000-00004D240000}"/>
    <cellStyle name="Comma 2 2 2 2 2 2 2 2 2 2 6 3" xfId="9297" xr:uid="{00000000-0005-0000-0000-00004E240000}"/>
    <cellStyle name="Comma 2 2 2 2 2 2 2 2 2 2 6 3 2" xfId="9298" xr:uid="{00000000-0005-0000-0000-00004F240000}"/>
    <cellStyle name="Comma 2 2 2 2 2 2 2 2 2 2 6 3 3" xfId="9299" xr:uid="{00000000-0005-0000-0000-000050240000}"/>
    <cellStyle name="Comma 2 2 2 2 2 2 2 2 2 2 6 4" xfId="9300" xr:uid="{00000000-0005-0000-0000-000051240000}"/>
    <cellStyle name="Comma 2 2 2 2 2 2 2 2 2 2 6 4 2" xfId="9301" xr:uid="{00000000-0005-0000-0000-000052240000}"/>
    <cellStyle name="Comma 2 2 2 2 2 2 2 2 2 2 6 5" xfId="9302" xr:uid="{00000000-0005-0000-0000-000053240000}"/>
    <cellStyle name="Comma 2 2 2 2 2 2 2 2 2 2 6 5 2" xfId="9303" xr:uid="{00000000-0005-0000-0000-000054240000}"/>
    <cellStyle name="Comma 2 2 2 2 2 2 2 2 2 2 6 5 3" xfId="9304" xr:uid="{00000000-0005-0000-0000-000055240000}"/>
    <cellStyle name="Comma 2 2 2 2 2 2 2 2 2 2 6 5 4" xfId="9305" xr:uid="{00000000-0005-0000-0000-000056240000}"/>
    <cellStyle name="Comma 2 2 2 2 2 2 2 2 2 2 6 5 5" xfId="9306" xr:uid="{00000000-0005-0000-0000-000057240000}"/>
    <cellStyle name="Comma 2 2 2 2 2 2 2 2 2 2 6 5 6" xfId="9307" xr:uid="{00000000-0005-0000-0000-000058240000}"/>
    <cellStyle name="Comma 2 2 2 2 2 2 2 2 2 2 6 5 7" xfId="9308" xr:uid="{00000000-0005-0000-0000-000059240000}"/>
    <cellStyle name="Comma 2 2 2 2 2 2 2 2 2 2 6 5 8" xfId="9309" xr:uid="{00000000-0005-0000-0000-00005A240000}"/>
    <cellStyle name="Comma 2 2 2 2 2 2 2 2 2 2 6 6" xfId="9310" xr:uid="{00000000-0005-0000-0000-00005B240000}"/>
    <cellStyle name="Comma 2 2 2 2 2 2 2 2 2 2 6 6 2" xfId="9311" xr:uid="{00000000-0005-0000-0000-00005C240000}"/>
    <cellStyle name="Comma 2 2 2 2 2 2 2 2 2 2 6 7" xfId="9312" xr:uid="{00000000-0005-0000-0000-00005D240000}"/>
    <cellStyle name="Comma 2 2 2 2 2 2 2 2 2 2 6 7 2" xfId="9313" xr:uid="{00000000-0005-0000-0000-00005E240000}"/>
    <cellStyle name="Comma 2 2 2 2 2 2 2 2 2 2 6 7 3" xfId="9314" xr:uid="{00000000-0005-0000-0000-00005F240000}"/>
    <cellStyle name="Comma 2 2 2 2 2 2 2 2 2 2 6 7 4" xfId="9315" xr:uid="{00000000-0005-0000-0000-000060240000}"/>
    <cellStyle name="Comma 2 2 2 2 2 2 2 2 2 2 6 7 5" xfId="9316" xr:uid="{00000000-0005-0000-0000-000061240000}"/>
    <cellStyle name="Comma 2 2 2 2 2 2 2 2 2 2 6 7 6" xfId="9317" xr:uid="{00000000-0005-0000-0000-000062240000}"/>
    <cellStyle name="Comma 2 2 2 2 2 2 2 2 2 2 6 7 7" xfId="9318" xr:uid="{00000000-0005-0000-0000-000063240000}"/>
    <cellStyle name="Comma 2 2 2 2 2 2 2 2 2 2 6 7 8" xfId="9319" xr:uid="{00000000-0005-0000-0000-000064240000}"/>
    <cellStyle name="Comma 2 2 2 2 2 2 2 2 2 2 6 8" xfId="9320" xr:uid="{00000000-0005-0000-0000-000065240000}"/>
    <cellStyle name="Comma 2 2 2 2 2 2 2 2 2 2 6 8 2" xfId="9321" xr:uid="{00000000-0005-0000-0000-000066240000}"/>
    <cellStyle name="Comma 2 2 2 2 2 2 2 2 2 2 6 8 3" xfId="9322" xr:uid="{00000000-0005-0000-0000-000067240000}"/>
    <cellStyle name="Comma 2 2 2 2 2 2 2 2 2 2 6 8 4" xfId="9323" xr:uid="{00000000-0005-0000-0000-000068240000}"/>
    <cellStyle name="Comma 2 2 2 2 2 2 2 2 2 2 6 8 5" xfId="9324" xr:uid="{00000000-0005-0000-0000-000069240000}"/>
    <cellStyle name="Comma 2 2 2 2 2 2 2 2 2 2 6 8 6" xfId="9325" xr:uid="{00000000-0005-0000-0000-00006A240000}"/>
    <cellStyle name="Comma 2 2 2 2 2 2 2 2 2 2 6 8 7" xfId="9326" xr:uid="{00000000-0005-0000-0000-00006B240000}"/>
    <cellStyle name="Comma 2 2 2 2 2 2 2 2 2 2 6 8 8" xfId="9327" xr:uid="{00000000-0005-0000-0000-00006C240000}"/>
    <cellStyle name="Comma 2 2 2 2 2 2 2 2 2 2 6 9" xfId="9328" xr:uid="{00000000-0005-0000-0000-00006D240000}"/>
    <cellStyle name="Comma 2 2 2 2 2 2 2 2 2 2 6 9 2" xfId="9329" xr:uid="{00000000-0005-0000-0000-00006E240000}"/>
    <cellStyle name="Comma 2 2 2 2 2 2 2 2 2 2 6 9 3" xfId="9330" xr:uid="{00000000-0005-0000-0000-00006F240000}"/>
    <cellStyle name="Comma 2 2 2 2 2 2 2 2 2 2 6 9 4" xfId="9331" xr:uid="{00000000-0005-0000-0000-000070240000}"/>
    <cellStyle name="Comma 2 2 2 2 2 2 2 2 2 2 6 9 5" xfId="9332" xr:uid="{00000000-0005-0000-0000-000071240000}"/>
    <cellStyle name="Comma 2 2 2 2 2 2 2 2 2 2 6 9 6" xfId="9333" xr:uid="{00000000-0005-0000-0000-000072240000}"/>
    <cellStyle name="Comma 2 2 2 2 2 2 2 2 2 2 6 9 7" xfId="9334" xr:uid="{00000000-0005-0000-0000-000073240000}"/>
    <cellStyle name="Comma 2 2 2 2 2 2 2 2 2 2 6 9 8" xfId="9335" xr:uid="{00000000-0005-0000-0000-000074240000}"/>
    <cellStyle name="Comma 2 2 2 2 2 2 2 2 2 2 7" xfId="9336" xr:uid="{00000000-0005-0000-0000-000075240000}"/>
    <cellStyle name="Comma 2 2 2 2 2 2 2 2 2 2 7 10" xfId="9337" xr:uid="{00000000-0005-0000-0000-000076240000}"/>
    <cellStyle name="Comma 2 2 2 2 2 2 2 2 2 2 7 10 2" xfId="9338" xr:uid="{00000000-0005-0000-0000-000077240000}"/>
    <cellStyle name="Comma 2 2 2 2 2 2 2 2 2 2 7 10 3" xfId="9339" xr:uid="{00000000-0005-0000-0000-000078240000}"/>
    <cellStyle name="Comma 2 2 2 2 2 2 2 2 2 2 7 10 4" xfId="9340" xr:uid="{00000000-0005-0000-0000-000079240000}"/>
    <cellStyle name="Comma 2 2 2 2 2 2 2 2 2 2 7 10 5" xfId="9341" xr:uid="{00000000-0005-0000-0000-00007A240000}"/>
    <cellStyle name="Comma 2 2 2 2 2 2 2 2 2 2 7 10 6" xfId="9342" xr:uid="{00000000-0005-0000-0000-00007B240000}"/>
    <cellStyle name="Comma 2 2 2 2 2 2 2 2 2 2 7 10 7" xfId="9343" xr:uid="{00000000-0005-0000-0000-00007C240000}"/>
    <cellStyle name="Comma 2 2 2 2 2 2 2 2 2 2 7 10 8" xfId="9344" xr:uid="{00000000-0005-0000-0000-00007D240000}"/>
    <cellStyle name="Comma 2 2 2 2 2 2 2 2 2 2 7 11" xfId="9345" xr:uid="{00000000-0005-0000-0000-00007E240000}"/>
    <cellStyle name="Comma 2 2 2 2 2 2 2 2 2 2 7 11 2" xfId="9346" xr:uid="{00000000-0005-0000-0000-00007F240000}"/>
    <cellStyle name="Comma 2 2 2 2 2 2 2 2 2 2 7 11 3" xfId="9347" xr:uid="{00000000-0005-0000-0000-000080240000}"/>
    <cellStyle name="Comma 2 2 2 2 2 2 2 2 2 2 7 11 4" xfId="9348" xr:uid="{00000000-0005-0000-0000-000081240000}"/>
    <cellStyle name="Comma 2 2 2 2 2 2 2 2 2 2 7 11 5" xfId="9349" xr:uid="{00000000-0005-0000-0000-000082240000}"/>
    <cellStyle name="Comma 2 2 2 2 2 2 2 2 2 2 7 11 6" xfId="9350" xr:uid="{00000000-0005-0000-0000-000083240000}"/>
    <cellStyle name="Comma 2 2 2 2 2 2 2 2 2 2 7 11 7" xfId="9351" xr:uid="{00000000-0005-0000-0000-000084240000}"/>
    <cellStyle name="Comma 2 2 2 2 2 2 2 2 2 2 7 11 8" xfId="9352" xr:uid="{00000000-0005-0000-0000-000085240000}"/>
    <cellStyle name="Comma 2 2 2 2 2 2 2 2 2 2 7 12" xfId="9353" xr:uid="{00000000-0005-0000-0000-000086240000}"/>
    <cellStyle name="Comma 2 2 2 2 2 2 2 2 2 2 7 12 2" xfId="9354" xr:uid="{00000000-0005-0000-0000-000087240000}"/>
    <cellStyle name="Comma 2 2 2 2 2 2 2 2 2 2 7 12 3" xfId="9355" xr:uid="{00000000-0005-0000-0000-000088240000}"/>
    <cellStyle name="Comma 2 2 2 2 2 2 2 2 2 2 7 12 4" xfId="9356" xr:uid="{00000000-0005-0000-0000-000089240000}"/>
    <cellStyle name="Comma 2 2 2 2 2 2 2 2 2 2 7 12 5" xfId="9357" xr:uid="{00000000-0005-0000-0000-00008A240000}"/>
    <cellStyle name="Comma 2 2 2 2 2 2 2 2 2 2 7 12 6" xfId="9358" xr:uid="{00000000-0005-0000-0000-00008B240000}"/>
    <cellStyle name="Comma 2 2 2 2 2 2 2 2 2 2 7 12 7" xfId="9359" xr:uid="{00000000-0005-0000-0000-00008C240000}"/>
    <cellStyle name="Comma 2 2 2 2 2 2 2 2 2 2 7 12 8" xfId="9360" xr:uid="{00000000-0005-0000-0000-00008D240000}"/>
    <cellStyle name="Comma 2 2 2 2 2 2 2 2 2 2 7 13" xfId="9361" xr:uid="{00000000-0005-0000-0000-00008E240000}"/>
    <cellStyle name="Comma 2 2 2 2 2 2 2 2 2 2 7 13 2" xfId="9362" xr:uid="{00000000-0005-0000-0000-00008F240000}"/>
    <cellStyle name="Comma 2 2 2 2 2 2 2 2 2 2 7 13 3" xfId="9363" xr:uid="{00000000-0005-0000-0000-000090240000}"/>
    <cellStyle name="Comma 2 2 2 2 2 2 2 2 2 2 7 13 4" xfId="9364" xr:uid="{00000000-0005-0000-0000-000091240000}"/>
    <cellStyle name="Comma 2 2 2 2 2 2 2 2 2 2 7 13 5" xfId="9365" xr:uid="{00000000-0005-0000-0000-000092240000}"/>
    <cellStyle name="Comma 2 2 2 2 2 2 2 2 2 2 7 13 6" xfId="9366" xr:uid="{00000000-0005-0000-0000-000093240000}"/>
    <cellStyle name="Comma 2 2 2 2 2 2 2 2 2 2 7 13 7" xfId="9367" xr:uid="{00000000-0005-0000-0000-000094240000}"/>
    <cellStyle name="Comma 2 2 2 2 2 2 2 2 2 2 7 13 8" xfId="9368" xr:uid="{00000000-0005-0000-0000-000095240000}"/>
    <cellStyle name="Comma 2 2 2 2 2 2 2 2 2 2 7 14" xfId="9369" xr:uid="{00000000-0005-0000-0000-000096240000}"/>
    <cellStyle name="Comma 2 2 2 2 2 2 2 2 2 2 7 14 2" xfId="9370" xr:uid="{00000000-0005-0000-0000-000097240000}"/>
    <cellStyle name="Comma 2 2 2 2 2 2 2 2 2 2 7 14 3" xfId="9371" xr:uid="{00000000-0005-0000-0000-000098240000}"/>
    <cellStyle name="Comma 2 2 2 2 2 2 2 2 2 2 7 15" xfId="9372" xr:uid="{00000000-0005-0000-0000-000099240000}"/>
    <cellStyle name="Comma 2 2 2 2 2 2 2 2 2 2 7 16" xfId="9373" xr:uid="{00000000-0005-0000-0000-00009A240000}"/>
    <cellStyle name="Comma 2 2 2 2 2 2 2 2 2 2 7 16 2" xfId="9374" xr:uid="{00000000-0005-0000-0000-00009B240000}"/>
    <cellStyle name="Comma 2 2 2 2 2 2 2 2 2 2 7 17" xfId="9375" xr:uid="{00000000-0005-0000-0000-00009C240000}"/>
    <cellStyle name="Comma 2 2 2 2 2 2 2 2 2 2 7 17 2" xfId="9376" xr:uid="{00000000-0005-0000-0000-00009D240000}"/>
    <cellStyle name="Comma 2 2 2 2 2 2 2 2 2 2 7 18" xfId="9377" xr:uid="{00000000-0005-0000-0000-00009E240000}"/>
    <cellStyle name="Comma 2 2 2 2 2 2 2 2 2 2 7 19" xfId="9378" xr:uid="{00000000-0005-0000-0000-00009F240000}"/>
    <cellStyle name="Comma 2 2 2 2 2 2 2 2 2 2 7 2" xfId="9379" xr:uid="{00000000-0005-0000-0000-0000A0240000}"/>
    <cellStyle name="Comma 2 2 2 2 2 2 2 2 2 2 7 2 2" xfId="9380" xr:uid="{00000000-0005-0000-0000-0000A1240000}"/>
    <cellStyle name="Comma 2 2 2 2 2 2 2 2 2 2 7 2 3" xfId="9381" xr:uid="{00000000-0005-0000-0000-0000A2240000}"/>
    <cellStyle name="Comma 2 2 2 2 2 2 2 2 2 2 7 2 4" xfId="9382" xr:uid="{00000000-0005-0000-0000-0000A3240000}"/>
    <cellStyle name="Comma 2 2 2 2 2 2 2 2 2 2 7 2 5" xfId="9383" xr:uid="{00000000-0005-0000-0000-0000A4240000}"/>
    <cellStyle name="Comma 2 2 2 2 2 2 2 2 2 2 7 20" xfId="9384" xr:uid="{00000000-0005-0000-0000-0000A5240000}"/>
    <cellStyle name="Comma 2 2 2 2 2 2 2 2 2 2 7 21" xfId="9385" xr:uid="{00000000-0005-0000-0000-0000A6240000}"/>
    <cellStyle name="Comma 2 2 2 2 2 2 2 2 2 2 7 22" xfId="9386" xr:uid="{00000000-0005-0000-0000-0000A7240000}"/>
    <cellStyle name="Comma 2 2 2 2 2 2 2 2 2 2 7 23" xfId="9387" xr:uid="{00000000-0005-0000-0000-0000A8240000}"/>
    <cellStyle name="Comma 2 2 2 2 2 2 2 2 2 2 7 24" xfId="9388" xr:uid="{00000000-0005-0000-0000-0000A9240000}"/>
    <cellStyle name="Comma 2 2 2 2 2 2 2 2 2 2 7 25" xfId="9389" xr:uid="{00000000-0005-0000-0000-0000AA240000}"/>
    <cellStyle name="Comma 2 2 2 2 2 2 2 2 2 2 7 3" xfId="9390" xr:uid="{00000000-0005-0000-0000-0000AB240000}"/>
    <cellStyle name="Comma 2 2 2 2 2 2 2 2 2 2 7 3 2" xfId="9391" xr:uid="{00000000-0005-0000-0000-0000AC240000}"/>
    <cellStyle name="Comma 2 2 2 2 2 2 2 2 2 2 7 3 3" xfId="9392" xr:uid="{00000000-0005-0000-0000-0000AD240000}"/>
    <cellStyle name="Comma 2 2 2 2 2 2 2 2 2 2 7 4" xfId="9393" xr:uid="{00000000-0005-0000-0000-0000AE240000}"/>
    <cellStyle name="Comma 2 2 2 2 2 2 2 2 2 2 7 4 2" xfId="9394" xr:uid="{00000000-0005-0000-0000-0000AF240000}"/>
    <cellStyle name="Comma 2 2 2 2 2 2 2 2 2 2 7 5" xfId="9395" xr:uid="{00000000-0005-0000-0000-0000B0240000}"/>
    <cellStyle name="Comma 2 2 2 2 2 2 2 2 2 2 7 5 2" xfId="9396" xr:uid="{00000000-0005-0000-0000-0000B1240000}"/>
    <cellStyle name="Comma 2 2 2 2 2 2 2 2 2 2 7 5 3" xfId="9397" xr:uid="{00000000-0005-0000-0000-0000B2240000}"/>
    <cellStyle name="Comma 2 2 2 2 2 2 2 2 2 2 7 5 4" xfId="9398" xr:uid="{00000000-0005-0000-0000-0000B3240000}"/>
    <cellStyle name="Comma 2 2 2 2 2 2 2 2 2 2 7 5 5" xfId="9399" xr:uid="{00000000-0005-0000-0000-0000B4240000}"/>
    <cellStyle name="Comma 2 2 2 2 2 2 2 2 2 2 7 5 6" xfId="9400" xr:uid="{00000000-0005-0000-0000-0000B5240000}"/>
    <cellStyle name="Comma 2 2 2 2 2 2 2 2 2 2 7 5 7" xfId="9401" xr:uid="{00000000-0005-0000-0000-0000B6240000}"/>
    <cellStyle name="Comma 2 2 2 2 2 2 2 2 2 2 7 5 8" xfId="9402" xr:uid="{00000000-0005-0000-0000-0000B7240000}"/>
    <cellStyle name="Comma 2 2 2 2 2 2 2 2 2 2 7 6" xfId="9403" xr:uid="{00000000-0005-0000-0000-0000B8240000}"/>
    <cellStyle name="Comma 2 2 2 2 2 2 2 2 2 2 7 6 2" xfId="9404" xr:uid="{00000000-0005-0000-0000-0000B9240000}"/>
    <cellStyle name="Comma 2 2 2 2 2 2 2 2 2 2 7 7" xfId="9405" xr:uid="{00000000-0005-0000-0000-0000BA240000}"/>
    <cellStyle name="Comma 2 2 2 2 2 2 2 2 2 2 7 7 2" xfId="9406" xr:uid="{00000000-0005-0000-0000-0000BB240000}"/>
    <cellStyle name="Comma 2 2 2 2 2 2 2 2 2 2 7 7 3" xfId="9407" xr:uid="{00000000-0005-0000-0000-0000BC240000}"/>
    <cellStyle name="Comma 2 2 2 2 2 2 2 2 2 2 7 7 4" xfId="9408" xr:uid="{00000000-0005-0000-0000-0000BD240000}"/>
    <cellStyle name="Comma 2 2 2 2 2 2 2 2 2 2 7 7 5" xfId="9409" xr:uid="{00000000-0005-0000-0000-0000BE240000}"/>
    <cellStyle name="Comma 2 2 2 2 2 2 2 2 2 2 7 7 6" xfId="9410" xr:uid="{00000000-0005-0000-0000-0000BF240000}"/>
    <cellStyle name="Comma 2 2 2 2 2 2 2 2 2 2 7 7 7" xfId="9411" xr:uid="{00000000-0005-0000-0000-0000C0240000}"/>
    <cellStyle name="Comma 2 2 2 2 2 2 2 2 2 2 7 7 8" xfId="9412" xr:uid="{00000000-0005-0000-0000-0000C1240000}"/>
    <cellStyle name="Comma 2 2 2 2 2 2 2 2 2 2 7 8" xfId="9413" xr:uid="{00000000-0005-0000-0000-0000C2240000}"/>
    <cellStyle name="Comma 2 2 2 2 2 2 2 2 2 2 7 8 2" xfId="9414" xr:uid="{00000000-0005-0000-0000-0000C3240000}"/>
    <cellStyle name="Comma 2 2 2 2 2 2 2 2 2 2 7 8 3" xfId="9415" xr:uid="{00000000-0005-0000-0000-0000C4240000}"/>
    <cellStyle name="Comma 2 2 2 2 2 2 2 2 2 2 7 8 4" xfId="9416" xr:uid="{00000000-0005-0000-0000-0000C5240000}"/>
    <cellStyle name="Comma 2 2 2 2 2 2 2 2 2 2 7 8 5" xfId="9417" xr:uid="{00000000-0005-0000-0000-0000C6240000}"/>
    <cellStyle name="Comma 2 2 2 2 2 2 2 2 2 2 7 8 6" xfId="9418" xr:uid="{00000000-0005-0000-0000-0000C7240000}"/>
    <cellStyle name="Comma 2 2 2 2 2 2 2 2 2 2 7 8 7" xfId="9419" xr:uid="{00000000-0005-0000-0000-0000C8240000}"/>
    <cellStyle name="Comma 2 2 2 2 2 2 2 2 2 2 7 8 8" xfId="9420" xr:uid="{00000000-0005-0000-0000-0000C9240000}"/>
    <cellStyle name="Comma 2 2 2 2 2 2 2 2 2 2 7 9" xfId="9421" xr:uid="{00000000-0005-0000-0000-0000CA240000}"/>
    <cellStyle name="Comma 2 2 2 2 2 2 2 2 2 2 7 9 2" xfId="9422" xr:uid="{00000000-0005-0000-0000-0000CB240000}"/>
    <cellStyle name="Comma 2 2 2 2 2 2 2 2 2 2 7 9 3" xfId="9423" xr:uid="{00000000-0005-0000-0000-0000CC240000}"/>
    <cellStyle name="Comma 2 2 2 2 2 2 2 2 2 2 7 9 4" xfId="9424" xr:uid="{00000000-0005-0000-0000-0000CD240000}"/>
    <cellStyle name="Comma 2 2 2 2 2 2 2 2 2 2 7 9 5" xfId="9425" xr:uid="{00000000-0005-0000-0000-0000CE240000}"/>
    <cellStyle name="Comma 2 2 2 2 2 2 2 2 2 2 7 9 6" xfId="9426" xr:uid="{00000000-0005-0000-0000-0000CF240000}"/>
    <cellStyle name="Comma 2 2 2 2 2 2 2 2 2 2 7 9 7" xfId="9427" xr:uid="{00000000-0005-0000-0000-0000D0240000}"/>
    <cellStyle name="Comma 2 2 2 2 2 2 2 2 2 2 7 9 8" xfId="9428" xr:uid="{00000000-0005-0000-0000-0000D1240000}"/>
    <cellStyle name="Comma 2 2 2 2 2 2 2 2 2 2 8" xfId="9429" xr:uid="{00000000-0005-0000-0000-0000D2240000}"/>
    <cellStyle name="Comma 2 2 2 2 2 2 2 2 2 2 8 10" xfId="9430" xr:uid="{00000000-0005-0000-0000-0000D3240000}"/>
    <cellStyle name="Comma 2 2 2 2 2 2 2 2 2 2 8 11" xfId="9431" xr:uid="{00000000-0005-0000-0000-0000D4240000}"/>
    <cellStyle name="Comma 2 2 2 2 2 2 2 2 2 2 8 12" xfId="9432" xr:uid="{00000000-0005-0000-0000-0000D5240000}"/>
    <cellStyle name="Comma 2 2 2 2 2 2 2 2 2 2 8 13" xfId="9433" xr:uid="{00000000-0005-0000-0000-0000D6240000}"/>
    <cellStyle name="Comma 2 2 2 2 2 2 2 2 2 2 8 14" xfId="9434" xr:uid="{00000000-0005-0000-0000-0000D7240000}"/>
    <cellStyle name="Comma 2 2 2 2 2 2 2 2 2 2 8 15" xfId="9435" xr:uid="{00000000-0005-0000-0000-0000D8240000}"/>
    <cellStyle name="Comma 2 2 2 2 2 2 2 2 2 2 8 16" xfId="9436" xr:uid="{00000000-0005-0000-0000-0000D9240000}"/>
    <cellStyle name="Comma 2 2 2 2 2 2 2 2 2 2 8 17" xfId="9437" xr:uid="{00000000-0005-0000-0000-0000DA240000}"/>
    <cellStyle name="Comma 2 2 2 2 2 2 2 2 2 2 8 17 2" xfId="9438" xr:uid="{00000000-0005-0000-0000-0000DB240000}"/>
    <cellStyle name="Comma 2 2 2 2 2 2 2 2 2 2 8 18" xfId="9439" xr:uid="{00000000-0005-0000-0000-0000DC240000}"/>
    <cellStyle name="Comma 2 2 2 2 2 2 2 2 2 2 8 19" xfId="9440" xr:uid="{00000000-0005-0000-0000-0000DD240000}"/>
    <cellStyle name="Comma 2 2 2 2 2 2 2 2 2 2 8 2" xfId="9441" xr:uid="{00000000-0005-0000-0000-0000DE240000}"/>
    <cellStyle name="Comma 2 2 2 2 2 2 2 2 2 2 8 2 2" xfId="9442" xr:uid="{00000000-0005-0000-0000-0000DF240000}"/>
    <cellStyle name="Comma 2 2 2 2 2 2 2 2 2 2 8 2 2 10" xfId="9443" xr:uid="{00000000-0005-0000-0000-0000E0240000}"/>
    <cellStyle name="Comma 2 2 2 2 2 2 2 2 2 2 8 2 2 11" xfId="9444" xr:uid="{00000000-0005-0000-0000-0000E1240000}"/>
    <cellStyle name="Comma 2 2 2 2 2 2 2 2 2 2 8 2 2 12" xfId="9445" xr:uid="{00000000-0005-0000-0000-0000E2240000}"/>
    <cellStyle name="Comma 2 2 2 2 2 2 2 2 2 2 8 2 2 2" xfId="9446" xr:uid="{00000000-0005-0000-0000-0000E3240000}"/>
    <cellStyle name="Comma 2 2 2 2 2 2 2 2 2 2 8 2 2 3" xfId="9447" xr:uid="{00000000-0005-0000-0000-0000E4240000}"/>
    <cellStyle name="Comma 2 2 2 2 2 2 2 2 2 2 8 2 2 4" xfId="9448" xr:uid="{00000000-0005-0000-0000-0000E5240000}"/>
    <cellStyle name="Comma 2 2 2 2 2 2 2 2 2 2 8 2 2 5" xfId="9449" xr:uid="{00000000-0005-0000-0000-0000E6240000}"/>
    <cellStyle name="Comma 2 2 2 2 2 2 2 2 2 2 8 2 2 6" xfId="9450" xr:uid="{00000000-0005-0000-0000-0000E7240000}"/>
    <cellStyle name="Comma 2 2 2 2 2 2 2 2 2 2 8 2 2 6 2" xfId="9451" xr:uid="{00000000-0005-0000-0000-0000E8240000}"/>
    <cellStyle name="Comma 2 2 2 2 2 2 2 2 2 2 8 2 2 7" xfId="9452" xr:uid="{00000000-0005-0000-0000-0000E9240000}"/>
    <cellStyle name="Comma 2 2 2 2 2 2 2 2 2 2 8 2 2 8" xfId="9453" xr:uid="{00000000-0005-0000-0000-0000EA240000}"/>
    <cellStyle name="Comma 2 2 2 2 2 2 2 2 2 2 8 2 2 9" xfId="9454" xr:uid="{00000000-0005-0000-0000-0000EB240000}"/>
    <cellStyle name="Comma 2 2 2 2 2 2 2 2 2 2 8 2 3" xfId="9455" xr:uid="{00000000-0005-0000-0000-0000EC240000}"/>
    <cellStyle name="Comma 2 2 2 2 2 2 2 2 2 2 8 2 3 10" xfId="9456" xr:uid="{00000000-0005-0000-0000-0000ED240000}"/>
    <cellStyle name="Comma 2 2 2 2 2 2 2 2 2 2 8 2 3 11" xfId="9457" xr:uid="{00000000-0005-0000-0000-0000EE240000}"/>
    <cellStyle name="Comma 2 2 2 2 2 2 2 2 2 2 8 2 3 12" xfId="9458" xr:uid="{00000000-0005-0000-0000-0000EF240000}"/>
    <cellStyle name="Comma 2 2 2 2 2 2 2 2 2 2 8 2 3 2" xfId="9459" xr:uid="{00000000-0005-0000-0000-0000F0240000}"/>
    <cellStyle name="Comma 2 2 2 2 2 2 2 2 2 2 8 2 3 3" xfId="9460" xr:uid="{00000000-0005-0000-0000-0000F1240000}"/>
    <cellStyle name="Comma 2 2 2 2 2 2 2 2 2 2 8 2 3 4" xfId="9461" xr:uid="{00000000-0005-0000-0000-0000F2240000}"/>
    <cellStyle name="Comma 2 2 2 2 2 2 2 2 2 2 8 2 3 5" xfId="9462" xr:uid="{00000000-0005-0000-0000-0000F3240000}"/>
    <cellStyle name="Comma 2 2 2 2 2 2 2 2 2 2 8 2 3 6" xfId="9463" xr:uid="{00000000-0005-0000-0000-0000F4240000}"/>
    <cellStyle name="Comma 2 2 2 2 2 2 2 2 2 2 8 2 3 6 2" xfId="9464" xr:uid="{00000000-0005-0000-0000-0000F5240000}"/>
    <cellStyle name="Comma 2 2 2 2 2 2 2 2 2 2 8 2 3 7" xfId="9465" xr:uid="{00000000-0005-0000-0000-0000F6240000}"/>
    <cellStyle name="Comma 2 2 2 2 2 2 2 2 2 2 8 2 3 8" xfId="9466" xr:uid="{00000000-0005-0000-0000-0000F7240000}"/>
    <cellStyle name="Comma 2 2 2 2 2 2 2 2 2 2 8 2 3 9" xfId="9467" xr:uid="{00000000-0005-0000-0000-0000F8240000}"/>
    <cellStyle name="Comma 2 2 2 2 2 2 2 2 2 2 8 2 4" xfId="9468" xr:uid="{00000000-0005-0000-0000-0000F9240000}"/>
    <cellStyle name="Comma 2 2 2 2 2 2 2 2 2 2 8 2 4 10" xfId="9469" xr:uid="{00000000-0005-0000-0000-0000FA240000}"/>
    <cellStyle name="Comma 2 2 2 2 2 2 2 2 2 2 8 2 4 11" xfId="9470" xr:uid="{00000000-0005-0000-0000-0000FB240000}"/>
    <cellStyle name="Comma 2 2 2 2 2 2 2 2 2 2 8 2 4 12" xfId="9471" xr:uid="{00000000-0005-0000-0000-0000FC240000}"/>
    <cellStyle name="Comma 2 2 2 2 2 2 2 2 2 2 8 2 4 2" xfId="9472" xr:uid="{00000000-0005-0000-0000-0000FD240000}"/>
    <cellStyle name="Comma 2 2 2 2 2 2 2 2 2 2 8 2 4 3" xfId="9473" xr:uid="{00000000-0005-0000-0000-0000FE240000}"/>
    <cellStyle name="Comma 2 2 2 2 2 2 2 2 2 2 8 2 4 4" xfId="9474" xr:uid="{00000000-0005-0000-0000-0000FF240000}"/>
    <cellStyle name="Comma 2 2 2 2 2 2 2 2 2 2 8 2 4 5" xfId="9475" xr:uid="{00000000-0005-0000-0000-000000250000}"/>
    <cellStyle name="Comma 2 2 2 2 2 2 2 2 2 2 8 2 4 6" xfId="9476" xr:uid="{00000000-0005-0000-0000-000001250000}"/>
    <cellStyle name="Comma 2 2 2 2 2 2 2 2 2 2 8 2 4 6 2" xfId="9477" xr:uid="{00000000-0005-0000-0000-000002250000}"/>
    <cellStyle name="Comma 2 2 2 2 2 2 2 2 2 2 8 2 4 7" xfId="9478" xr:uid="{00000000-0005-0000-0000-000003250000}"/>
    <cellStyle name="Comma 2 2 2 2 2 2 2 2 2 2 8 2 4 8" xfId="9479" xr:uid="{00000000-0005-0000-0000-000004250000}"/>
    <cellStyle name="Comma 2 2 2 2 2 2 2 2 2 2 8 2 4 9" xfId="9480" xr:uid="{00000000-0005-0000-0000-000005250000}"/>
    <cellStyle name="Comma 2 2 2 2 2 2 2 2 2 2 8 2 5" xfId="9481" xr:uid="{00000000-0005-0000-0000-000006250000}"/>
    <cellStyle name="Comma 2 2 2 2 2 2 2 2 2 2 8 2 5 10" xfId="9482" xr:uid="{00000000-0005-0000-0000-000007250000}"/>
    <cellStyle name="Comma 2 2 2 2 2 2 2 2 2 2 8 2 5 11" xfId="9483" xr:uid="{00000000-0005-0000-0000-000008250000}"/>
    <cellStyle name="Comma 2 2 2 2 2 2 2 2 2 2 8 2 5 12" xfId="9484" xr:uid="{00000000-0005-0000-0000-000009250000}"/>
    <cellStyle name="Comma 2 2 2 2 2 2 2 2 2 2 8 2 5 2" xfId="9485" xr:uid="{00000000-0005-0000-0000-00000A250000}"/>
    <cellStyle name="Comma 2 2 2 2 2 2 2 2 2 2 8 2 5 3" xfId="9486" xr:uid="{00000000-0005-0000-0000-00000B250000}"/>
    <cellStyle name="Comma 2 2 2 2 2 2 2 2 2 2 8 2 5 4" xfId="9487" xr:uid="{00000000-0005-0000-0000-00000C250000}"/>
    <cellStyle name="Comma 2 2 2 2 2 2 2 2 2 2 8 2 5 5" xfId="9488" xr:uid="{00000000-0005-0000-0000-00000D250000}"/>
    <cellStyle name="Comma 2 2 2 2 2 2 2 2 2 2 8 2 5 6" xfId="9489" xr:uid="{00000000-0005-0000-0000-00000E250000}"/>
    <cellStyle name="Comma 2 2 2 2 2 2 2 2 2 2 8 2 5 6 2" xfId="9490" xr:uid="{00000000-0005-0000-0000-00000F250000}"/>
    <cellStyle name="Comma 2 2 2 2 2 2 2 2 2 2 8 2 5 7" xfId="9491" xr:uid="{00000000-0005-0000-0000-000010250000}"/>
    <cellStyle name="Comma 2 2 2 2 2 2 2 2 2 2 8 2 5 8" xfId="9492" xr:uid="{00000000-0005-0000-0000-000011250000}"/>
    <cellStyle name="Comma 2 2 2 2 2 2 2 2 2 2 8 2 5 9" xfId="9493" xr:uid="{00000000-0005-0000-0000-000012250000}"/>
    <cellStyle name="Comma 2 2 2 2 2 2 2 2 2 2 8 2 6" xfId="9494" xr:uid="{00000000-0005-0000-0000-000013250000}"/>
    <cellStyle name="Comma 2 2 2 2 2 2 2 2 2 2 8 2 6 10" xfId="9495" xr:uid="{00000000-0005-0000-0000-000014250000}"/>
    <cellStyle name="Comma 2 2 2 2 2 2 2 2 2 2 8 2 6 11" xfId="9496" xr:uid="{00000000-0005-0000-0000-000015250000}"/>
    <cellStyle name="Comma 2 2 2 2 2 2 2 2 2 2 8 2 6 12" xfId="9497" xr:uid="{00000000-0005-0000-0000-000016250000}"/>
    <cellStyle name="Comma 2 2 2 2 2 2 2 2 2 2 8 2 6 2" xfId="9498" xr:uid="{00000000-0005-0000-0000-000017250000}"/>
    <cellStyle name="Comma 2 2 2 2 2 2 2 2 2 2 8 2 6 3" xfId="9499" xr:uid="{00000000-0005-0000-0000-000018250000}"/>
    <cellStyle name="Comma 2 2 2 2 2 2 2 2 2 2 8 2 6 4" xfId="9500" xr:uid="{00000000-0005-0000-0000-000019250000}"/>
    <cellStyle name="Comma 2 2 2 2 2 2 2 2 2 2 8 2 6 5" xfId="9501" xr:uid="{00000000-0005-0000-0000-00001A250000}"/>
    <cellStyle name="Comma 2 2 2 2 2 2 2 2 2 2 8 2 6 6" xfId="9502" xr:uid="{00000000-0005-0000-0000-00001B250000}"/>
    <cellStyle name="Comma 2 2 2 2 2 2 2 2 2 2 8 2 6 6 2" xfId="9503" xr:uid="{00000000-0005-0000-0000-00001C250000}"/>
    <cellStyle name="Comma 2 2 2 2 2 2 2 2 2 2 8 2 6 7" xfId="9504" xr:uid="{00000000-0005-0000-0000-00001D250000}"/>
    <cellStyle name="Comma 2 2 2 2 2 2 2 2 2 2 8 2 6 8" xfId="9505" xr:uid="{00000000-0005-0000-0000-00001E250000}"/>
    <cellStyle name="Comma 2 2 2 2 2 2 2 2 2 2 8 2 6 9" xfId="9506" xr:uid="{00000000-0005-0000-0000-00001F250000}"/>
    <cellStyle name="Comma 2 2 2 2 2 2 2 2 2 2 8 2 7" xfId="9507" xr:uid="{00000000-0005-0000-0000-000020250000}"/>
    <cellStyle name="Comma 2 2 2 2 2 2 2 2 2 2 8 2 7 2" xfId="9508" xr:uid="{00000000-0005-0000-0000-000021250000}"/>
    <cellStyle name="Comma 2 2 2 2 2 2 2 2 2 2 8 2 8" xfId="9509" xr:uid="{00000000-0005-0000-0000-000022250000}"/>
    <cellStyle name="Comma 2 2 2 2 2 2 2 2 2 2 8 20" xfId="9510" xr:uid="{00000000-0005-0000-0000-000023250000}"/>
    <cellStyle name="Comma 2 2 2 2 2 2 2 2 2 2 8 21" xfId="9511" xr:uid="{00000000-0005-0000-0000-000024250000}"/>
    <cellStyle name="Comma 2 2 2 2 2 2 2 2 2 2 8 22" xfId="9512" xr:uid="{00000000-0005-0000-0000-000025250000}"/>
    <cellStyle name="Comma 2 2 2 2 2 2 2 2 2 2 8 23" xfId="9513" xr:uid="{00000000-0005-0000-0000-000026250000}"/>
    <cellStyle name="Comma 2 2 2 2 2 2 2 2 2 2 8 3" xfId="9514" xr:uid="{00000000-0005-0000-0000-000027250000}"/>
    <cellStyle name="Comma 2 2 2 2 2 2 2 2 2 2 8 3 2" xfId="9515" xr:uid="{00000000-0005-0000-0000-000028250000}"/>
    <cellStyle name="Comma 2 2 2 2 2 2 2 2 2 2 8 3 2 10" xfId="9516" xr:uid="{00000000-0005-0000-0000-000029250000}"/>
    <cellStyle name="Comma 2 2 2 2 2 2 2 2 2 2 8 3 2 11" xfId="9517" xr:uid="{00000000-0005-0000-0000-00002A250000}"/>
    <cellStyle name="Comma 2 2 2 2 2 2 2 2 2 2 8 3 2 12" xfId="9518" xr:uid="{00000000-0005-0000-0000-00002B250000}"/>
    <cellStyle name="Comma 2 2 2 2 2 2 2 2 2 2 8 3 2 2" xfId="9519" xr:uid="{00000000-0005-0000-0000-00002C250000}"/>
    <cellStyle name="Comma 2 2 2 2 2 2 2 2 2 2 8 3 2 3" xfId="9520" xr:uid="{00000000-0005-0000-0000-00002D250000}"/>
    <cellStyle name="Comma 2 2 2 2 2 2 2 2 2 2 8 3 2 4" xfId="9521" xr:uid="{00000000-0005-0000-0000-00002E250000}"/>
    <cellStyle name="Comma 2 2 2 2 2 2 2 2 2 2 8 3 2 5" xfId="9522" xr:uid="{00000000-0005-0000-0000-00002F250000}"/>
    <cellStyle name="Comma 2 2 2 2 2 2 2 2 2 2 8 3 2 6" xfId="9523" xr:uid="{00000000-0005-0000-0000-000030250000}"/>
    <cellStyle name="Comma 2 2 2 2 2 2 2 2 2 2 8 3 2 6 2" xfId="9524" xr:uid="{00000000-0005-0000-0000-000031250000}"/>
    <cellStyle name="Comma 2 2 2 2 2 2 2 2 2 2 8 3 2 7" xfId="9525" xr:uid="{00000000-0005-0000-0000-000032250000}"/>
    <cellStyle name="Comma 2 2 2 2 2 2 2 2 2 2 8 3 2 8" xfId="9526" xr:uid="{00000000-0005-0000-0000-000033250000}"/>
    <cellStyle name="Comma 2 2 2 2 2 2 2 2 2 2 8 3 2 9" xfId="9527" xr:uid="{00000000-0005-0000-0000-000034250000}"/>
    <cellStyle name="Comma 2 2 2 2 2 2 2 2 2 2 8 3 3" xfId="9528" xr:uid="{00000000-0005-0000-0000-000035250000}"/>
    <cellStyle name="Comma 2 2 2 2 2 2 2 2 2 2 8 3 3 10" xfId="9529" xr:uid="{00000000-0005-0000-0000-000036250000}"/>
    <cellStyle name="Comma 2 2 2 2 2 2 2 2 2 2 8 3 3 11" xfId="9530" xr:uid="{00000000-0005-0000-0000-000037250000}"/>
    <cellStyle name="Comma 2 2 2 2 2 2 2 2 2 2 8 3 3 12" xfId="9531" xr:uid="{00000000-0005-0000-0000-000038250000}"/>
    <cellStyle name="Comma 2 2 2 2 2 2 2 2 2 2 8 3 3 2" xfId="9532" xr:uid="{00000000-0005-0000-0000-000039250000}"/>
    <cellStyle name="Comma 2 2 2 2 2 2 2 2 2 2 8 3 3 3" xfId="9533" xr:uid="{00000000-0005-0000-0000-00003A250000}"/>
    <cellStyle name="Comma 2 2 2 2 2 2 2 2 2 2 8 3 3 4" xfId="9534" xr:uid="{00000000-0005-0000-0000-00003B250000}"/>
    <cellStyle name="Comma 2 2 2 2 2 2 2 2 2 2 8 3 3 5" xfId="9535" xr:uid="{00000000-0005-0000-0000-00003C250000}"/>
    <cellStyle name="Comma 2 2 2 2 2 2 2 2 2 2 8 3 3 6" xfId="9536" xr:uid="{00000000-0005-0000-0000-00003D250000}"/>
    <cellStyle name="Comma 2 2 2 2 2 2 2 2 2 2 8 3 3 6 2" xfId="9537" xr:uid="{00000000-0005-0000-0000-00003E250000}"/>
    <cellStyle name="Comma 2 2 2 2 2 2 2 2 2 2 8 3 3 7" xfId="9538" xr:uid="{00000000-0005-0000-0000-00003F250000}"/>
    <cellStyle name="Comma 2 2 2 2 2 2 2 2 2 2 8 3 3 8" xfId="9539" xr:uid="{00000000-0005-0000-0000-000040250000}"/>
    <cellStyle name="Comma 2 2 2 2 2 2 2 2 2 2 8 3 3 9" xfId="9540" xr:uid="{00000000-0005-0000-0000-000041250000}"/>
    <cellStyle name="Comma 2 2 2 2 2 2 2 2 2 2 8 3 4" xfId="9541" xr:uid="{00000000-0005-0000-0000-000042250000}"/>
    <cellStyle name="Comma 2 2 2 2 2 2 2 2 2 2 8 3 4 10" xfId="9542" xr:uid="{00000000-0005-0000-0000-000043250000}"/>
    <cellStyle name="Comma 2 2 2 2 2 2 2 2 2 2 8 3 4 11" xfId="9543" xr:uid="{00000000-0005-0000-0000-000044250000}"/>
    <cellStyle name="Comma 2 2 2 2 2 2 2 2 2 2 8 3 4 12" xfId="9544" xr:uid="{00000000-0005-0000-0000-000045250000}"/>
    <cellStyle name="Comma 2 2 2 2 2 2 2 2 2 2 8 3 4 2" xfId="9545" xr:uid="{00000000-0005-0000-0000-000046250000}"/>
    <cellStyle name="Comma 2 2 2 2 2 2 2 2 2 2 8 3 4 3" xfId="9546" xr:uid="{00000000-0005-0000-0000-000047250000}"/>
    <cellStyle name="Comma 2 2 2 2 2 2 2 2 2 2 8 3 4 4" xfId="9547" xr:uid="{00000000-0005-0000-0000-000048250000}"/>
    <cellStyle name="Comma 2 2 2 2 2 2 2 2 2 2 8 3 4 5" xfId="9548" xr:uid="{00000000-0005-0000-0000-000049250000}"/>
    <cellStyle name="Comma 2 2 2 2 2 2 2 2 2 2 8 3 4 6" xfId="9549" xr:uid="{00000000-0005-0000-0000-00004A250000}"/>
    <cellStyle name="Comma 2 2 2 2 2 2 2 2 2 2 8 3 4 6 2" xfId="9550" xr:uid="{00000000-0005-0000-0000-00004B250000}"/>
    <cellStyle name="Comma 2 2 2 2 2 2 2 2 2 2 8 3 4 7" xfId="9551" xr:uid="{00000000-0005-0000-0000-00004C250000}"/>
    <cellStyle name="Comma 2 2 2 2 2 2 2 2 2 2 8 3 4 8" xfId="9552" xr:uid="{00000000-0005-0000-0000-00004D250000}"/>
    <cellStyle name="Comma 2 2 2 2 2 2 2 2 2 2 8 3 4 9" xfId="9553" xr:uid="{00000000-0005-0000-0000-00004E250000}"/>
    <cellStyle name="Comma 2 2 2 2 2 2 2 2 2 2 8 3 5" xfId="9554" xr:uid="{00000000-0005-0000-0000-00004F250000}"/>
    <cellStyle name="Comma 2 2 2 2 2 2 2 2 2 2 8 3 5 10" xfId="9555" xr:uid="{00000000-0005-0000-0000-000050250000}"/>
    <cellStyle name="Comma 2 2 2 2 2 2 2 2 2 2 8 3 5 11" xfId="9556" xr:uid="{00000000-0005-0000-0000-000051250000}"/>
    <cellStyle name="Comma 2 2 2 2 2 2 2 2 2 2 8 3 5 12" xfId="9557" xr:uid="{00000000-0005-0000-0000-000052250000}"/>
    <cellStyle name="Comma 2 2 2 2 2 2 2 2 2 2 8 3 5 2" xfId="9558" xr:uid="{00000000-0005-0000-0000-000053250000}"/>
    <cellStyle name="Comma 2 2 2 2 2 2 2 2 2 2 8 3 5 3" xfId="9559" xr:uid="{00000000-0005-0000-0000-000054250000}"/>
    <cellStyle name="Comma 2 2 2 2 2 2 2 2 2 2 8 3 5 4" xfId="9560" xr:uid="{00000000-0005-0000-0000-000055250000}"/>
    <cellStyle name="Comma 2 2 2 2 2 2 2 2 2 2 8 3 5 5" xfId="9561" xr:uid="{00000000-0005-0000-0000-000056250000}"/>
    <cellStyle name="Comma 2 2 2 2 2 2 2 2 2 2 8 3 5 6" xfId="9562" xr:uid="{00000000-0005-0000-0000-000057250000}"/>
    <cellStyle name="Comma 2 2 2 2 2 2 2 2 2 2 8 3 5 6 2" xfId="9563" xr:uid="{00000000-0005-0000-0000-000058250000}"/>
    <cellStyle name="Comma 2 2 2 2 2 2 2 2 2 2 8 3 5 7" xfId="9564" xr:uid="{00000000-0005-0000-0000-000059250000}"/>
    <cellStyle name="Comma 2 2 2 2 2 2 2 2 2 2 8 3 5 8" xfId="9565" xr:uid="{00000000-0005-0000-0000-00005A250000}"/>
    <cellStyle name="Comma 2 2 2 2 2 2 2 2 2 2 8 3 5 9" xfId="9566" xr:uid="{00000000-0005-0000-0000-00005B250000}"/>
    <cellStyle name="Comma 2 2 2 2 2 2 2 2 2 2 8 3 6" xfId="9567" xr:uid="{00000000-0005-0000-0000-00005C250000}"/>
    <cellStyle name="Comma 2 2 2 2 2 2 2 2 2 2 8 4" xfId="9568" xr:uid="{00000000-0005-0000-0000-00005D250000}"/>
    <cellStyle name="Comma 2 2 2 2 2 2 2 2 2 2 8 4 2" xfId="9569" xr:uid="{00000000-0005-0000-0000-00005E250000}"/>
    <cellStyle name="Comma 2 2 2 2 2 2 2 2 2 2 8 4 2 10" xfId="9570" xr:uid="{00000000-0005-0000-0000-00005F250000}"/>
    <cellStyle name="Comma 2 2 2 2 2 2 2 2 2 2 8 4 2 11" xfId="9571" xr:uid="{00000000-0005-0000-0000-000060250000}"/>
    <cellStyle name="Comma 2 2 2 2 2 2 2 2 2 2 8 4 2 12" xfId="9572" xr:uid="{00000000-0005-0000-0000-000061250000}"/>
    <cellStyle name="Comma 2 2 2 2 2 2 2 2 2 2 8 4 2 2" xfId="9573" xr:uid="{00000000-0005-0000-0000-000062250000}"/>
    <cellStyle name="Comma 2 2 2 2 2 2 2 2 2 2 8 4 2 3" xfId="9574" xr:uid="{00000000-0005-0000-0000-000063250000}"/>
    <cellStyle name="Comma 2 2 2 2 2 2 2 2 2 2 8 4 2 4" xfId="9575" xr:uid="{00000000-0005-0000-0000-000064250000}"/>
    <cellStyle name="Comma 2 2 2 2 2 2 2 2 2 2 8 4 2 5" xfId="9576" xr:uid="{00000000-0005-0000-0000-000065250000}"/>
    <cellStyle name="Comma 2 2 2 2 2 2 2 2 2 2 8 4 2 6" xfId="9577" xr:uid="{00000000-0005-0000-0000-000066250000}"/>
    <cellStyle name="Comma 2 2 2 2 2 2 2 2 2 2 8 4 2 6 2" xfId="9578" xr:uid="{00000000-0005-0000-0000-000067250000}"/>
    <cellStyle name="Comma 2 2 2 2 2 2 2 2 2 2 8 4 2 7" xfId="9579" xr:uid="{00000000-0005-0000-0000-000068250000}"/>
    <cellStyle name="Comma 2 2 2 2 2 2 2 2 2 2 8 4 2 8" xfId="9580" xr:uid="{00000000-0005-0000-0000-000069250000}"/>
    <cellStyle name="Comma 2 2 2 2 2 2 2 2 2 2 8 4 2 9" xfId="9581" xr:uid="{00000000-0005-0000-0000-00006A250000}"/>
    <cellStyle name="Comma 2 2 2 2 2 2 2 2 2 2 8 4 3" xfId="9582" xr:uid="{00000000-0005-0000-0000-00006B250000}"/>
    <cellStyle name="Comma 2 2 2 2 2 2 2 2 2 2 8 4 3 10" xfId="9583" xr:uid="{00000000-0005-0000-0000-00006C250000}"/>
    <cellStyle name="Comma 2 2 2 2 2 2 2 2 2 2 8 4 3 11" xfId="9584" xr:uid="{00000000-0005-0000-0000-00006D250000}"/>
    <cellStyle name="Comma 2 2 2 2 2 2 2 2 2 2 8 4 3 12" xfId="9585" xr:uid="{00000000-0005-0000-0000-00006E250000}"/>
    <cellStyle name="Comma 2 2 2 2 2 2 2 2 2 2 8 4 3 2" xfId="9586" xr:uid="{00000000-0005-0000-0000-00006F250000}"/>
    <cellStyle name="Comma 2 2 2 2 2 2 2 2 2 2 8 4 3 3" xfId="9587" xr:uid="{00000000-0005-0000-0000-000070250000}"/>
    <cellStyle name="Comma 2 2 2 2 2 2 2 2 2 2 8 4 3 4" xfId="9588" xr:uid="{00000000-0005-0000-0000-000071250000}"/>
    <cellStyle name="Comma 2 2 2 2 2 2 2 2 2 2 8 4 3 5" xfId="9589" xr:uid="{00000000-0005-0000-0000-000072250000}"/>
    <cellStyle name="Comma 2 2 2 2 2 2 2 2 2 2 8 4 3 6" xfId="9590" xr:uid="{00000000-0005-0000-0000-000073250000}"/>
    <cellStyle name="Comma 2 2 2 2 2 2 2 2 2 2 8 4 3 6 2" xfId="9591" xr:uid="{00000000-0005-0000-0000-000074250000}"/>
    <cellStyle name="Comma 2 2 2 2 2 2 2 2 2 2 8 4 3 7" xfId="9592" xr:uid="{00000000-0005-0000-0000-000075250000}"/>
    <cellStyle name="Comma 2 2 2 2 2 2 2 2 2 2 8 4 3 8" xfId="9593" xr:uid="{00000000-0005-0000-0000-000076250000}"/>
    <cellStyle name="Comma 2 2 2 2 2 2 2 2 2 2 8 4 3 9" xfId="9594" xr:uid="{00000000-0005-0000-0000-000077250000}"/>
    <cellStyle name="Comma 2 2 2 2 2 2 2 2 2 2 8 4 4" xfId="9595" xr:uid="{00000000-0005-0000-0000-000078250000}"/>
    <cellStyle name="Comma 2 2 2 2 2 2 2 2 2 2 8 4 4 10" xfId="9596" xr:uid="{00000000-0005-0000-0000-000079250000}"/>
    <cellStyle name="Comma 2 2 2 2 2 2 2 2 2 2 8 4 4 11" xfId="9597" xr:uid="{00000000-0005-0000-0000-00007A250000}"/>
    <cellStyle name="Comma 2 2 2 2 2 2 2 2 2 2 8 4 4 12" xfId="9598" xr:uid="{00000000-0005-0000-0000-00007B250000}"/>
    <cellStyle name="Comma 2 2 2 2 2 2 2 2 2 2 8 4 4 2" xfId="9599" xr:uid="{00000000-0005-0000-0000-00007C250000}"/>
    <cellStyle name="Comma 2 2 2 2 2 2 2 2 2 2 8 4 4 3" xfId="9600" xr:uid="{00000000-0005-0000-0000-00007D250000}"/>
    <cellStyle name="Comma 2 2 2 2 2 2 2 2 2 2 8 4 4 4" xfId="9601" xr:uid="{00000000-0005-0000-0000-00007E250000}"/>
    <cellStyle name="Comma 2 2 2 2 2 2 2 2 2 2 8 4 4 5" xfId="9602" xr:uid="{00000000-0005-0000-0000-00007F250000}"/>
    <cellStyle name="Comma 2 2 2 2 2 2 2 2 2 2 8 4 4 6" xfId="9603" xr:uid="{00000000-0005-0000-0000-000080250000}"/>
    <cellStyle name="Comma 2 2 2 2 2 2 2 2 2 2 8 4 4 6 2" xfId="9604" xr:uid="{00000000-0005-0000-0000-000081250000}"/>
    <cellStyle name="Comma 2 2 2 2 2 2 2 2 2 2 8 4 4 7" xfId="9605" xr:uid="{00000000-0005-0000-0000-000082250000}"/>
    <cellStyle name="Comma 2 2 2 2 2 2 2 2 2 2 8 4 4 8" xfId="9606" xr:uid="{00000000-0005-0000-0000-000083250000}"/>
    <cellStyle name="Comma 2 2 2 2 2 2 2 2 2 2 8 4 4 9" xfId="9607" xr:uid="{00000000-0005-0000-0000-000084250000}"/>
    <cellStyle name="Comma 2 2 2 2 2 2 2 2 2 2 8 5" xfId="9608" xr:uid="{00000000-0005-0000-0000-000085250000}"/>
    <cellStyle name="Comma 2 2 2 2 2 2 2 2 2 2 8 5 2" xfId="9609" xr:uid="{00000000-0005-0000-0000-000086250000}"/>
    <cellStyle name="Comma 2 2 2 2 2 2 2 2 2 2 8 5 2 10" xfId="9610" xr:uid="{00000000-0005-0000-0000-000087250000}"/>
    <cellStyle name="Comma 2 2 2 2 2 2 2 2 2 2 8 5 2 11" xfId="9611" xr:uid="{00000000-0005-0000-0000-000088250000}"/>
    <cellStyle name="Comma 2 2 2 2 2 2 2 2 2 2 8 5 2 12" xfId="9612" xr:uid="{00000000-0005-0000-0000-000089250000}"/>
    <cellStyle name="Comma 2 2 2 2 2 2 2 2 2 2 8 5 2 2" xfId="9613" xr:uid="{00000000-0005-0000-0000-00008A250000}"/>
    <cellStyle name="Comma 2 2 2 2 2 2 2 2 2 2 8 5 2 3" xfId="9614" xr:uid="{00000000-0005-0000-0000-00008B250000}"/>
    <cellStyle name="Comma 2 2 2 2 2 2 2 2 2 2 8 5 2 4" xfId="9615" xr:uid="{00000000-0005-0000-0000-00008C250000}"/>
    <cellStyle name="Comma 2 2 2 2 2 2 2 2 2 2 8 5 2 5" xfId="9616" xr:uid="{00000000-0005-0000-0000-00008D250000}"/>
    <cellStyle name="Comma 2 2 2 2 2 2 2 2 2 2 8 5 2 6" xfId="9617" xr:uid="{00000000-0005-0000-0000-00008E250000}"/>
    <cellStyle name="Comma 2 2 2 2 2 2 2 2 2 2 8 5 2 6 2" xfId="9618" xr:uid="{00000000-0005-0000-0000-00008F250000}"/>
    <cellStyle name="Comma 2 2 2 2 2 2 2 2 2 2 8 5 2 7" xfId="9619" xr:uid="{00000000-0005-0000-0000-000090250000}"/>
    <cellStyle name="Comma 2 2 2 2 2 2 2 2 2 2 8 5 2 8" xfId="9620" xr:uid="{00000000-0005-0000-0000-000091250000}"/>
    <cellStyle name="Comma 2 2 2 2 2 2 2 2 2 2 8 5 2 9" xfId="9621" xr:uid="{00000000-0005-0000-0000-000092250000}"/>
    <cellStyle name="Comma 2 2 2 2 2 2 2 2 2 2 8 5 3" xfId="9622" xr:uid="{00000000-0005-0000-0000-000093250000}"/>
    <cellStyle name="Comma 2 2 2 2 2 2 2 2 2 2 8 5 3 10" xfId="9623" xr:uid="{00000000-0005-0000-0000-000094250000}"/>
    <cellStyle name="Comma 2 2 2 2 2 2 2 2 2 2 8 5 3 11" xfId="9624" xr:uid="{00000000-0005-0000-0000-000095250000}"/>
    <cellStyle name="Comma 2 2 2 2 2 2 2 2 2 2 8 5 3 12" xfId="9625" xr:uid="{00000000-0005-0000-0000-000096250000}"/>
    <cellStyle name="Comma 2 2 2 2 2 2 2 2 2 2 8 5 3 2" xfId="9626" xr:uid="{00000000-0005-0000-0000-000097250000}"/>
    <cellStyle name="Comma 2 2 2 2 2 2 2 2 2 2 8 5 3 3" xfId="9627" xr:uid="{00000000-0005-0000-0000-000098250000}"/>
    <cellStyle name="Comma 2 2 2 2 2 2 2 2 2 2 8 5 3 4" xfId="9628" xr:uid="{00000000-0005-0000-0000-000099250000}"/>
    <cellStyle name="Comma 2 2 2 2 2 2 2 2 2 2 8 5 3 5" xfId="9629" xr:uid="{00000000-0005-0000-0000-00009A250000}"/>
    <cellStyle name="Comma 2 2 2 2 2 2 2 2 2 2 8 5 3 6" xfId="9630" xr:uid="{00000000-0005-0000-0000-00009B250000}"/>
    <cellStyle name="Comma 2 2 2 2 2 2 2 2 2 2 8 5 3 6 2" xfId="9631" xr:uid="{00000000-0005-0000-0000-00009C250000}"/>
    <cellStyle name="Comma 2 2 2 2 2 2 2 2 2 2 8 5 3 7" xfId="9632" xr:uid="{00000000-0005-0000-0000-00009D250000}"/>
    <cellStyle name="Comma 2 2 2 2 2 2 2 2 2 2 8 5 3 8" xfId="9633" xr:uid="{00000000-0005-0000-0000-00009E250000}"/>
    <cellStyle name="Comma 2 2 2 2 2 2 2 2 2 2 8 5 3 9" xfId="9634" xr:uid="{00000000-0005-0000-0000-00009F250000}"/>
    <cellStyle name="Comma 2 2 2 2 2 2 2 2 2 2 8 6" xfId="9635" xr:uid="{00000000-0005-0000-0000-0000A0250000}"/>
    <cellStyle name="Comma 2 2 2 2 2 2 2 2 2 2 8 6 2" xfId="9636" xr:uid="{00000000-0005-0000-0000-0000A1250000}"/>
    <cellStyle name="Comma 2 2 2 2 2 2 2 2 2 2 8 6 2 10" xfId="9637" xr:uid="{00000000-0005-0000-0000-0000A2250000}"/>
    <cellStyle name="Comma 2 2 2 2 2 2 2 2 2 2 8 6 2 11" xfId="9638" xr:uid="{00000000-0005-0000-0000-0000A3250000}"/>
    <cellStyle name="Comma 2 2 2 2 2 2 2 2 2 2 8 6 2 12" xfId="9639" xr:uid="{00000000-0005-0000-0000-0000A4250000}"/>
    <cellStyle name="Comma 2 2 2 2 2 2 2 2 2 2 8 6 2 2" xfId="9640" xr:uid="{00000000-0005-0000-0000-0000A5250000}"/>
    <cellStyle name="Comma 2 2 2 2 2 2 2 2 2 2 8 6 2 3" xfId="9641" xr:uid="{00000000-0005-0000-0000-0000A6250000}"/>
    <cellStyle name="Comma 2 2 2 2 2 2 2 2 2 2 8 6 2 4" xfId="9642" xr:uid="{00000000-0005-0000-0000-0000A7250000}"/>
    <cellStyle name="Comma 2 2 2 2 2 2 2 2 2 2 8 6 2 5" xfId="9643" xr:uid="{00000000-0005-0000-0000-0000A8250000}"/>
    <cellStyle name="Comma 2 2 2 2 2 2 2 2 2 2 8 6 2 6" xfId="9644" xr:uid="{00000000-0005-0000-0000-0000A9250000}"/>
    <cellStyle name="Comma 2 2 2 2 2 2 2 2 2 2 8 6 2 6 2" xfId="9645" xr:uid="{00000000-0005-0000-0000-0000AA250000}"/>
    <cellStyle name="Comma 2 2 2 2 2 2 2 2 2 2 8 6 2 7" xfId="9646" xr:uid="{00000000-0005-0000-0000-0000AB250000}"/>
    <cellStyle name="Comma 2 2 2 2 2 2 2 2 2 2 8 6 2 8" xfId="9647" xr:uid="{00000000-0005-0000-0000-0000AC250000}"/>
    <cellStyle name="Comma 2 2 2 2 2 2 2 2 2 2 8 6 2 9" xfId="9648" xr:uid="{00000000-0005-0000-0000-0000AD250000}"/>
    <cellStyle name="Comma 2 2 2 2 2 2 2 2 2 2 8 7" xfId="9649" xr:uid="{00000000-0005-0000-0000-0000AE250000}"/>
    <cellStyle name="Comma 2 2 2 2 2 2 2 2 2 2 8 7 10" xfId="9650" xr:uid="{00000000-0005-0000-0000-0000AF250000}"/>
    <cellStyle name="Comma 2 2 2 2 2 2 2 2 2 2 8 7 11" xfId="9651" xr:uid="{00000000-0005-0000-0000-0000B0250000}"/>
    <cellStyle name="Comma 2 2 2 2 2 2 2 2 2 2 8 7 12" xfId="9652" xr:uid="{00000000-0005-0000-0000-0000B1250000}"/>
    <cellStyle name="Comma 2 2 2 2 2 2 2 2 2 2 8 7 2" xfId="9653" xr:uid="{00000000-0005-0000-0000-0000B2250000}"/>
    <cellStyle name="Comma 2 2 2 2 2 2 2 2 2 2 8 7 3" xfId="9654" xr:uid="{00000000-0005-0000-0000-0000B3250000}"/>
    <cellStyle name="Comma 2 2 2 2 2 2 2 2 2 2 8 7 4" xfId="9655" xr:uid="{00000000-0005-0000-0000-0000B4250000}"/>
    <cellStyle name="Comma 2 2 2 2 2 2 2 2 2 2 8 7 5" xfId="9656" xr:uid="{00000000-0005-0000-0000-0000B5250000}"/>
    <cellStyle name="Comma 2 2 2 2 2 2 2 2 2 2 8 7 6" xfId="9657" xr:uid="{00000000-0005-0000-0000-0000B6250000}"/>
    <cellStyle name="Comma 2 2 2 2 2 2 2 2 2 2 8 7 6 2" xfId="9658" xr:uid="{00000000-0005-0000-0000-0000B7250000}"/>
    <cellStyle name="Comma 2 2 2 2 2 2 2 2 2 2 8 7 7" xfId="9659" xr:uid="{00000000-0005-0000-0000-0000B8250000}"/>
    <cellStyle name="Comma 2 2 2 2 2 2 2 2 2 2 8 7 8" xfId="9660" xr:uid="{00000000-0005-0000-0000-0000B9250000}"/>
    <cellStyle name="Comma 2 2 2 2 2 2 2 2 2 2 8 7 9" xfId="9661" xr:uid="{00000000-0005-0000-0000-0000BA250000}"/>
    <cellStyle name="Comma 2 2 2 2 2 2 2 2 2 2 8 8" xfId="9662" xr:uid="{00000000-0005-0000-0000-0000BB250000}"/>
    <cellStyle name="Comma 2 2 2 2 2 2 2 2 2 2 8 9" xfId="9663" xr:uid="{00000000-0005-0000-0000-0000BC250000}"/>
    <cellStyle name="Comma 2 2 2 2 2 2 2 2 2 2 9" xfId="9664" xr:uid="{00000000-0005-0000-0000-0000BD250000}"/>
    <cellStyle name="Comma 2 2 2 2 2 2 2 2 2 2 9 10" xfId="9665" xr:uid="{00000000-0005-0000-0000-0000BE250000}"/>
    <cellStyle name="Comma 2 2 2 2 2 2 2 2 2 2 9 11" xfId="9666" xr:uid="{00000000-0005-0000-0000-0000BF250000}"/>
    <cellStyle name="Comma 2 2 2 2 2 2 2 2 2 2 9 12" xfId="9667" xr:uid="{00000000-0005-0000-0000-0000C0250000}"/>
    <cellStyle name="Comma 2 2 2 2 2 2 2 2 2 2 9 13" xfId="9668" xr:uid="{00000000-0005-0000-0000-0000C1250000}"/>
    <cellStyle name="Comma 2 2 2 2 2 2 2 2 2 2 9 14" xfId="9669" xr:uid="{00000000-0005-0000-0000-0000C2250000}"/>
    <cellStyle name="Comma 2 2 2 2 2 2 2 2 2 2 9 14 2" xfId="9670" xr:uid="{00000000-0005-0000-0000-0000C3250000}"/>
    <cellStyle name="Comma 2 2 2 2 2 2 2 2 2 2 9 15" xfId="9671" xr:uid="{00000000-0005-0000-0000-0000C4250000}"/>
    <cellStyle name="Comma 2 2 2 2 2 2 2 2 2 2 9 15 2" xfId="9672" xr:uid="{00000000-0005-0000-0000-0000C5250000}"/>
    <cellStyle name="Comma 2 2 2 2 2 2 2 2 2 2 9 16" xfId="9673" xr:uid="{00000000-0005-0000-0000-0000C6250000}"/>
    <cellStyle name="Comma 2 2 2 2 2 2 2 2 2 2 9 17" xfId="9674" xr:uid="{00000000-0005-0000-0000-0000C7250000}"/>
    <cellStyle name="Comma 2 2 2 2 2 2 2 2 2 2 9 18" xfId="9675" xr:uid="{00000000-0005-0000-0000-0000C8250000}"/>
    <cellStyle name="Comma 2 2 2 2 2 2 2 2 2 2 9 19" xfId="9676" xr:uid="{00000000-0005-0000-0000-0000C9250000}"/>
    <cellStyle name="Comma 2 2 2 2 2 2 2 2 2 2 9 2" xfId="9677" xr:uid="{00000000-0005-0000-0000-0000CA250000}"/>
    <cellStyle name="Comma 2 2 2 2 2 2 2 2 2 2 9 2 2" xfId="9678" xr:uid="{00000000-0005-0000-0000-0000CB250000}"/>
    <cellStyle name="Comma 2 2 2 2 2 2 2 2 2 2 9 2 2 2" xfId="9679" xr:uid="{00000000-0005-0000-0000-0000CC250000}"/>
    <cellStyle name="Comma 2 2 2 2 2 2 2 2 2 2 9 2 2 3" xfId="9680" xr:uid="{00000000-0005-0000-0000-0000CD250000}"/>
    <cellStyle name="Comma 2 2 2 2 2 2 2 2 2 2 9 2 2 4" xfId="9681" xr:uid="{00000000-0005-0000-0000-0000CE250000}"/>
    <cellStyle name="Comma 2 2 2 2 2 2 2 2 2 2 9 2 2 5" xfId="9682" xr:uid="{00000000-0005-0000-0000-0000CF250000}"/>
    <cellStyle name="Comma 2 2 2 2 2 2 2 2 2 2 9 2 3" xfId="9683" xr:uid="{00000000-0005-0000-0000-0000D0250000}"/>
    <cellStyle name="Comma 2 2 2 2 2 2 2 2 2 2 9 2 3 2" xfId="9684" xr:uid="{00000000-0005-0000-0000-0000D1250000}"/>
    <cellStyle name="Comma 2 2 2 2 2 2 2 2 2 2 9 2 3 3" xfId="9685" xr:uid="{00000000-0005-0000-0000-0000D2250000}"/>
    <cellStyle name="Comma 2 2 2 2 2 2 2 2 2 2 9 2 3 4" xfId="9686" xr:uid="{00000000-0005-0000-0000-0000D3250000}"/>
    <cellStyle name="Comma 2 2 2 2 2 2 2 2 2 2 9 2 4" xfId="9687" xr:uid="{00000000-0005-0000-0000-0000D4250000}"/>
    <cellStyle name="Comma 2 2 2 2 2 2 2 2 2 2 9 2 4 2" xfId="9688" xr:uid="{00000000-0005-0000-0000-0000D5250000}"/>
    <cellStyle name="Comma 2 2 2 2 2 2 2 2 2 2 9 2 4 3" xfId="9689" xr:uid="{00000000-0005-0000-0000-0000D6250000}"/>
    <cellStyle name="Comma 2 2 2 2 2 2 2 2 2 2 9 20" xfId="9690" xr:uid="{00000000-0005-0000-0000-0000D7250000}"/>
    <cellStyle name="Comma 2 2 2 2 2 2 2 2 2 2 9 3" xfId="9691" xr:uid="{00000000-0005-0000-0000-0000D8250000}"/>
    <cellStyle name="Comma 2 2 2 2 2 2 2 2 2 2 9 3 2" xfId="9692" xr:uid="{00000000-0005-0000-0000-0000D9250000}"/>
    <cellStyle name="Comma 2 2 2 2 2 2 2 2 2 2 9 3 2 2" xfId="9693" xr:uid="{00000000-0005-0000-0000-0000DA250000}"/>
    <cellStyle name="Comma 2 2 2 2 2 2 2 2 2 2 9 3 2 3" xfId="9694" xr:uid="{00000000-0005-0000-0000-0000DB250000}"/>
    <cellStyle name="Comma 2 2 2 2 2 2 2 2 2 2 9 3 3" xfId="9695" xr:uid="{00000000-0005-0000-0000-0000DC250000}"/>
    <cellStyle name="Comma 2 2 2 2 2 2 2 2 2 2 9 3 3 2" xfId="9696" xr:uid="{00000000-0005-0000-0000-0000DD250000}"/>
    <cellStyle name="Comma 2 2 2 2 2 2 2 2 2 2 9 4" xfId="9697" xr:uid="{00000000-0005-0000-0000-0000DE250000}"/>
    <cellStyle name="Comma 2 2 2 2 2 2 2 2 2 2 9 5" xfId="9698" xr:uid="{00000000-0005-0000-0000-0000DF250000}"/>
    <cellStyle name="Comma 2 2 2 2 2 2 2 2 2 2 9 6" xfId="9699" xr:uid="{00000000-0005-0000-0000-0000E0250000}"/>
    <cellStyle name="Comma 2 2 2 2 2 2 2 2 2 2 9 6 2" xfId="9700" xr:uid="{00000000-0005-0000-0000-0000E1250000}"/>
    <cellStyle name="Comma 2 2 2 2 2 2 2 2 2 2 9 6 3" xfId="9701" xr:uid="{00000000-0005-0000-0000-0000E2250000}"/>
    <cellStyle name="Comma 2 2 2 2 2 2 2 2 2 2 9 7" xfId="9702" xr:uid="{00000000-0005-0000-0000-0000E3250000}"/>
    <cellStyle name="Comma 2 2 2 2 2 2 2 2 2 2 9 8" xfId="9703" xr:uid="{00000000-0005-0000-0000-0000E4250000}"/>
    <cellStyle name="Comma 2 2 2 2 2 2 2 2 2 2 9 9" xfId="9704" xr:uid="{00000000-0005-0000-0000-0000E5250000}"/>
    <cellStyle name="Comma 2 2 2 2 2 2 2 2 2 20" xfId="9705" xr:uid="{00000000-0005-0000-0000-0000E6250000}"/>
    <cellStyle name="Comma 2 2 2 2 2 2 2 2 2 21" xfId="9706" xr:uid="{00000000-0005-0000-0000-0000E7250000}"/>
    <cellStyle name="Comma 2 2 2 2 2 2 2 2 2 22" xfId="9707" xr:uid="{00000000-0005-0000-0000-0000E8250000}"/>
    <cellStyle name="Comma 2 2 2 2 2 2 2 2 2 23" xfId="9708" xr:uid="{00000000-0005-0000-0000-0000E9250000}"/>
    <cellStyle name="Comma 2 2 2 2 2 2 2 2 2 24" xfId="9709" xr:uid="{00000000-0005-0000-0000-0000EA250000}"/>
    <cellStyle name="Comma 2 2 2 2 2 2 2 2 2 25" xfId="9710" xr:uid="{00000000-0005-0000-0000-0000EB250000}"/>
    <cellStyle name="Comma 2 2 2 2 2 2 2 2 2 26" xfId="9711" xr:uid="{00000000-0005-0000-0000-0000EC250000}"/>
    <cellStyle name="Comma 2 2 2 2 2 2 2 2 2 27" xfId="9712" xr:uid="{00000000-0005-0000-0000-0000ED250000}"/>
    <cellStyle name="Comma 2 2 2 2 2 2 2 2 2 27 2" xfId="9713" xr:uid="{00000000-0005-0000-0000-0000EE250000}"/>
    <cellStyle name="Comma 2 2 2 2 2 2 2 2 2 27 3" xfId="9714" xr:uid="{00000000-0005-0000-0000-0000EF250000}"/>
    <cellStyle name="Comma 2 2 2 2 2 2 2 2 2 28" xfId="9715" xr:uid="{00000000-0005-0000-0000-0000F0250000}"/>
    <cellStyle name="Comma 2 2 2 2 2 2 2 2 2 29" xfId="9716" xr:uid="{00000000-0005-0000-0000-0000F1250000}"/>
    <cellStyle name="Comma 2 2 2 2 2 2 2 2 2 3" xfId="9717" xr:uid="{00000000-0005-0000-0000-0000F2250000}"/>
    <cellStyle name="Comma 2 2 2 2 2 2 2 2 2 3 2" xfId="9718" xr:uid="{00000000-0005-0000-0000-0000F3250000}"/>
    <cellStyle name="Comma 2 2 2 2 2 2 2 2 2 3 2 2" xfId="9719" xr:uid="{00000000-0005-0000-0000-0000F4250000}"/>
    <cellStyle name="Comma 2 2 2 2 2 2 2 2 2 30" xfId="9720" xr:uid="{00000000-0005-0000-0000-0000F5250000}"/>
    <cellStyle name="Comma 2 2 2 2 2 2 2 2 2 30 2" xfId="9721" xr:uid="{00000000-0005-0000-0000-0000F6250000}"/>
    <cellStyle name="Comma 2 2 2 2 2 2 2 2 2 31" xfId="9722" xr:uid="{00000000-0005-0000-0000-0000F7250000}"/>
    <cellStyle name="Comma 2 2 2 2 2 2 2 2 2 32" xfId="9723" xr:uid="{00000000-0005-0000-0000-0000F8250000}"/>
    <cellStyle name="Comma 2 2 2 2 2 2 2 2 2 33" xfId="9724" xr:uid="{00000000-0005-0000-0000-0000F9250000}"/>
    <cellStyle name="Comma 2 2 2 2 2 2 2 2 2 34" xfId="9725" xr:uid="{00000000-0005-0000-0000-0000FA250000}"/>
    <cellStyle name="Comma 2 2 2 2 2 2 2 2 2 35" xfId="9726" xr:uid="{00000000-0005-0000-0000-0000FB250000}"/>
    <cellStyle name="Comma 2 2 2 2 2 2 2 2 2 36" xfId="9727" xr:uid="{00000000-0005-0000-0000-0000FC250000}"/>
    <cellStyle name="Comma 2 2 2 2 2 2 2 2 2 37" xfId="9728" xr:uid="{00000000-0005-0000-0000-0000FD250000}"/>
    <cellStyle name="Comma 2 2 2 2 2 2 2 2 2 38" xfId="9729" xr:uid="{00000000-0005-0000-0000-0000FE250000}"/>
    <cellStyle name="Comma 2 2 2 2 2 2 2 2 2 4" xfId="9730" xr:uid="{00000000-0005-0000-0000-0000FF250000}"/>
    <cellStyle name="Comma 2 2 2 2 2 2 2 2 2 5" xfId="9731" xr:uid="{00000000-0005-0000-0000-000000260000}"/>
    <cellStyle name="Comma 2 2 2 2 2 2 2 2 2 6" xfId="9732" xr:uid="{00000000-0005-0000-0000-000001260000}"/>
    <cellStyle name="Comma 2 2 2 2 2 2 2 2 2 7" xfId="9733" xr:uid="{00000000-0005-0000-0000-000002260000}"/>
    <cellStyle name="Comma 2 2 2 2 2 2 2 2 2 8" xfId="9734" xr:uid="{00000000-0005-0000-0000-000003260000}"/>
    <cellStyle name="Comma 2 2 2 2 2 2 2 2 2 9" xfId="9735" xr:uid="{00000000-0005-0000-0000-000004260000}"/>
    <cellStyle name="Comma 2 2 2 2 2 2 2 2 2 9 10" xfId="9736" xr:uid="{00000000-0005-0000-0000-000005260000}"/>
    <cellStyle name="Comma 2 2 2 2 2 2 2 2 2 9 10 2" xfId="9737" xr:uid="{00000000-0005-0000-0000-000006260000}"/>
    <cellStyle name="Comma 2 2 2 2 2 2 2 2 2 9 10 3" xfId="9738" xr:uid="{00000000-0005-0000-0000-000007260000}"/>
    <cellStyle name="Comma 2 2 2 2 2 2 2 2 2 9 10 4" xfId="9739" xr:uid="{00000000-0005-0000-0000-000008260000}"/>
    <cellStyle name="Comma 2 2 2 2 2 2 2 2 2 9 10 5" xfId="9740" xr:uid="{00000000-0005-0000-0000-000009260000}"/>
    <cellStyle name="Comma 2 2 2 2 2 2 2 2 2 9 10 6" xfId="9741" xr:uid="{00000000-0005-0000-0000-00000A260000}"/>
    <cellStyle name="Comma 2 2 2 2 2 2 2 2 2 9 10 7" xfId="9742" xr:uid="{00000000-0005-0000-0000-00000B260000}"/>
    <cellStyle name="Comma 2 2 2 2 2 2 2 2 2 9 10 8" xfId="9743" xr:uid="{00000000-0005-0000-0000-00000C260000}"/>
    <cellStyle name="Comma 2 2 2 2 2 2 2 2 2 9 11" xfId="9744" xr:uid="{00000000-0005-0000-0000-00000D260000}"/>
    <cellStyle name="Comma 2 2 2 2 2 2 2 2 2 9 11 2" xfId="9745" xr:uid="{00000000-0005-0000-0000-00000E260000}"/>
    <cellStyle name="Comma 2 2 2 2 2 2 2 2 2 9 11 3" xfId="9746" xr:uid="{00000000-0005-0000-0000-00000F260000}"/>
    <cellStyle name="Comma 2 2 2 2 2 2 2 2 2 9 11 4" xfId="9747" xr:uid="{00000000-0005-0000-0000-000010260000}"/>
    <cellStyle name="Comma 2 2 2 2 2 2 2 2 2 9 11 5" xfId="9748" xr:uid="{00000000-0005-0000-0000-000011260000}"/>
    <cellStyle name="Comma 2 2 2 2 2 2 2 2 2 9 11 6" xfId="9749" xr:uid="{00000000-0005-0000-0000-000012260000}"/>
    <cellStyle name="Comma 2 2 2 2 2 2 2 2 2 9 11 7" xfId="9750" xr:uid="{00000000-0005-0000-0000-000013260000}"/>
    <cellStyle name="Comma 2 2 2 2 2 2 2 2 2 9 11 8" xfId="9751" xr:uid="{00000000-0005-0000-0000-000014260000}"/>
    <cellStyle name="Comma 2 2 2 2 2 2 2 2 2 9 12" xfId="9752" xr:uid="{00000000-0005-0000-0000-000015260000}"/>
    <cellStyle name="Comma 2 2 2 2 2 2 2 2 2 9 12 2" xfId="9753" xr:uid="{00000000-0005-0000-0000-000016260000}"/>
    <cellStyle name="Comma 2 2 2 2 2 2 2 2 2 9 12 3" xfId="9754" xr:uid="{00000000-0005-0000-0000-000017260000}"/>
    <cellStyle name="Comma 2 2 2 2 2 2 2 2 2 9 12 4" xfId="9755" xr:uid="{00000000-0005-0000-0000-000018260000}"/>
    <cellStyle name="Comma 2 2 2 2 2 2 2 2 2 9 12 5" xfId="9756" xr:uid="{00000000-0005-0000-0000-000019260000}"/>
    <cellStyle name="Comma 2 2 2 2 2 2 2 2 2 9 12 6" xfId="9757" xr:uid="{00000000-0005-0000-0000-00001A260000}"/>
    <cellStyle name="Comma 2 2 2 2 2 2 2 2 2 9 12 7" xfId="9758" xr:uid="{00000000-0005-0000-0000-00001B260000}"/>
    <cellStyle name="Comma 2 2 2 2 2 2 2 2 2 9 12 8" xfId="9759" xr:uid="{00000000-0005-0000-0000-00001C260000}"/>
    <cellStyle name="Comma 2 2 2 2 2 2 2 2 2 9 13" xfId="9760" xr:uid="{00000000-0005-0000-0000-00001D260000}"/>
    <cellStyle name="Comma 2 2 2 2 2 2 2 2 2 9 13 2" xfId="9761" xr:uid="{00000000-0005-0000-0000-00001E260000}"/>
    <cellStyle name="Comma 2 2 2 2 2 2 2 2 2 9 13 3" xfId="9762" xr:uid="{00000000-0005-0000-0000-00001F260000}"/>
    <cellStyle name="Comma 2 2 2 2 2 2 2 2 2 9 13 4" xfId="9763" xr:uid="{00000000-0005-0000-0000-000020260000}"/>
    <cellStyle name="Comma 2 2 2 2 2 2 2 2 2 9 13 5" xfId="9764" xr:uid="{00000000-0005-0000-0000-000021260000}"/>
    <cellStyle name="Comma 2 2 2 2 2 2 2 2 2 9 13 6" xfId="9765" xr:uid="{00000000-0005-0000-0000-000022260000}"/>
    <cellStyle name="Comma 2 2 2 2 2 2 2 2 2 9 13 7" xfId="9766" xr:uid="{00000000-0005-0000-0000-000023260000}"/>
    <cellStyle name="Comma 2 2 2 2 2 2 2 2 2 9 13 8" xfId="9767" xr:uid="{00000000-0005-0000-0000-000024260000}"/>
    <cellStyle name="Comma 2 2 2 2 2 2 2 2 2 9 14" xfId="9768" xr:uid="{00000000-0005-0000-0000-000025260000}"/>
    <cellStyle name="Comma 2 2 2 2 2 2 2 2 2 9 14 2" xfId="9769" xr:uid="{00000000-0005-0000-0000-000026260000}"/>
    <cellStyle name="Comma 2 2 2 2 2 2 2 2 2 9 2" xfId="9770" xr:uid="{00000000-0005-0000-0000-000027260000}"/>
    <cellStyle name="Comma 2 2 2 2 2 2 2 2 2 9 2 10" xfId="9771" xr:uid="{00000000-0005-0000-0000-000028260000}"/>
    <cellStyle name="Comma 2 2 2 2 2 2 2 2 2 9 2 11" xfId="9772" xr:uid="{00000000-0005-0000-0000-000029260000}"/>
    <cellStyle name="Comma 2 2 2 2 2 2 2 2 2 9 2 12" xfId="9773" xr:uid="{00000000-0005-0000-0000-00002A260000}"/>
    <cellStyle name="Comma 2 2 2 2 2 2 2 2 2 9 2 12 2" xfId="9774" xr:uid="{00000000-0005-0000-0000-00002B260000}"/>
    <cellStyle name="Comma 2 2 2 2 2 2 2 2 2 9 2 13" xfId="9775" xr:uid="{00000000-0005-0000-0000-00002C260000}"/>
    <cellStyle name="Comma 2 2 2 2 2 2 2 2 2 9 2 14" xfId="9776" xr:uid="{00000000-0005-0000-0000-00002D260000}"/>
    <cellStyle name="Comma 2 2 2 2 2 2 2 2 2 9 2 15" xfId="9777" xr:uid="{00000000-0005-0000-0000-00002E260000}"/>
    <cellStyle name="Comma 2 2 2 2 2 2 2 2 2 9 2 16" xfId="9778" xr:uid="{00000000-0005-0000-0000-00002F260000}"/>
    <cellStyle name="Comma 2 2 2 2 2 2 2 2 2 9 2 17" xfId="9779" xr:uid="{00000000-0005-0000-0000-000030260000}"/>
    <cellStyle name="Comma 2 2 2 2 2 2 2 2 2 9 2 18" xfId="9780" xr:uid="{00000000-0005-0000-0000-000031260000}"/>
    <cellStyle name="Comma 2 2 2 2 2 2 2 2 2 9 2 2" xfId="9781" xr:uid="{00000000-0005-0000-0000-000032260000}"/>
    <cellStyle name="Comma 2 2 2 2 2 2 2 2 2 9 2 2 2" xfId="9782" xr:uid="{00000000-0005-0000-0000-000033260000}"/>
    <cellStyle name="Comma 2 2 2 2 2 2 2 2 2 9 2 2 3" xfId="9783" xr:uid="{00000000-0005-0000-0000-000034260000}"/>
    <cellStyle name="Comma 2 2 2 2 2 2 2 2 2 9 2 2 4" xfId="9784" xr:uid="{00000000-0005-0000-0000-000035260000}"/>
    <cellStyle name="Comma 2 2 2 2 2 2 2 2 2 9 2 3" xfId="9785" xr:uid="{00000000-0005-0000-0000-000036260000}"/>
    <cellStyle name="Comma 2 2 2 2 2 2 2 2 2 9 2 4" xfId="9786" xr:uid="{00000000-0005-0000-0000-000037260000}"/>
    <cellStyle name="Comma 2 2 2 2 2 2 2 2 2 9 2 5" xfId="9787" xr:uid="{00000000-0005-0000-0000-000038260000}"/>
    <cellStyle name="Comma 2 2 2 2 2 2 2 2 2 9 2 6" xfId="9788" xr:uid="{00000000-0005-0000-0000-000039260000}"/>
    <cellStyle name="Comma 2 2 2 2 2 2 2 2 2 9 2 7" xfId="9789" xr:uid="{00000000-0005-0000-0000-00003A260000}"/>
    <cellStyle name="Comma 2 2 2 2 2 2 2 2 2 9 2 8" xfId="9790" xr:uid="{00000000-0005-0000-0000-00003B260000}"/>
    <cellStyle name="Comma 2 2 2 2 2 2 2 2 2 9 2 9" xfId="9791" xr:uid="{00000000-0005-0000-0000-00003C260000}"/>
    <cellStyle name="Comma 2 2 2 2 2 2 2 2 2 9 3" xfId="9792" xr:uid="{00000000-0005-0000-0000-00003D260000}"/>
    <cellStyle name="Comma 2 2 2 2 2 2 2 2 2 9 3 10" xfId="9793" xr:uid="{00000000-0005-0000-0000-00003E260000}"/>
    <cellStyle name="Comma 2 2 2 2 2 2 2 2 2 9 3 10 2" xfId="9794" xr:uid="{00000000-0005-0000-0000-00003F260000}"/>
    <cellStyle name="Comma 2 2 2 2 2 2 2 2 2 9 3 11" xfId="9795" xr:uid="{00000000-0005-0000-0000-000040260000}"/>
    <cellStyle name="Comma 2 2 2 2 2 2 2 2 2 9 3 12" xfId="9796" xr:uid="{00000000-0005-0000-0000-000041260000}"/>
    <cellStyle name="Comma 2 2 2 2 2 2 2 2 2 9 3 13" xfId="9797" xr:uid="{00000000-0005-0000-0000-000042260000}"/>
    <cellStyle name="Comma 2 2 2 2 2 2 2 2 2 9 3 14" xfId="9798" xr:uid="{00000000-0005-0000-0000-000043260000}"/>
    <cellStyle name="Comma 2 2 2 2 2 2 2 2 2 9 3 15" xfId="9799" xr:uid="{00000000-0005-0000-0000-000044260000}"/>
    <cellStyle name="Comma 2 2 2 2 2 2 2 2 2 9 3 16" xfId="9800" xr:uid="{00000000-0005-0000-0000-000045260000}"/>
    <cellStyle name="Comma 2 2 2 2 2 2 2 2 2 9 3 2" xfId="9801" xr:uid="{00000000-0005-0000-0000-000046260000}"/>
    <cellStyle name="Comma 2 2 2 2 2 2 2 2 2 9 3 2 2" xfId="9802" xr:uid="{00000000-0005-0000-0000-000047260000}"/>
    <cellStyle name="Comma 2 2 2 2 2 2 2 2 2 9 3 2 2 2" xfId="9803" xr:uid="{00000000-0005-0000-0000-000048260000}"/>
    <cellStyle name="Comma 2 2 2 2 2 2 2 2 2 9 3 2 2 3" xfId="9804" xr:uid="{00000000-0005-0000-0000-000049260000}"/>
    <cellStyle name="Comma 2 2 2 2 2 2 2 2 2 9 3 3" xfId="9805" xr:uid="{00000000-0005-0000-0000-00004A260000}"/>
    <cellStyle name="Comma 2 2 2 2 2 2 2 2 2 9 3 4" xfId="9806" xr:uid="{00000000-0005-0000-0000-00004B260000}"/>
    <cellStyle name="Comma 2 2 2 2 2 2 2 2 2 9 3 5" xfId="9807" xr:uid="{00000000-0005-0000-0000-00004C260000}"/>
    <cellStyle name="Comma 2 2 2 2 2 2 2 2 2 9 3 6" xfId="9808" xr:uid="{00000000-0005-0000-0000-00004D260000}"/>
    <cellStyle name="Comma 2 2 2 2 2 2 2 2 2 9 3 7" xfId="9809" xr:uid="{00000000-0005-0000-0000-00004E260000}"/>
    <cellStyle name="Comma 2 2 2 2 2 2 2 2 2 9 3 8" xfId="9810" xr:uid="{00000000-0005-0000-0000-00004F260000}"/>
    <cellStyle name="Comma 2 2 2 2 2 2 2 2 2 9 3 9" xfId="9811" xr:uid="{00000000-0005-0000-0000-000050260000}"/>
    <cellStyle name="Comma 2 2 2 2 2 2 2 2 2 9 4" xfId="9812" xr:uid="{00000000-0005-0000-0000-000051260000}"/>
    <cellStyle name="Comma 2 2 2 2 2 2 2 2 2 9 4 10" xfId="9813" xr:uid="{00000000-0005-0000-0000-000052260000}"/>
    <cellStyle name="Comma 2 2 2 2 2 2 2 2 2 9 4 11" xfId="9814" xr:uid="{00000000-0005-0000-0000-000053260000}"/>
    <cellStyle name="Comma 2 2 2 2 2 2 2 2 2 9 4 12" xfId="9815" xr:uid="{00000000-0005-0000-0000-000054260000}"/>
    <cellStyle name="Comma 2 2 2 2 2 2 2 2 2 9 4 13" xfId="9816" xr:uid="{00000000-0005-0000-0000-000055260000}"/>
    <cellStyle name="Comma 2 2 2 2 2 2 2 2 2 9 4 14" xfId="9817" xr:uid="{00000000-0005-0000-0000-000056260000}"/>
    <cellStyle name="Comma 2 2 2 2 2 2 2 2 2 9 4 15" xfId="9818" xr:uid="{00000000-0005-0000-0000-000057260000}"/>
    <cellStyle name="Comma 2 2 2 2 2 2 2 2 2 9 4 2" xfId="9819" xr:uid="{00000000-0005-0000-0000-000058260000}"/>
    <cellStyle name="Comma 2 2 2 2 2 2 2 2 2 9 4 3" xfId="9820" xr:uid="{00000000-0005-0000-0000-000059260000}"/>
    <cellStyle name="Comma 2 2 2 2 2 2 2 2 2 9 4 4" xfId="9821" xr:uid="{00000000-0005-0000-0000-00005A260000}"/>
    <cellStyle name="Comma 2 2 2 2 2 2 2 2 2 9 4 5" xfId="9822" xr:uid="{00000000-0005-0000-0000-00005B260000}"/>
    <cellStyle name="Comma 2 2 2 2 2 2 2 2 2 9 4 6" xfId="9823" xr:uid="{00000000-0005-0000-0000-00005C260000}"/>
    <cellStyle name="Comma 2 2 2 2 2 2 2 2 2 9 4 7" xfId="9824" xr:uid="{00000000-0005-0000-0000-00005D260000}"/>
    <cellStyle name="Comma 2 2 2 2 2 2 2 2 2 9 4 8" xfId="9825" xr:uid="{00000000-0005-0000-0000-00005E260000}"/>
    <cellStyle name="Comma 2 2 2 2 2 2 2 2 2 9 4 9" xfId="9826" xr:uid="{00000000-0005-0000-0000-00005F260000}"/>
    <cellStyle name="Comma 2 2 2 2 2 2 2 2 2 9 4 9 2" xfId="9827" xr:uid="{00000000-0005-0000-0000-000060260000}"/>
    <cellStyle name="Comma 2 2 2 2 2 2 2 2 2 9 5" xfId="9828" xr:uid="{00000000-0005-0000-0000-000061260000}"/>
    <cellStyle name="Comma 2 2 2 2 2 2 2 2 2 9 5 10" xfId="9829" xr:uid="{00000000-0005-0000-0000-000062260000}"/>
    <cellStyle name="Comma 2 2 2 2 2 2 2 2 2 9 5 11" xfId="9830" xr:uid="{00000000-0005-0000-0000-000063260000}"/>
    <cellStyle name="Comma 2 2 2 2 2 2 2 2 2 9 5 12" xfId="9831" xr:uid="{00000000-0005-0000-0000-000064260000}"/>
    <cellStyle name="Comma 2 2 2 2 2 2 2 2 2 9 5 13" xfId="9832" xr:uid="{00000000-0005-0000-0000-000065260000}"/>
    <cellStyle name="Comma 2 2 2 2 2 2 2 2 2 9 5 14" xfId="9833" xr:uid="{00000000-0005-0000-0000-000066260000}"/>
    <cellStyle name="Comma 2 2 2 2 2 2 2 2 2 9 5 2" xfId="9834" xr:uid="{00000000-0005-0000-0000-000067260000}"/>
    <cellStyle name="Comma 2 2 2 2 2 2 2 2 2 9 5 3" xfId="9835" xr:uid="{00000000-0005-0000-0000-000068260000}"/>
    <cellStyle name="Comma 2 2 2 2 2 2 2 2 2 9 5 4" xfId="9836" xr:uid="{00000000-0005-0000-0000-000069260000}"/>
    <cellStyle name="Comma 2 2 2 2 2 2 2 2 2 9 5 5" xfId="9837" xr:uid="{00000000-0005-0000-0000-00006A260000}"/>
    <cellStyle name="Comma 2 2 2 2 2 2 2 2 2 9 5 6" xfId="9838" xr:uid="{00000000-0005-0000-0000-00006B260000}"/>
    <cellStyle name="Comma 2 2 2 2 2 2 2 2 2 9 5 7" xfId="9839" xr:uid="{00000000-0005-0000-0000-00006C260000}"/>
    <cellStyle name="Comma 2 2 2 2 2 2 2 2 2 9 5 8" xfId="9840" xr:uid="{00000000-0005-0000-0000-00006D260000}"/>
    <cellStyle name="Comma 2 2 2 2 2 2 2 2 2 9 5 8 2" xfId="9841" xr:uid="{00000000-0005-0000-0000-00006E260000}"/>
    <cellStyle name="Comma 2 2 2 2 2 2 2 2 2 9 5 9" xfId="9842" xr:uid="{00000000-0005-0000-0000-00006F260000}"/>
    <cellStyle name="Comma 2 2 2 2 2 2 2 2 2 9 6" xfId="9843" xr:uid="{00000000-0005-0000-0000-000070260000}"/>
    <cellStyle name="Comma 2 2 2 2 2 2 2 2 2 9 6 10" xfId="9844" xr:uid="{00000000-0005-0000-0000-000071260000}"/>
    <cellStyle name="Comma 2 2 2 2 2 2 2 2 2 9 6 11" xfId="9845" xr:uid="{00000000-0005-0000-0000-000072260000}"/>
    <cellStyle name="Comma 2 2 2 2 2 2 2 2 2 9 6 12" xfId="9846" xr:uid="{00000000-0005-0000-0000-000073260000}"/>
    <cellStyle name="Comma 2 2 2 2 2 2 2 2 2 9 6 13" xfId="9847" xr:uid="{00000000-0005-0000-0000-000074260000}"/>
    <cellStyle name="Comma 2 2 2 2 2 2 2 2 2 9 6 2" xfId="9848" xr:uid="{00000000-0005-0000-0000-000075260000}"/>
    <cellStyle name="Comma 2 2 2 2 2 2 2 2 2 9 6 3" xfId="9849" xr:uid="{00000000-0005-0000-0000-000076260000}"/>
    <cellStyle name="Comma 2 2 2 2 2 2 2 2 2 9 6 4" xfId="9850" xr:uid="{00000000-0005-0000-0000-000077260000}"/>
    <cellStyle name="Comma 2 2 2 2 2 2 2 2 2 9 6 5" xfId="9851" xr:uid="{00000000-0005-0000-0000-000078260000}"/>
    <cellStyle name="Comma 2 2 2 2 2 2 2 2 2 9 6 6" xfId="9852" xr:uid="{00000000-0005-0000-0000-000079260000}"/>
    <cellStyle name="Comma 2 2 2 2 2 2 2 2 2 9 6 7" xfId="9853" xr:uid="{00000000-0005-0000-0000-00007A260000}"/>
    <cellStyle name="Comma 2 2 2 2 2 2 2 2 2 9 6 7 2" xfId="9854" xr:uid="{00000000-0005-0000-0000-00007B260000}"/>
    <cellStyle name="Comma 2 2 2 2 2 2 2 2 2 9 6 8" xfId="9855" xr:uid="{00000000-0005-0000-0000-00007C260000}"/>
    <cellStyle name="Comma 2 2 2 2 2 2 2 2 2 9 6 9" xfId="9856" xr:uid="{00000000-0005-0000-0000-00007D260000}"/>
    <cellStyle name="Comma 2 2 2 2 2 2 2 2 2 9 7" xfId="9857" xr:uid="{00000000-0005-0000-0000-00007E260000}"/>
    <cellStyle name="Comma 2 2 2 2 2 2 2 2 2 9 8" xfId="9858" xr:uid="{00000000-0005-0000-0000-00007F260000}"/>
    <cellStyle name="Comma 2 2 2 2 2 2 2 2 2 9 9" xfId="9859" xr:uid="{00000000-0005-0000-0000-000080260000}"/>
    <cellStyle name="Comma 2 2 2 2 2 2 2 2 2 9 9 2" xfId="9860" xr:uid="{00000000-0005-0000-0000-000081260000}"/>
    <cellStyle name="Comma 2 2 2 2 2 2 2 2 2 9 9 3" xfId="9861" xr:uid="{00000000-0005-0000-0000-000082260000}"/>
    <cellStyle name="Comma 2 2 2 2 2 2 2 2 2 9 9 4" xfId="9862" xr:uid="{00000000-0005-0000-0000-000083260000}"/>
    <cellStyle name="Comma 2 2 2 2 2 2 2 2 2 9 9 5" xfId="9863" xr:uid="{00000000-0005-0000-0000-000084260000}"/>
    <cellStyle name="Comma 2 2 2 2 2 2 2 2 2 9 9 6" xfId="9864" xr:uid="{00000000-0005-0000-0000-000085260000}"/>
    <cellStyle name="Comma 2 2 2 2 2 2 2 2 2 9 9 7" xfId="9865" xr:uid="{00000000-0005-0000-0000-000086260000}"/>
    <cellStyle name="Comma 2 2 2 2 2 2 2 2 2 9 9 8" xfId="9866" xr:uid="{00000000-0005-0000-0000-000087260000}"/>
    <cellStyle name="Comma 2 2 2 2 2 2 2 2 20" xfId="9867" xr:uid="{00000000-0005-0000-0000-000088260000}"/>
    <cellStyle name="Comma 2 2 2 2 2 2 2 2 20 2" xfId="9868" xr:uid="{00000000-0005-0000-0000-000089260000}"/>
    <cellStyle name="Comma 2 2 2 2 2 2 2 2 20 3" xfId="9869" xr:uid="{00000000-0005-0000-0000-00008A260000}"/>
    <cellStyle name="Comma 2 2 2 2 2 2 2 2 20 4" xfId="9870" xr:uid="{00000000-0005-0000-0000-00008B260000}"/>
    <cellStyle name="Comma 2 2 2 2 2 2 2 2 20 5" xfId="9871" xr:uid="{00000000-0005-0000-0000-00008C260000}"/>
    <cellStyle name="Comma 2 2 2 2 2 2 2 2 20 6" xfId="9872" xr:uid="{00000000-0005-0000-0000-00008D260000}"/>
    <cellStyle name="Comma 2 2 2 2 2 2 2 2 20 7" xfId="9873" xr:uid="{00000000-0005-0000-0000-00008E260000}"/>
    <cellStyle name="Comma 2 2 2 2 2 2 2 2 20 8" xfId="9874" xr:uid="{00000000-0005-0000-0000-00008F260000}"/>
    <cellStyle name="Comma 2 2 2 2 2 2 2 2 21" xfId="9875" xr:uid="{00000000-0005-0000-0000-000090260000}"/>
    <cellStyle name="Comma 2 2 2 2 2 2 2 2 21 2" xfId="9876" xr:uid="{00000000-0005-0000-0000-000091260000}"/>
    <cellStyle name="Comma 2 2 2 2 2 2 2 2 21 3" xfId="9877" xr:uid="{00000000-0005-0000-0000-000092260000}"/>
    <cellStyle name="Comma 2 2 2 2 2 2 2 2 21 4" xfId="9878" xr:uid="{00000000-0005-0000-0000-000093260000}"/>
    <cellStyle name="Comma 2 2 2 2 2 2 2 2 21 5" xfId="9879" xr:uid="{00000000-0005-0000-0000-000094260000}"/>
    <cellStyle name="Comma 2 2 2 2 2 2 2 2 21 6" xfId="9880" xr:uid="{00000000-0005-0000-0000-000095260000}"/>
    <cellStyle name="Comma 2 2 2 2 2 2 2 2 21 7" xfId="9881" xr:uid="{00000000-0005-0000-0000-000096260000}"/>
    <cellStyle name="Comma 2 2 2 2 2 2 2 2 21 8" xfId="9882" xr:uid="{00000000-0005-0000-0000-000097260000}"/>
    <cellStyle name="Comma 2 2 2 2 2 2 2 2 22" xfId="9883" xr:uid="{00000000-0005-0000-0000-000098260000}"/>
    <cellStyle name="Comma 2 2 2 2 2 2 2 2 22 2" xfId="9884" xr:uid="{00000000-0005-0000-0000-000099260000}"/>
    <cellStyle name="Comma 2 2 2 2 2 2 2 2 22 3" xfId="9885" xr:uid="{00000000-0005-0000-0000-00009A260000}"/>
    <cellStyle name="Comma 2 2 2 2 2 2 2 2 22 4" xfId="9886" xr:uid="{00000000-0005-0000-0000-00009B260000}"/>
    <cellStyle name="Comma 2 2 2 2 2 2 2 2 22 5" xfId="9887" xr:uid="{00000000-0005-0000-0000-00009C260000}"/>
    <cellStyle name="Comma 2 2 2 2 2 2 2 2 22 6" xfId="9888" xr:uid="{00000000-0005-0000-0000-00009D260000}"/>
    <cellStyle name="Comma 2 2 2 2 2 2 2 2 22 7" xfId="9889" xr:uid="{00000000-0005-0000-0000-00009E260000}"/>
    <cellStyle name="Comma 2 2 2 2 2 2 2 2 22 8" xfId="9890" xr:uid="{00000000-0005-0000-0000-00009F260000}"/>
    <cellStyle name="Comma 2 2 2 2 2 2 2 2 23" xfId="9891" xr:uid="{00000000-0005-0000-0000-0000A0260000}"/>
    <cellStyle name="Comma 2 2 2 2 2 2 2 2 23 2" xfId="9892" xr:uid="{00000000-0005-0000-0000-0000A1260000}"/>
    <cellStyle name="Comma 2 2 2 2 2 2 2 2 24" xfId="9893" xr:uid="{00000000-0005-0000-0000-0000A2260000}"/>
    <cellStyle name="Comma 2 2 2 2 2 2 2 2 3" xfId="9894" xr:uid="{00000000-0005-0000-0000-0000A3260000}"/>
    <cellStyle name="Comma 2 2 2 2 2 2 2 2 3 10" xfId="9895" xr:uid="{00000000-0005-0000-0000-0000A4260000}"/>
    <cellStyle name="Comma 2 2 2 2 2 2 2 2 3 10 2" xfId="9896" xr:uid="{00000000-0005-0000-0000-0000A5260000}"/>
    <cellStyle name="Comma 2 2 2 2 2 2 2 2 3 10 3" xfId="9897" xr:uid="{00000000-0005-0000-0000-0000A6260000}"/>
    <cellStyle name="Comma 2 2 2 2 2 2 2 2 3 10 4" xfId="9898" xr:uid="{00000000-0005-0000-0000-0000A7260000}"/>
    <cellStyle name="Comma 2 2 2 2 2 2 2 2 3 10 5" xfId="9899" xr:uid="{00000000-0005-0000-0000-0000A8260000}"/>
    <cellStyle name="Comma 2 2 2 2 2 2 2 2 3 10 6" xfId="9900" xr:uid="{00000000-0005-0000-0000-0000A9260000}"/>
    <cellStyle name="Comma 2 2 2 2 2 2 2 2 3 10 7" xfId="9901" xr:uid="{00000000-0005-0000-0000-0000AA260000}"/>
    <cellStyle name="Comma 2 2 2 2 2 2 2 2 3 10 8" xfId="9902" xr:uid="{00000000-0005-0000-0000-0000AB260000}"/>
    <cellStyle name="Comma 2 2 2 2 2 2 2 2 3 11" xfId="9903" xr:uid="{00000000-0005-0000-0000-0000AC260000}"/>
    <cellStyle name="Comma 2 2 2 2 2 2 2 2 3 11 2" xfId="9904" xr:uid="{00000000-0005-0000-0000-0000AD260000}"/>
    <cellStyle name="Comma 2 2 2 2 2 2 2 2 3 11 3" xfId="9905" xr:uid="{00000000-0005-0000-0000-0000AE260000}"/>
    <cellStyle name="Comma 2 2 2 2 2 2 2 2 3 11 4" xfId="9906" xr:uid="{00000000-0005-0000-0000-0000AF260000}"/>
    <cellStyle name="Comma 2 2 2 2 2 2 2 2 3 11 5" xfId="9907" xr:uid="{00000000-0005-0000-0000-0000B0260000}"/>
    <cellStyle name="Comma 2 2 2 2 2 2 2 2 3 11 6" xfId="9908" xr:uid="{00000000-0005-0000-0000-0000B1260000}"/>
    <cellStyle name="Comma 2 2 2 2 2 2 2 2 3 11 7" xfId="9909" xr:uid="{00000000-0005-0000-0000-0000B2260000}"/>
    <cellStyle name="Comma 2 2 2 2 2 2 2 2 3 11 8" xfId="9910" xr:uid="{00000000-0005-0000-0000-0000B3260000}"/>
    <cellStyle name="Comma 2 2 2 2 2 2 2 2 3 12" xfId="9911" xr:uid="{00000000-0005-0000-0000-0000B4260000}"/>
    <cellStyle name="Comma 2 2 2 2 2 2 2 2 3 12 2" xfId="9912" xr:uid="{00000000-0005-0000-0000-0000B5260000}"/>
    <cellStyle name="Comma 2 2 2 2 2 2 2 2 3 12 3" xfId="9913" xr:uid="{00000000-0005-0000-0000-0000B6260000}"/>
    <cellStyle name="Comma 2 2 2 2 2 2 2 2 3 12 4" xfId="9914" xr:uid="{00000000-0005-0000-0000-0000B7260000}"/>
    <cellStyle name="Comma 2 2 2 2 2 2 2 2 3 12 5" xfId="9915" xr:uid="{00000000-0005-0000-0000-0000B8260000}"/>
    <cellStyle name="Comma 2 2 2 2 2 2 2 2 3 12 6" xfId="9916" xr:uid="{00000000-0005-0000-0000-0000B9260000}"/>
    <cellStyle name="Comma 2 2 2 2 2 2 2 2 3 12 7" xfId="9917" xr:uid="{00000000-0005-0000-0000-0000BA260000}"/>
    <cellStyle name="Comma 2 2 2 2 2 2 2 2 3 12 8" xfId="9918" xr:uid="{00000000-0005-0000-0000-0000BB260000}"/>
    <cellStyle name="Comma 2 2 2 2 2 2 2 2 3 13" xfId="9919" xr:uid="{00000000-0005-0000-0000-0000BC260000}"/>
    <cellStyle name="Comma 2 2 2 2 2 2 2 2 3 13 2" xfId="9920" xr:uid="{00000000-0005-0000-0000-0000BD260000}"/>
    <cellStyle name="Comma 2 2 2 2 2 2 2 2 3 13 3" xfId="9921" xr:uid="{00000000-0005-0000-0000-0000BE260000}"/>
    <cellStyle name="Comma 2 2 2 2 2 2 2 2 3 13 4" xfId="9922" xr:uid="{00000000-0005-0000-0000-0000BF260000}"/>
    <cellStyle name="Comma 2 2 2 2 2 2 2 2 3 13 5" xfId="9923" xr:uid="{00000000-0005-0000-0000-0000C0260000}"/>
    <cellStyle name="Comma 2 2 2 2 2 2 2 2 3 13 6" xfId="9924" xr:uid="{00000000-0005-0000-0000-0000C1260000}"/>
    <cellStyle name="Comma 2 2 2 2 2 2 2 2 3 13 7" xfId="9925" xr:uid="{00000000-0005-0000-0000-0000C2260000}"/>
    <cellStyle name="Comma 2 2 2 2 2 2 2 2 3 13 8" xfId="9926" xr:uid="{00000000-0005-0000-0000-0000C3260000}"/>
    <cellStyle name="Comma 2 2 2 2 2 2 2 2 3 14" xfId="9927" xr:uid="{00000000-0005-0000-0000-0000C4260000}"/>
    <cellStyle name="Comma 2 2 2 2 2 2 2 2 3 14 2" xfId="9928" xr:uid="{00000000-0005-0000-0000-0000C5260000}"/>
    <cellStyle name="Comma 2 2 2 2 2 2 2 2 3 14 3" xfId="9929" xr:uid="{00000000-0005-0000-0000-0000C6260000}"/>
    <cellStyle name="Comma 2 2 2 2 2 2 2 2 3 15" xfId="9930" xr:uid="{00000000-0005-0000-0000-0000C7260000}"/>
    <cellStyle name="Comma 2 2 2 2 2 2 2 2 3 16" xfId="9931" xr:uid="{00000000-0005-0000-0000-0000C8260000}"/>
    <cellStyle name="Comma 2 2 2 2 2 2 2 2 3 16 2" xfId="9932" xr:uid="{00000000-0005-0000-0000-0000C9260000}"/>
    <cellStyle name="Comma 2 2 2 2 2 2 2 2 3 17" xfId="9933" xr:uid="{00000000-0005-0000-0000-0000CA260000}"/>
    <cellStyle name="Comma 2 2 2 2 2 2 2 2 3 17 2" xfId="9934" xr:uid="{00000000-0005-0000-0000-0000CB260000}"/>
    <cellStyle name="Comma 2 2 2 2 2 2 2 2 3 18" xfId="9935" xr:uid="{00000000-0005-0000-0000-0000CC260000}"/>
    <cellStyle name="Comma 2 2 2 2 2 2 2 2 3 19" xfId="9936" xr:uid="{00000000-0005-0000-0000-0000CD260000}"/>
    <cellStyle name="Comma 2 2 2 2 2 2 2 2 3 2" xfId="9937" xr:uid="{00000000-0005-0000-0000-0000CE260000}"/>
    <cellStyle name="Comma 2 2 2 2 2 2 2 2 3 2 2" xfId="9938" xr:uid="{00000000-0005-0000-0000-0000CF260000}"/>
    <cellStyle name="Comma 2 2 2 2 2 2 2 2 3 2 2 2" xfId="9939" xr:uid="{00000000-0005-0000-0000-0000D0260000}"/>
    <cellStyle name="Comma 2 2 2 2 2 2 2 2 3 2 2 2 2" xfId="9940" xr:uid="{00000000-0005-0000-0000-0000D1260000}"/>
    <cellStyle name="Comma 2 2 2 2 2 2 2 2 3 2 2 2 3" xfId="9941" xr:uid="{00000000-0005-0000-0000-0000D2260000}"/>
    <cellStyle name="Comma 2 2 2 2 2 2 2 2 3 2 2 3" xfId="9942" xr:uid="{00000000-0005-0000-0000-0000D3260000}"/>
    <cellStyle name="Comma 2 2 2 2 2 2 2 2 3 2 3" xfId="9943" xr:uid="{00000000-0005-0000-0000-0000D4260000}"/>
    <cellStyle name="Comma 2 2 2 2 2 2 2 2 3 2 4" xfId="9944" xr:uid="{00000000-0005-0000-0000-0000D5260000}"/>
    <cellStyle name="Comma 2 2 2 2 2 2 2 2 3 2 5" xfId="9945" xr:uid="{00000000-0005-0000-0000-0000D6260000}"/>
    <cellStyle name="Comma 2 2 2 2 2 2 2 2 3 20" xfId="9946" xr:uid="{00000000-0005-0000-0000-0000D7260000}"/>
    <cellStyle name="Comma 2 2 2 2 2 2 2 2 3 21" xfId="9947" xr:uid="{00000000-0005-0000-0000-0000D8260000}"/>
    <cellStyle name="Comma 2 2 2 2 2 2 2 2 3 22" xfId="9948" xr:uid="{00000000-0005-0000-0000-0000D9260000}"/>
    <cellStyle name="Comma 2 2 2 2 2 2 2 2 3 23" xfId="9949" xr:uid="{00000000-0005-0000-0000-0000DA260000}"/>
    <cellStyle name="Comma 2 2 2 2 2 2 2 2 3 24" xfId="9950" xr:uid="{00000000-0005-0000-0000-0000DB260000}"/>
    <cellStyle name="Comma 2 2 2 2 2 2 2 2 3 25" xfId="9951" xr:uid="{00000000-0005-0000-0000-0000DC260000}"/>
    <cellStyle name="Comma 2 2 2 2 2 2 2 2 3 3" xfId="9952" xr:uid="{00000000-0005-0000-0000-0000DD260000}"/>
    <cellStyle name="Comma 2 2 2 2 2 2 2 2 3 3 2" xfId="9953" xr:uid="{00000000-0005-0000-0000-0000DE260000}"/>
    <cellStyle name="Comma 2 2 2 2 2 2 2 2 3 3 3" xfId="9954" xr:uid="{00000000-0005-0000-0000-0000DF260000}"/>
    <cellStyle name="Comma 2 2 2 2 2 2 2 2 3 4" xfId="9955" xr:uid="{00000000-0005-0000-0000-0000E0260000}"/>
    <cellStyle name="Comma 2 2 2 2 2 2 2 2 3 4 2" xfId="9956" xr:uid="{00000000-0005-0000-0000-0000E1260000}"/>
    <cellStyle name="Comma 2 2 2 2 2 2 2 2 3 5" xfId="9957" xr:uid="{00000000-0005-0000-0000-0000E2260000}"/>
    <cellStyle name="Comma 2 2 2 2 2 2 2 2 3 5 2" xfId="9958" xr:uid="{00000000-0005-0000-0000-0000E3260000}"/>
    <cellStyle name="Comma 2 2 2 2 2 2 2 2 3 5 3" xfId="9959" xr:uid="{00000000-0005-0000-0000-0000E4260000}"/>
    <cellStyle name="Comma 2 2 2 2 2 2 2 2 3 5 4" xfId="9960" xr:uid="{00000000-0005-0000-0000-0000E5260000}"/>
    <cellStyle name="Comma 2 2 2 2 2 2 2 2 3 5 5" xfId="9961" xr:uid="{00000000-0005-0000-0000-0000E6260000}"/>
    <cellStyle name="Comma 2 2 2 2 2 2 2 2 3 5 6" xfId="9962" xr:uid="{00000000-0005-0000-0000-0000E7260000}"/>
    <cellStyle name="Comma 2 2 2 2 2 2 2 2 3 5 7" xfId="9963" xr:uid="{00000000-0005-0000-0000-0000E8260000}"/>
    <cellStyle name="Comma 2 2 2 2 2 2 2 2 3 5 8" xfId="9964" xr:uid="{00000000-0005-0000-0000-0000E9260000}"/>
    <cellStyle name="Comma 2 2 2 2 2 2 2 2 3 6" xfId="9965" xr:uid="{00000000-0005-0000-0000-0000EA260000}"/>
    <cellStyle name="Comma 2 2 2 2 2 2 2 2 3 6 2" xfId="9966" xr:uid="{00000000-0005-0000-0000-0000EB260000}"/>
    <cellStyle name="Comma 2 2 2 2 2 2 2 2 3 7" xfId="9967" xr:uid="{00000000-0005-0000-0000-0000EC260000}"/>
    <cellStyle name="Comma 2 2 2 2 2 2 2 2 3 7 2" xfId="9968" xr:uid="{00000000-0005-0000-0000-0000ED260000}"/>
    <cellStyle name="Comma 2 2 2 2 2 2 2 2 3 7 3" xfId="9969" xr:uid="{00000000-0005-0000-0000-0000EE260000}"/>
    <cellStyle name="Comma 2 2 2 2 2 2 2 2 3 7 4" xfId="9970" xr:uid="{00000000-0005-0000-0000-0000EF260000}"/>
    <cellStyle name="Comma 2 2 2 2 2 2 2 2 3 7 5" xfId="9971" xr:uid="{00000000-0005-0000-0000-0000F0260000}"/>
    <cellStyle name="Comma 2 2 2 2 2 2 2 2 3 7 6" xfId="9972" xr:uid="{00000000-0005-0000-0000-0000F1260000}"/>
    <cellStyle name="Comma 2 2 2 2 2 2 2 2 3 7 7" xfId="9973" xr:uid="{00000000-0005-0000-0000-0000F2260000}"/>
    <cellStyle name="Comma 2 2 2 2 2 2 2 2 3 7 8" xfId="9974" xr:uid="{00000000-0005-0000-0000-0000F3260000}"/>
    <cellStyle name="Comma 2 2 2 2 2 2 2 2 3 8" xfId="9975" xr:uid="{00000000-0005-0000-0000-0000F4260000}"/>
    <cellStyle name="Comma 2 2 2 2 2 2 2 2 3 8 2" xfId="9976" xr:uid="{00000000-0005-0000-0000-0000F5260000}"/>
    <cellStyle name="Comma 2 2 2 2 2 2 2 2 3 8 3" xfId="9977" xr:uid="{00000000-0005-0000-0000-0000F6260000}"/>
    <cellStyle name="Comma 2 2 2 2 2 2 2 2 3 8 4" xfId="9978" xr:uid="{00000000-0005-0000-0000-0000F7260000}"/>
    <cellStyle name="Comma 2 2 2 2 2 2 2 2 3 8 5" xfId="9979" xr:uid="{00000000-0005-0000-0000-0000F8260000}"/>
    <cellStyle name="Comma 2 2 2 2 2 2 2 2 3 8 6" xfId="9980" xr:uid="{00000000-0005-0000-0000-0000F9260000}"/>
    <cellStyle name="Comma 2 2 2 2 2 2 2 2 3 8 7" xfId="9981" xr:uid="{00000000-0005-0000-0000-0000FA260000}"/>
    <cellStyle name="Comma 2 2 2 2 2 2 2 2 3 8 8" xfId="9982" xr:uid="{00000000-0005-0000-0000-0000FB260000}"/>
    <cellStyle name="Comma 2 2 2 2 2 2 2 2 3 9" xfId="9983" xr:uid="{00000000-0005-0000-0000-0000FC260000}"/>
    <cellStyle name="Comma 2 2 2 2 2 2 2 2 3 9 2" xfId="9984" xr:uid="{00000000-0005-0000-0000-0000FD260000}"/>
    <cellStyle name="Comma 2 2 2 2 2 2 2 2 3 9 3" xfId="9985" xr:uid="{00000000-0005-0000-0000-0000FE260000}"/>
    <cellStyle name="Comma 2 2 2 2 2 2 2 2 3 9 4" xfId="9986" xr:uid="{00000000-0005-0000-0000-0000FF260000}"/>
    <cellStyle name="Comma 2 2 2 2 2 2 2 2 3 9 5" xfId="9987" xr:uid="{00000000-0005-0000-0000-000000270000}"/>
    <cellStyle name="Comma 2 2 2 2 2 2 2 2 3 9 6" xfId="9988" xr:uid="{00000000-0005-0000-0000-000001270000}"/>
    <cellStyle name="Comma 2 2 2 2 2 2 2 2 3 9 7" xfId="9989" xr:uid="{00000000-0005-0000-0000-000002270000}"/>
    <cellStyle name="Comma 2 2 2 2 2 2 2 2 3 9 8" xfId="9990" xr:uid="{00000000-0005-0000-0000-000003270000}"/>
    <cellStyle name="Comma 2 2 2 2 2 2 2 2 4" xfId="9991" xr:uid="{00000000-0005-0000-0000-000004270000}"/>
    <cellStyle name="Comma 2 2 2 2 2 2 2 2 4 10" xfId="9992" xr:uid="{00000000-0005-0000-0000-000005270000}"/>
    <cellStyle name="Comma 2 2 2 2 2 2 2 2 4 10 2" xfId="9993" xr:uid="{00000000-0005-0000-0000-000006270000}"/>
    <cellStyle name="Comma 2 2 2 2 2 2 2 2 4 10 3" xfId="9994" xr:uid="{00000000-0005-0000-0000-000007270000}"/>
    <cellStyle name="Comma 2 2 2 2 2 2 2 2 4 10 4" xfId="9995" xr:uid="{00000000-0005-0000-0000-000008270000}"/>
    <cellStyle name="Comma 2 2 2 2 2 2 2 2 4 10 5" xfId="9996" xr:uid="{00000000-0005-0000-0000-000009270000}"/>
    <cellStyle name="Comma 2 2 2 2 2 2 2 2 4 10 6" xfId="9997" xr:uid="{00000000-0005-0000-0000-00000A270000}"/>
    <cellStyle name="Comma 2 2 2 2 2 2 2 2 4 10 7" xfId="9998" xr:uid="{00000000-0005-0000-0000-00000B270000}"/>
    <cellStyle name="Comma 2 2 2 2 2 2 2 2 4 10 8" xfId="9999" xr:uid="{00000000-0005-0000-0000-00000C270000}"/>
    <cellStyle name="Comma 2 2 2 2 2 2 2 2 4 11" xfId="10000" xr:uid="{00000000-0005-0000-0000-00000D270000}"/>
    <cellStyle name="Comma 2 2 2 2 2 2 2 2 4 11 2" xfId="10001" xr:uid="{00000000-0005-0000-0000-00000E270000}"/>
    <cellStyle name="Comma 2 2 2 2 2 2 2 2 4 11 3" xfId="10002" xr:uid="{00000000-0005-0000-0000-00000F270000}"/>
    <cellStyle name="Comma 2 2 2 2 2 2 2 2 4 11 4" xfId="10003" xr:uid="{00000000-0005-0000-0000-000010270000}"/>
    <cellStyle name="Comma 2 2 2 2 2 2 2 2 4 11 5" xfId="10004" xr:uid="{00000000-0005-0000-0000-000011270000}"/>
    <cellStyle name="Comma 2 2 2 2 2 2 2 2 4 11 6" xfId="10005" xr:uid="{00000000-0005-0000-0000-000012270000}"/>
    <cellStyle name="Comma 2 2 2 2 2 2 2 2 4 11 7" xfId="10006" xr:uid="{00000000-0005-0000-0000-000013270000}"/>
    <cellStyle name="Comma 2 2 2 2 2 2 2 2 4 11 8" xfId="10007" xr:uid="{00000000-0005-0000-0000-000014270000}"/>
    <cellStyle name="Comma 2 2 2 2 2 2 2 2 4 12" xfId="10008" xr:uid="{00000000-0005-0000-0000-000015270000}"/>
    <cellStyle name="Comma 2 2 2 2 2 2 2 2 4 12 2" xfId="10009" xr:uid="{00000000-0005-0000-0000-000016270000}"/>
    <cellStyle name="Comma 2 2 2 2 2 2 2 2 4 12 3" xfId="10010" xr:uid="{00000000-0005-0000-0000-000017270000}"/>
    <cellStyle name="Comma 2 2 2 2 2 2 2 2 4 12 4" xfId="10011" xr:uid="{00000000-0005-0000-0000-000018270000}"/>
    <cellStyle name="Comma 2 2 2 2 2 2 2 2 4 12 5" xfId="10012" xr:uid="{00000000-0005-0000-0000-000019270000}"/>
    <cellStyle name="Comma 2 2 2 2 2 2 2 2 4 12 6" xfId="10013" xr:uid="{00000000-0005-0000-0000-00001A270000}"/>
    <cellStyle name="Comma 2 2 2 2 2 2 2 2 4 12 7" xfId="10014" xr:uid="{00000000-0005-0000-0000-00001B270000}"/>
    <cellStyle name="Comma 2 2 2 2 2 2 2 2 4 12 8" xfId="10015" xr:uid="{00000000-0005-0000-0000-00001C270000}"/>
    <cellStyle name="Comma 2 2 2 2 2 2 2 2 4 13" xfId="10016" xr:uid="{00000000-0005-0000-0000-00001D270000}"/>
    <cellStyle name="Comma 2 2 2 2 2 2 2 2 4 13 2" xfId="10017" xr:uid="{00000000-0005-0000-0000-00001E270000}"/>
    <cellStyle name="Comma 2 2 2 2 2 2 2 2 4 13 3" xfId="10018" xr:uid="{00000000-0005-0000-0000-00001F270000}"/>
    <cellStyle name="Comma 2 2 2 2 2 2 2 2 4 13 4" xfId="10019" xr:uid="{00000000-0005-0000-0000-000020270000}"/>
    <cellStyle name="Comma 2 2 2 2 2 2 2 2 4 13 5" xfId="10020" xr:uid="{00000000-0005-0000-0000-000021270000}"/>
    <cellStyle name="Comma 2 2 2 2 2 2 2 2 4 13 6" xfId="10021" xr:uid="{00000000-0005-0000-0000-000022270000}"/>
    <cellStyle name="Comma 2 2 2 2 2 2 2 2 4 13 7" xfId="10022" xr:uid="{00000000-0005-0000-0000-000023270000}"/>
    <cellStyle name="Comma 2 2 2 2 2 2 2 2 4 13 8" xfId="10023" xr:uid="{00000000-0005-0000-0000-000024270000}"/>
    <cellStyle name="Comma 2 2 2 2 2 2 2 2 4 14" xfId="10024" xr:uid="{00000000-0005-0000-0000-000025270000}"/>
    <cellStyle name="Comma 2 2 2 2 2 2 2 2 4 14 2" xfId="10025" xr:uid="{00000000-0005-0000-0000-000026270000}"/>
    <cellStyle name="Comma 2 2 2 2 2 2 2 2 4 14 3" xfId="10026" xr:uid="{00000000-0005-0000-0000-000027270000}"/>
    <cellStyle name="Comma 2 2 2 2 2 2 2 2 4 15" xfId="10027" xr:uid="{00000000-0005-0000-0000-000028270000}"/>
    <cellStyle name="Comma 2 2 2 2 2 2 2 2 4 16" xfId="10028" xr:uid="{00000000-0005-0000-0000-000029270000}"/>
    <cellStyle name="Comma 2 2 2 2 2 2 2 2 4 16 2" xfId="10029" xr:uid="{00000000-0005-0000-0000-00002A270000}"/>
    <cellStyle name="Comma 2 2 2 2 2 2 2 2 4 17" xfId="10030" xr:uid="{00000000-0005-0000-0000-00002B270000}"/>
    <cellStyle name="Comma 2 2 2 2 2 2 2 2 4 17 2" xfId="10031" xr:uid="{00000000-0005-0000-0000-00002C270000}"/>
    <cellStyle name="Comma 2 2 2 2 2 2 2 2 4 18" xfId="10032" xr:uid="{00000000-0005-0000-0000-00002D270000}"/>
    <cellStyle name="Comma 2 2 2 2 2 2 2 2 4 19" xfId="10033" xr:uid="{00000000-0005-0000-0000-00002E270000}"/>
    <cellStyle name="Comma 2 2 2 2 2 2 2 2 4 2" xfId="10034" xr:uid="{00000000-0005-0000-0000-00002F270000}"/>
    <cellStyle name="Comma 2 2 2 2 2 2 2 2 4 2 2" xfId="10035" xr:uid="{00000000-0005-0000-0000-000030270000}"/>
    <cellStyle name="Comma 2 2 2 2 2 2 2 2 4 2 2 2" xfId="10036" xr:uid="{00000000-0005-0000-0000-000031270000}"/>
    <cellStyle name="Comma 2 2 2 2 2 2 2 2 4 2 2 3" xfId="10037" xr:uid="{00000000-0005-0000-0000-000032270000}"/>
    <cellStyle name="Comma 2 2 2 2 2 2 2 2 4 2 3" xfId="10038" xr:uid="{00000000-0005-0000-0000-000033270000}"/>
    <cellStyle name="Comma 2 2 2 2 2 2 2 2 4 2 4" xfId="10039" xr:uid="{00000000-0005-0000-0000-000034270000}"/>
    <cellStyle name="Comma 2 2 2 2 2 2 2 2 4 2 5" xfId="10040" xr:uid="{00000000-0005-0000-0000-000035270000}"/>
    <cellStyle name="Comma 2 2 2 2 2 2 2 2 4 20" xfId="10041" xr:uid="{00000000-0005-0000-0000-000036270000}"/>
    <cellStyle name="Comma 2 2 2 2 2 2 2 2 4 21" xfId="10042" xr:uid="{00000000-0005-0000-0000-000037270000}"/>
    <cellStyle name="Comma 2 2 2 2 2 2 2 2 4 22" xfId="10043" xr:uid="{00000000-0005-0000-0000-000038270000}"/>
    <cellStyle name="Comma 2 2 2 2 2 2 2 2 4 23" xfId="10044" xr:uid="{00000000-0005-0000-0000-000039270000}"/>
    <cellStyle name="Comma 2 2 2 2 2 2 2 2 4 24" xfId="10045" xr:uid="{00000000-0005-0000-0000-00003A270000}"/>
    <cellStyle name="Comma 2 2 2 2 2 2 2 2 4 25" xfId="10046" xr:uid="{00000000-0005-0000-0000-00003B270000}"/>
    <cellStyle name="Comma 2 2 2 2 2 2 2 2 4 3" xfId="10047" xr:uid="{00000000-0005-0000-0000-00003C270000}"/>
    <cellStyle name="Comma 2 2 2 2 2 2 2 2 4 3 2" xfId="10048" xr:uid="{00000000-0005-0000-0000-00003D270000}"/>
    <cellStyle name="Comma 2 2 2 2 2 2 2 2 4 3 3" xfId="10049" xr:uid="{00000000-0005-0000-0000-00003E270000}"/>
    <cellStyle name="Comma 2 2 2 2 2 2 2 2 4 4" xfId="10050" xr:uid="{00000000-0005-0000-0000-00003F270000}"/>
    <cellStyle name="Comma 2 2 2 2 2 2 2 2 4 4 2" xfId="10051" xr:uid="{00000000-0005-0000-0000-000040270000}"/>
    <cellStyle name="Comma 2 2 2 2 2 2 2 2 4 5" xfId="10052" xr:uid="{00000000-0005-0000-0000-000041270000}"/>
    <cellStyle name="Comma 2 2 2 2 2 2 2 2 4 5 2" xfId="10053" xr:uid="{00000000-0005-0000-0000-000042270000}"/>
    <cellStyle name="Comma 2 2 2 2 2 2 2 2 4 5 3" xfId="10054" xr:uid="{00000000-0005-0000-0000-000043270000}"/>
    <cellStyle name="Comma 2 2 2 2 2 2 2 2 4 5 4" xfId="10055" xr:uid="{00000000-0005-0000-0000-000044270000}"/>
    <cellStyle name="Comma 2 2 2 2 2 2 2 2 4 5 5" xfId="10056" xr:uid="{00000000-0005-0000-0000-000045270000}"/>
    <cellStyle name="Comma 2 2 2 2 2 2 2 2 4 5 6" xfId="10057" xr:uid="{00000000-0005-0000-0000-000046270000}"/>
    <cellStyle name="Comma 2 2 2 2 2 2 2 2 4 5 7" xfId="10058" xr:uid="{00000000-0005-0000-0000-000047270000}"/>
    <cellStyle name="Comma 2 2 2 2 2 2 2 2 4 5 8" xfId="10059" xr:uid="{00000000-0005-0000-0000-000048270000}"/>
    <cellStyle name="Comma 2 2 2 2 2 2 2 2 4 6" xfId="10060" xr:uid="{00000000-0005-0000-0000-000049270000}"/>
    <cellStyle name="Comma 2 2 2 2 2 2 2 2 4 6 2" xfId="10061" xr:uid="{00000000-0005-0000-0000-00004A270000}"/>
    <cellStyle name="Comma 2 2 2 2 2 2 2 2 4 7" xfId="10062" xr:uid="{00000000-0005-0000-0000-00004B270000}"/>
    <cellStyle name="Comma 2 2 2 2 2 2 2 2 4 7 2" xfId="10063" xr:uid="{00000000-0005-0000-0000-00004C270000}"/>
    <cellStyle name="Comma 2 2 2 2 2 2 2 2 4 7 3" xfId="10064" xr:uid="{00000000-0005-0000-0000-00004D270000}"/>
    <cellStyle name="Comma 2 2 2 2 2 2 2 2 4 7 4" xfId="10065" xr:uid="{00000000-0005-0000-0000-00004E270000}"/>
    <cellStyle name="Comma 2 2 2 2 2 2 2 2 4 7 5" xfId="10066" xr:uid="{00000000-0005-0000-0000-00004F270000}"/>
    <cellStyle name="Comma 2 2 2 2 2 2 2 2 4 7 6" xfId="10067" xr:uid="{00000000-0005-0000-0000-000050270000}"/>
    <cellStyle name="Comma 2 2 2 2 2 2 2 2 4 7 7" xfId="10068" xr:uid="{00000000-0005-0000-0000-000051270000}"/>
    <cellStyle name="Comma 2 2 2 2 2 2 2 2 4 7 8" xfId="10069" xr:uid="{00000000-0005-0000-0000-000052270000}"/>
    <cellStyle name="Comma 2 2 2 2 2 2 2 2 4 8" xfId="10070" xr:uid="{00000000-0005-0000-0000-000053270000}"/>
    <cellStyle name="Comma 2 2 2 2 2 2 2 2 4 8 2" xfId="10071" xr:uid="{00000000-0005-0000-0000-000054270000}"/>
    <cellStyle name="Comma 2 2 2 2 2 2 2 2 4 8 3" xfId="10072" xr:uid="{00000000-0005-0000-0000-000055270000}"/>
    <cellStyle name="Comma 2 2 2 2 2 2 2 2 4 8 4" xfId="10073" xr:uid="{00000000-0005-0000-0000-000056270000}"/>
    <cellStyle name="Comma 2 2 2 2 2 2 2 2 4 8 5" xfId="10074" xr:uid="{00000000-0005-0000-0000-000057270000}"/>
    <cellStyle name="Comma 2 2 2 2 2 2 2 2 4 8 6" xfId="10075" xr:uid="{00000000-0005-0000-0000-000058270000}"/>
    <cellStyle name="Comma 2 2 2 2 2 2 2 2 4 8 7" xfId="10076" xr:uid="{00000000-0005-0000-0000-000059270000}"/>
    <cellStyle name="Comma 2 2 2 2 2 2 2 2 4 8 8" xfId="10077" xr:uid="{00000000-0005-0000-0000-00005A270000}"/>
    <cellStyle name="Comma 2 2 2 2 2 2 2 2 4 9" xfId="10078" xr:uid="{00000000-0005-0000-0000-00005B270000}"/>
    <cellStyle name="Comma 2 2 2 2 2 2 2 2 4 9 2" xfId="10079" xr:uid="{00000000-0005-0000-0000-00005C270000}"/>
    <cellStyle name="Comma 2 2 2 2 2 2 2 2 4 9 3" xfId="10080" xr:uid="{00000000-0005-0000-0000-00005D270000}"/>
    <cellStyle name="Comma 2 2 2 2 2 2 2 2 4 9 4" xfId="10081" xr:uid="{00000000-0005-0000-0000-00005E270000}"/>
    <cellStyle name="Comma 2 2 2 2 2 2 2 2 4 9 5" xfId="10082" xr:uid="{00000000-0005-0000-0000-00005F270000}"/>
    <cellStyle name="Comma 2 2 2 2 2 2 2 2 4 9 6" xfId="10083" xr:uid="{00000000-0005-0000-0000-000060270000}"/>
    <cellStyle name="Comma 2 2 2 2 2 2 2 2 4 9 7" xfId="10084" xr:uid="{00000000-0005-0000-0000-000061270000}"/>
    <cellStyle name="Comma 2 2 2 2 2 2 2 2 4 9 8" xfId="10085" xr:uid="{00000000-0005-0000-0000-000062270000}"/>
    <cellStyle name="Comma 2 2 2 2 2 2 2 2 5" xfId="10086" xr:uid="{00000000-0005-0000-0000-000063270000}"/>
    <cellStyle name="Comma 2 2 2 2 2 2 2 2 5 10" xfId="10087" xr:uid="{00000000-0005-0000-0000-000064270000}"/>
    <cellStyle name="Comma 2 2 2 2 2 2 2 2 5 10 2" xfId="10088" xr:uid="{00000000-0005-0000-0000-000065270000}"/>
    <cellStyle name="Comma 2 2 2 2 2 2 2 2 5 10 3" xfId="10089" xr:uid="{00000000-0005-0000-0000-000066270000}"/>
    <cellStyle name="Comma 2 2 2 2 2 2 2 2 5 10 4" xfId="10090" xr:uid="{00000000-0005-0000-0000-000067270000}"/>
    <cellStyle name="Comma 2 2 2 2 2 2 2 2 5 10 5" xfId="10091" xr:uid="{00000000-0005-0000-0000-000068270000}"/>
    <cellStyle name="Comma 2 2 2 2 2 2 2 2 5 10 6" xfId="10092" xr:uid="{00000000-0005-0000-0000-000069270000}"/>
    <cellStyle name="Comma 2 2 2 2 2 2 2 2 5 10 7" xfId="10093" xr:uid="{00000000-0005-0000-0000-00006A270000}"/>
    <cellStyle name="Comma 2 2 2 2 2 2 2 2 5 10 8" xfId="10094" xr:uid="{00000000-0005-0000-0000-00006B270000}"/>
    <cellStyle name="Comma 2 2 2 2 2 2 2 2 5 11" xfId="10095" xr:uid="{00000000-0005-0000-0000-00006C270000}"/>
    <cellStyle name="Comma 2 2 2 2 2 2 2 2 5 11 2" xfId="10096" xr:uid="{00000000-0005-0000-0000-00006D270000}"/>
    <cellStyle name="Comma 2 2 2 2 2 2 2 2 5 11 3" xfId="10097" xr:uid="{00000000-0005-0000-0000-00006E270000}"/>
    <cellStyle name="Comma 2 2 2 2 2 2 2 2 5 11 4" xfId="10098" xr:uid="{00000000-0005-0000-0000-00006F270000}"/>
    <cellStyle name="Comma 2 2 2 2 2 2 2 2 5 11 5" xfId="10099" xr:uid="{00000000-0005-0000-0000-000070270000}"/>
    <cellStyle name="Comma 2 2 2 2 2 2 2 2 5 11 6" xfId="10100" xr:uid="{00000000-0005-0000-0000-000071270000}"/>
    <cellStyle name="Comma 2 2 2 2 2 2 2 2 5 11 7" xfId="10101" xr:uid="{00000000-0005-0000-0000-000072270000}"/>
    <cellStyle name="Comma 2 2 2 2 2 2 2 2 5 11 8" xfId="10102" xr:uid="{00000000-0005-0000-0000-000073270000}"/>
    <cellStyle name="Comma 2 2 2 2 2 2 2 2 5 12" xfId="10103" xr:uid="{00000000-0005-0000-0000-000074270000}"/>
    <cellStyle name="Comma 2 2 2 2 2 2 2 2 5 12 2" xfId="10104" xr:uid="{00000000-0005-0000-0000-000075270000}"/>
    <cellStyle name="Comma 2 2 2 2 2 2 2 2 5 12 3" xfId="10105" xr:uid="{00000000-0005-0000-0000-000076270000}"/>
    <cellStyle name="Comma 2 2 2 2 2 2 2 2 5 12 4" xfId="10106" xr:uid="{00000000-0005-0000-0000-000077270000}"/>
    <cellStyle name="Comma 2 2 2 2 2 2 2 2 5 12 5" xfId="10107" xr:uid="{00000000-0005-0000-0000-000078270000}"/>
    <cellStyle name="Comma 2 2 2 2 2 2 2 2 5 12 6" xfId="10108" xr:uid="{00000000-0005-0000-0000-000079270000}"/>
    <cellStyle name="Comma 2 2 2 2 2 2 2 2 5 12 7" xfId="10109" xr:uid="{00000000-0005-0000-0000-00007A270000}"/>
    <cellStyle name="Comma 2 2 2 2 2 2 2 2 5 12 8" xfId="10110" xr:uid="{00000000-0005-0000-0000-00007B270000}"/>
    <cellStyle name="Comma 2 2 2 2 2 2 2 2 5 13" xfId="10111" xr:uid="{00000000-0005-0000-0000-00007C270000}"/>
    <cellStyle name="Comma 2 2 2 2 2 2 2 2 5 13 2" xfId="10112" xr:uid="{00000000-0005-0000-0000-00007D270000}"/>
    <cellStyle name="Comma 2 2 2 2 2 2 2 2 5 13 3" xfId="10113" xr:uid="{00000000-0005-0000-0000-00007E270000}"/>
    <cellStyle name="Comma 2 2 2 2 2 2 2 2 5 13 4" xfId="10114" xr:uid="{00000000-0005-0000-0000-00007F270000}"/>
    <cellStyle name="Comma 2 2 2 2 2 2 2 2 5 13 5" xfId="10115" xr:uid="{00000000-0005-0000-0000-000080270000}"/>
    <cellStyle name="Comma 2 2 2 2 2 2 2 2 5 13 6" xfId="10116" xr:uid="{00000000-0005-0000-0000-000081270000}"/>
    <cellStyle name="Comma 2 2 2 2 2 2 2 2 5 13 7" xfId="10117" xr:uid="{00000000-0005-0000-0000-000082270000}"/>
    <cellStyle name="Comma 2 2 2 2 2 2 2 2 5 13 8" xfId="10118" xr:uid="{00000000-0005-0000-0000-000083270000}"/>
    <cellStyle name="Comma 2 2 2 2 2 2 2 2 5 14" xfId="10119" xr:uid="{00000000-0005-0000-0000-000084270000}"/>
    <cellStyle name="Comma 2 2 2 2 2 2 2 2 5 14 2" xfId="10120" xr:uid="{00000000-0005-0000-0000-000085270000}"/>
    <cellStyle name="Comma 2 2 2 2 2 2 2 2 5 14 3" xfId="10121" xr:uid="{00000000-0005-0000-0000-000086270000}"/>
    <cellStyle name="Comma 2 2 2 2 2 2 2 2 5 15" xfId="10122" xr:uid="{00000000-0005-0000-0000-000087270000}"/>
    <cellStyle name="Comma 2 2 2 2 2 2 2 2 5 16" xfId="10123" xr:uid="{00000000-0005-0000-0000-000088270000}"/>
    <cellStyle name="Comma 2 2 2 2 2 2 2 2 5 16 2" xfId="10124" xr:uid="{00000000-0005-0000-0000-000089270000}"/>
    <cellStyle name="Comma 2 2 2 2 2 2 2 2 5 17" xfId="10125" xr:uid="{00000000-0005-0000-0000-00008A270000}"/>
    <cellStyle name="Comma 2 2 2 2 2 2 2 2 5 17 2" xfId="10126" xr:uid="{00000000-0005-0000-0000-00008B270000}"/>
    <cellStyle name="Comma 2 2 2 2 2 2 2 2 5 18" xfId="10127" xr:uid="{00000000-0005-0000-0000-00008C270000}"/>
    <cellStyle name="Comma 2 2 2 2 2 2 2 2 5 19" xfId="10128" xr:uid="{00000000-0005-0000-0000-00008D270000}"/>
    <cellStyle name="Comma 2 2 2 2 2 2 2 2 5 2" xfId="10129" xr:uid="{00000000-0005-0000-0000-00008E270000}"/>
    <cellStyle name="Comma 2 2 2 2 2 2 2 2 5 2 2" xfId="10130" xr:uid="{00000000-0005-0000-0000-00008F270000}"/>
    <cellStyle name="Comma 2 2 2 2 2 2 2 2 5 2 3" xfId="10131" xr:uid="{00000000-0005-0000-0000-000090270000}"/>
    <cellStyle name="Comma 2 2 2 2 2 2 2 2 5 2 4" xfId="10132" xr:uid="{00000000-0005-0000-0000-000091270000}"/>
    <cellStyle name="Comma 2 2 2 2 2 2 2 2 5 2 5" xfId="10133" xr:uid="{00000000-0005-0000-0000-000092270000}"/>
    <cellStyle name="Comma 2 2 2 2 2 2 2 2 5 20" xfId="10134" xr:uid="{00000000-0005-0000-0000-000093270000}"/>
    <cellStyle name="Comma 2 2 2 2 2 2 2 2 5 21" xfId="10135" xr:uid="{00000000-0005-0000-0000-000094270000}"/>
    <cellStyle name="Comma 2 2 2 2 2 2 2 2 5 22" xfId="10136" xr:uid="{00000000-0005-0000-0000-000095270000}"/>
    <cellStyle name="Comma 2 2 2 2 2 2 2 2 5 23" xfId="10137" xr:uid="{00000000-0005-0000-0000-000096270000}"/>
    <cellStyle name="Comma 2 2 2 2 2 2 2 2 5 24" xfId="10138" xr:uid="{00000000-0005-0000-0000-000097270000}"/>
    <cellStyle name="Comma 2 2 2 2 2 2 2 2 5 25" xfId="10139" xr:uid="{00000000-0005-0000-0000-000098270000}"/>
    <cellStyle name="Comma 2 2 2 2 2 2 2 2 5 3" xfId="10140" xr:uid="{00000000-0005-0000-0000-000099270000}"/>
    <cellStyle name="Comma 2 2 2 2 2 2 2 2 5 3 2" xfId="10141" xr:uid="{00000000-0005-0000-0000-00009A270000}"/>
    <cellStyle name="Comma 2 2 2 2 2 2 2 2 5 3 3" xfId="10142" xr:uid="{00000000-0005-0000-0000-00009B270000}"/>
    <cellStyle name="Comma 2 2 2 2 2 2 2 2 5 4" xfId="10143" xr:uid="{00000000-0005-0000-0000-00009C270000}"/>
    <cellStyle name="Comma 2 2 2 2 2 2 2 2 5 4 2" xfId="10144" xr:uid="{00000000-0005-0000-0000-00009D270000}"/>
    <cellStyle name="Comma 2 2 2 2 2 2 2 2 5 5" xfId="10145" xr:uid="{00000000-0005-0000-0000-00009E270000}"/>
    <cellStyle name="Comma 2 2 2 2 2 2 2 2 5 5 2" xfId="10146" xr:uid="{00000000-0005-0000-0000-00009F270000}"/>
    <cellStyle name="Comma 2 2 2 2 2 2 2 2 5 5 3" xfId="10147" xr:uid="{00000000-0005-0000-0000-0000A0270000}"/>
    <cellStyle name="Comma 2 2 2 2 2 2 2 2 5 5 4" xfId="10148" xr:uid="{00000000-0005-0000-0000-0000A1270000}"/>
    <cellStyle name="Comma 2 2 2 2 2 2 2 2 5 5 5" xfId="10149" xr:uid="{00000000-0005-0000-0000-0000A2270000}"/>
    <cellStyle name="Comma 2 2 2 2 2 2 2 2 5 5 6" xfId="10150" xr:uid="{00000000-0005-0000-0000-0000A3270000}"/>
    <cellStyle name="Comma 2 2 2 2 2 2 2 2 5 5 7" xfId="10151" xr:uid="{00000000-0005-0000-0000-0000A4270000}"/>
    <cellStyle name="Comma 2 2 2 2 2 2 2 2 5 5 8" xfId="10152" xr:uid="{00000000-0005-0000-0000-0000A5270000}"/>
    <cellStyle name="Comma 2 2 2 2 2 2 2 2 5 6" xfId="10153" xr:uid="{00000000-0005-0000-0000-0000A6270000}"/>
    <cellStyle name="Comma 2 2 2 2 2 2 2 2 5 6 2" xfId="10154" xr:uid="{00000000-0005-0000-0000-0000A7270000}"/>
    <cellStyle name="Comma 2 2 2 2 2 2 2 2 5 7" xfId="10155" xr:uid="{00000000-0005-0000-0000-0000A8270000}"/>
    <cellStyle name="Comma 2 2 2 2 2 2 2 2 5 7 2" xfId="10156" xr:uid="{00000000-0005-0000-0000-0000A9270000}"/>
    <cellStyle name="Comma 2 2 2 2 2 2 2 2 5 7 3" xfId="10157" xr:uid="{00000000-0005-0000-0000-0000AA270000}"/>
    <cellStyle name="Comma 2 2 2 2 2 2 2 2 5 7 4" xfId="10158" xr:uid="{00000000-0005-0000-0000-0000AB270000}"/>
    <cellStyle name="Comma 2 2 2 2 2 2 2 2 5 7 5" xfId="10159" xr:uid="{00000000-0005-0000-0000-0000AC270000}"/>
    <cellStyle name="Comma 2 2 2 2 2 2 2 2 5 7 6" xfId="10160" xr:uid="{00000000-0005-0000-0000-0000AD270000}"/>
    <cellStyle name="Comma 2 2 2 2 2 2 2 2 5 7 7" xfId="10161" xr:uid="{00000000-0005-0000-0000-0000AE270000}"/>
    <cellStyle name="Comma 2 2 2 2 2 2 2 2 5 7 8" xfId="10162" xr:uid="{00000000-0005-0000-0000-0000AF270000}"/>
    <cellStyle name="Comma 2 2 2 2 2 2 2 2 5 8" xfId="10163" xr:uid="{00000000-0005-0000-0000-0000B0270000}"/>
    <cellStyle name="Comma 2 2 2 2 2 2 2 2 5 8 2" xfId="10164" xr:uid="{00000000-0005-0000-0000-0000B1270000}"/>
    <cellStyle name="Comma 2 2 2 2 2 2 2 2 5 8 3" xfId="10165" xr:uid="{00000000-0005-0000-0000-0000B2270000}"/>
    <cellStyle name="Comma 2 2 2 2 2 2 2 2 5 8 4" xfId="10166" xr:uid="{00000000-0005-0000-0000-0000B3270000}"/>
    <cellStyle name="Comma 2 2 2 2 2 2 2 2 5 8 5" xfId="10167" xr:uid="{00000000-0005-0000-0000-0000B4270000}"/>
    <cellStyle name="Comma 2 2 2 2 2 2 2 2 5 8 6" xfId="10168" xr:uid="{00000000-0005-0000-0000-0000B5270000}"/>
    <cellStyle name="Comma 2 2 2 2 2 2 2 2 5 8 7" xfId="10169" xr:uid="{00000000-0005-0000-0000-0000B6270000}"/>
    <cellStyle name="Comma 2 2 2 2 2 2 2 2 5 8 8" xfId="10170" xr:uid="{00000000-0005-0000-0000-0000B7270000}"/>
    <cellStyle name="Comma 2 2 2 2 2 2 2 2 5 9" xfId="10171" xr:uid="{00000000-0005-0000-0000-0000B8270000}"/>
    <cellStyle name="Comma 2 2 2 2 2 2 2 2 5 9 2" xfId="10172" xr:uid="{00000000-0005-0000-0000-0000B9270000}"/>
    <cellStyle name="Comma 2 2 2 2 2 2 2 2 5 9 3" xfId="10173" xr:uid="{00000000-0005-0000-0000-0000BA270000}"/>
    <cellStyle name="Comma 2 2 2 2 2 2 2 2 5 9 4" xfId="10174" xr:uid="{00000000-0005-0000-0000-0000BB270000}"/>
    <cellStyle name="Comma 2 2 2 2 2 2 2 2 5 9 5" xfId="10175" xr:uid="{00000000-0005-0000-0000-0000BC270000}"/>
    <cellStyle name="Comma 2 2 2 2 2 2 2 2 5 9 6" xfId="10176" xr:uid="{00000000-0005-0000-0000-0000BD270000}"/>
    <cellStyle name="Comma 2 2 2 2 2 2 2 2 5 9 7" xfId="10177" xr:uid="{00000000-0005-0000-0000-0000BE270000}"/>
    <cellStyle name="Comma 2 2 2 2 2 2 2 2 5 9 8" xfId="10178" xr:uid="{00000000-0005-0000-0000-0000BF270000}"/>
    <cellStyle name="Comma 2 2 2 2 2 2 2 2 6" xfId="10179" xr:uid="{00000000-0005-0000-0000-0000C0270000}"/>
    <cellStyle name="Comma 2 2 2 2 2 2 2 2 6 10" xfId="10180" xr:uid="{00000000-0005-0000-0000-0000C1270000}"/>
    <cellStyle name="Comma 2 2 2 2 2 2 2 2 6 10 2" xfId="10181" xr:uid="{00000000-0005-0000-0000-0000C2270000}"/>
    <cellStyle name="Comma 2 2 2 2 2 2 2 2 6 10 3" xfId="10182" xr:uid="{00000000-0005-0000-0000-0000C3270000}"/>
    <cellStyle name="Comma 2 2 2 2 2 2 2 2 6 10 4" xfId="10183" xr:uid="{00000000-0005-0000-0000-0000C4270000}"/>
    <cellStyle name="Comma 2 2 2 2 2 2 2 2 6 10 5" xfId="10184" xr:uid="{00000000-0005-0000-0000-0000C5270000}"/>
    <cellStyle name="Comma 2 2 2 2 2 2 2 2 6 10 6" xfId="10185" xr:uid="{00000000-0005-0000-0000-0000C6270000}"/>
    <cellStyle name="Comma 2 2 2 2 2 2 2 2 6 10 7" xfId="10186" xr:uid="{00000000-0005-0000-0000-0000C7270000}"/>
    <cellStyle name="Comma 2 2 2 2 2 2 2 2 6 10 8" xfId="10187" xr:uid="{00000000-0005-0000-0000-0000C8270000}"/>
    <cellStyle name="Comma 2 2 2 2 2 2 2 2 6 11" xfId="10188" xr:uid="{00000000-0005-0000-0000-0000C9270000}"/>
    <cellStyle name="Comma 2 2 2 2 2 2 2 2 6 11 2" xfId="10189" xr:uid="{00000000-0005-0000-0000-0000CA270000}"/>
    <cellStyle name="Comma 2 2 2 2 2 2 2 2 6 11 3" xfId="10190" xr:uid="{00000000-0005-0000-0000-0000CB270000}"/>
    <cellStyle name="Comma 2 2 2 2 2 2 2 2 6 11 4" xfId="10191" xr:uid="{00000000-0005-0000-0000-0000CC270000}"/>
    <cellStyle name="Comma 2 2 2 2 2 2 2 2 6 11 5" xfId="10192" xr:uid="{00000000-0005-0000-0000-0000CD270000}"/>
    <cellStyle name="Comma 2 2 2 2 2 2 2 2 6 11 6" xfId="10193" xr:uid="{00000000-0005-0000-0000-0000CE270000}"/>
    <cellStyle name="Comma 2 2 2 2 2 2 2 2 6 11 7" xfId="10194" xr:uid="{00000000-0005-0000-0000-0000CF270000}"/>
    <cellStyle name="Comma 2 2 2 2 2 2 2 2 6 11 8" xfId="10195" xr:uid="{00000000-0005-0000-0000-0000D0270000}"/>
    <cellStyle name="Comma 2 2 2 2 2 2 2 2 6 12" xfId="10196" xr:uid="{00000000-0005-0000-0000-0000D1270000}"/>
    <cellStyle name="Comma 2 2 2 2 2 2 2 2 6 12 2" xfId="10197" xr:uid="{00000000-0005-0000-0000-0000D2270000}"/>
    <cellStyle name="Comma 2 2 2 2 2 2 2 2 6 12 3" xfId="10198" xr:uid="{00000000-0005-0000-0000-0000D3270000}"/>
    <cellStyle name="Comma 2 2 2 2 2 2 2 2 6 12 4" xfId="10199" xr:uid="{00000000-0005-0000-0000-0000D4270000}"/>
    <cellStyle name="Comma 2 2 2 2 2 2 2 2 6 12 5" xfId="10200" xr:uid="{00000000-0005-0000-0000-0000D5270000}"/>
    <cellStyle name="Comma 2 2 2 2 2 2 2 2 6 12 6" xfId="10201" xr:uid="{00000000-0005-0000-0000-0000D6270000}"/>
    <cellStyle name="Comma 2 2 2 2 2 2 2 2 6 12 7" xfId="10202" xr:uid="{00000000-0005-0000-0000-0000D7270000}"/>
    <cellStyle name="Comma 2 2 2 2 2 2 2 2 6 12 8" xfId="10203" xr:uid="{00000000-0005-0000-0000-0000D8270000}"/>
    <cellStyle name="Comma 2 2 2 2 2 2 2 2 6 13" xfId="10204" xr:uid="{00000000-0005-0000-0000-0000D9270000}"/>
    <cellStyle name="Comma 2 2 2 2 2 2 2 2 6 13 2" xfId="10205" xr:uid="{00000000-0005-0000-0000-0000DA270000}"/>
    <cellStyle name="Comma 2 2 2 2 2 2 2 2 6 13 3" xfId="10206" xr:uid="{00000000-0005-0000-0000-0000DB270000}"/>
    <cellStyle name="Comma 2 2 2 2 2 2 2 2 6 13 4" xfId="10207" xr:uid="{00000000-0005-0000-0000-0000DC270000}"/>
    <cellStyle name="Comma 2 2 2 2 2 2 2 2 6 13 5" xfId="10208" xr:uid="{00000000-0005-0000-0000-0000DD270000}"/>
    <cellStyle name="Comma 2 2 2 2 2 2 2 2 6 13 6" xfId="10209" xr:uid="{00000000-0005-0000-0000-0000DE270000}"/>
    <cellStyle name="Comma 2 2 2 2 2 2 2 2 6 13 7" xfId="10210" xr:uid="{00000000-0005-0000-0000-0000DF270000}"/>
    <cellStyle name="Comma 2 2 2 2 2 2 2 2 6 13 8" xfId="10211" xr:uid="{00000000-0005-0000-0000-0000E0270000}"/>
    <cellStyle name="Comma 2 2 2 2 2 2 2 2 6 14" xfId="10212" xr:uid="{00000000-0005-0000-0000-0000E1270000}"/>
    <cellStyle name="Comma 2 2 2 2 2 2 2 2 6 14 2" xfId="10213" xr:uid="{00000000-0005-0000-0000-0000E2270000}"/>
    <cellStyle name="Comma 2 2 2 2 2 2 2 2 6 14 3" xfId="10214" xr:uid="{00000000-0005-0000-0000-0000E3270000}"/>
    <cellStyle name="Comma 2 2 2 2 2 2 2 2 6 15" xfId="10215" xr:uid="{00000000-0005-0000-0000-0000E4270000}"/>
    <cellStyle name="Comma 2 2 2 2 2 2 2 2 6 16" xfId="10216" xr:uid="{00000000-0005-0000-0000-0000E5270000}"/>
    <cellStyle name="Comma 2 2 2 2 2 2 2 2 6 16 2" xfId="10217" xr:uid="{00000000-0005-0000-0000-0000E6270000}"/>
    <cellStyle name="Comma 2 2 2 2 2 2 2 2 6 17" xfId="10218" xr:uid="{00000000-0005-0000-0000-0000E7270000}"/>
    <cellStyle name="Comma 2 2 2 2 2 2 2 2 6 17 2" xfId="10219" xr:uid="{00000000-0005-0000-0000-0000E8270000}"/>
    <cellStyle name="Comma 2 2 2 2 2 2 2 2 6 18" xfId="10220" xr:uid="{00000000-0005-0000-0000-0000E9270000}"/>
    <cellStyle name="Comma 2 2 2 2 2 2 2 2 6 19" xfId="10221" xr:uid="{00000000-0005-0000-0000-0000EA270000}"/>
    <cellStyle name="Comma 2 2 2 2 2 2 2 2 6 2" xfId="10222" xr:uid="{00000000-0005-0000-0000-0000EB270000}"/>
    <cellStyle name="Comma 2 2 2 2 2 2 2 2 6 2 2" xfId="10223" xr:uid="{00000000-0005-0000-0000-0000EC270000}"/>
    <cellStyle name="Comma 2 2 2 2 2 2 2 2 6 2 3" xfId="10224" xr:uid="{00000000-0005-0000-0000-0000ED270000}"/>
    <cellStyle name="Comma 2 2 2 2 2 2 2 2 6 2 4" xfId="10225" xr:uid="{00000000-0005-0000-0000-0000EE270000}"/>
    <cellStyle name="Comma 2 2 2 2 2 2 2 2 6 2 5" xfId="10226" xr:uid="{00000000-0005-0000-0000-0000EF270000}"/>
    <cellStyle name="Comma 2 2 2 2 2 2 2 2 6 20" xfId="10227" xr:uid="{00000000-0005-0000-0000-0000F0270000}"/>
    <cellStyle name="Comma 2 2 2 2 2 2 2 2 6 21" xfId="10228" xr:uid="{00000000-0005-0000-0000-0000F1270000}"/>
    <cellStyle name="Comma 2 2 2 2 2 2 2 2 6 22" xfId="10229" xr:uid="{00000000-0005-0000-0000-0000F2270000}"/>
    <cellStyle name="Comma 2 2 2 2 2 2 2 2 6 23" xfId="10230" xr:uid="{00000000-0005-0000-0000-0000F3270000}"/>
    <cellStyle name="Comma 2 2 2 2 2 2 2 2 6 24" xfId="10231" xr:uid="{00000000-0005-0000-0000-0000F4270000}"/>
    <cellStyle name="Comma 2 2 2 2 2 2 2 2 6 25" xfId="10232" xr:uid="{00000000-0005-0000-0000-0000F5270000}"/>
    <cellStyle name="Comma 2 2 2 2 2 2 2 2 6 3" xfId="10233" xr:uid="{00000000-0005-0000-0000-0000F6270000}"/>
    <cellStyle name="Comma 2 2 2 2 2 2 2 2 6 3 2" xfId="10234" xr:uid="{00000000-0005-0000-0000-0000F7270000}"/>
    <cellStyle name="Comma 2 2 2 2 2 2 2 2 6 3 3" xfId="10235" xr:uid="{00000000-0005-0000-0000-0000F8270000}"/>
    <cellStyle name="Comma 2 2 2 2 2 2 2 2 6 4" xfId="10236" xr:uid="{00000000-0005-0000-0000-0000F9270000}"/>
    <cellStyle name="Comma 2 2 2 2 2 2 2 2 6 4 2" xfId="10237" xr:uid="{00000000-0005-0000-0000-0000FA270000}"/>
    <cellStyle name="Comma 2 2 2 2 2 2 2 2 6 5" xfId="10238" xr:uid="{00000000-0005-0000-0000-0000FB270000}"/>
    <cellStyle name="Comma 2 2 2 2 2 2 2 2 6 5 2" xfId="10239" xr:uid="{00000000-0005-0000-0000-0000FC270000}"/>
    <cellStyle name="Comma 2 2 2 2 2 2 2 2 6 5 3" xfId="10240" xr:uid="{00000000-0005-0000-0000-0000FD270000}"/>
    <cellStyle name="Comma 2 2 2 2 2 2 2 2 6 5 4" xfId="10241" xr:uid="{00000000-0005-0000-0000-0000FE270000}"/>
    <cellStyle name="Comma 2 2 2 2 2 2 2 2 6 5 5" xfId="10242" xr:uid="{00000000-0005-0000-0000-0000FF270000}"/>
    <cellStyle name="Comma 2 2 2 2 2 2 2 2 6 5 6" xfId="10243" xr:uid="{00000000-0005-0000-0000-000000280000}"/>
    <cellStyle name="Comma 2 2 2 2 2 2 2 2 6 5 7" xfId="10244" xr:uid="{00000000-0005-0000-0000-000001280000}"/>
    <cellStyle name="Comma 2 2 2 2 2 2 2 2 6 5 8" xfId="10245" xr:uid="{00000000-0005-0000-0000-000002280000}"/>
    <cellStyle name="Comma 2 2 2 2 2 2 2 2 6 6" xfId="10246" xr:uid="{00000000-0005-0000-0000-000003280000}"/>
    <cellStyle name="Comma 2 2 2 2 2 2 2 2 6 6 2" xfId="10247" xr:uid="{00000000-0005-0000-0000-000004280000}"/>
    <cellStyle name="Comma 2 2 2 2 2 2 2 2 6 7" xfId="10248" xr:uid="{00000000-0005-0000-0000-000005280000}"/>
    <cellStyle name="Comma 2 2 2 2 2 2 2 2 6 7 2" xfId="10249" xr:uid="{00000000-0005-0000-0000-000006280000}"/>
    <cellStyle name="Comma 2 2 2 2 2 2 2 2 6 7 3" xfId="10250" xr:uid="{00000000-0005-0000-0000-000007280000}"/>
    <cellStyle name="Comma 2 2 2 2 2 2 2 2 6 7 4" xfId="10251" xr:uid="{00000000-0005-0000-0000-000008280000}"/>
    <cellStyle name="Comma 2 2 2 2 2 2 2 2 6 7 5" xfId="10252" xr:uid="{00000000-0005-0000-0000-000009280000}"/>
    <cellStyle name="Comma 2 2 2 2 2 2 2 2 6 7 6" xfId="10253" xr:uid="{00000000-0005-0000-0000-00000A280000}"/>
    <cellStyle name="Comma 2 2 2 2 2 2 2 2 6 7 7" xfId="10254" xr:uid="{00000000-0005-0000-0000-00000B280000}"/>
    <cellStyle name="Comma 2 2 2 2 2 2 2 2 6 7 8" xfId="10255" xr:uid="{00000000-0005-0000-0000-00000C280000}"/>
    <cellStyle name="Comma 2 2 2 2 2 2 2 2 6 8" xfId="10256" xr:uid="{00000000-0005-0000-0000-00000D280000}"/>
    <cellStyle name="Comma 2 2 2 2 2 2 2 2 6 8 2" xfId="10257" xr:uid="{00000000-0005-0000-0000-00000E280000}"/>
    <cellStyle name="Comma 2 2 2 2 2 2 2 2 6 8 3" xfId="10258" xr:uid="{00000000-0005-0000-0000-00000F280000}"/>
    <cellStyle name="Comma 2 2 2 2 2 2 2 2 6 8 4" xfId="10259" xr:uid="{00000000-0005-0000-0000-000010280000}"/>
    <cellStyle name="Comma 2 2 2 2 2 2 2 2 6 8 5" xfId="10260" xr:uid="{00000000-0005-0000-0000-000011280000}"/>
    <cellStyle name="Comma 2 2 2 2 2 2 2 2 6 8 6" xfId="10261" xr:uid="{00000000-0005-0000-0000-000012280000}"/>
    <cellStyle name="Comma 2 2 2 2 2 2 2 2 6 8 7" xfId="10262" xr:uid="{00000000-0005-0000-0000-000013280000}"/>
    <cellStyle name="Comma 2 2 2 2 2 2 2 2 6 8 8" xfId="10263" xr:uid="{00000000-0005-0000-0000-000014280000}"/>
    <cellStyle name="Comma 2 2 2 2 2 2 2 2 6 9" xfId="10264" xr:uid="{00000000-0005-0000-0000-000015280000}"/>
    <cellStyle name="Comma 2 2 2 2 2 2 2 2 6 9 2" xfId="10265" xr:uid="{00000000-0005-0000-0000-000016280000}"/>
    <cellStyle name="Comma 2 2 2 2 2 2 2 2 6 9 3" xfId="10266" xr:uid="{00000000-0005-0000-0000-000017280000}"/>
    <cellStyle name="Comma 2 2 2 2 2 2 2 2 6 9 4" xfId="10267" xr:uid="{00000000-0005-0000-0000-000018280000}"/>
    <cellStyle name="Comma 2 2 2 2 2 2 2 2 6 9 5" xfId="10268" xr:uid="{00000000-0005-0000-0000-000019280000}"/>
    <cellStyle name="Comma 2 2 2 2 2 2 2 2 6 9 6" xfId="10269" xr:uid="{00000000-0005-0000-0000-00001A280000}"/>
    <cellStyle name="Comma 2 2 2 2 2 2 2 2 6 9 7" xfId="10270" xr:uid="{00000000-0005-0000-0000-00001B280000}"/>
    <cellStyle name="Comma 2 2 2 2 2 2 2 2 6 9 8" xfId="10271" xr:uid="{00000000-0005-0000-0000-00001C280000}"/>
    <cellStyle name="Comma 2 2 2 2 2 2 2 2 7" xfId="10272" xr:uid="{00000000-0005-0000-0000-00001D280000}"/>
    <cellStyle name="Comma 2 2 2 2 2 2 2 2 7 10" xfId="10273" xr:uid="{00000000-0005-0000-0000-00001E280000}"/>
    <cellStyle name="Comma 2 2 2 2 2 2 2 2 7 10 2" xfId="10274" xr:uid="{00000000-0005-0000-0000-00001F280000}"/>
    <cellStyle name="Comma 2 2 2 2 2 2 2 2 7 10 3" xfId="10275" xr:uid="{00000000-0005-0000-0000-000020280000}"/>
    <cellStyle name="Comma 2 2 2 2 2 2 2 2 7 10 4" xfId="10276" xr:uid="{00000000-0005-0000-0000-000021280000}"/>
    <cellStyle name="Comma 2 2 2 2 2 2 2 2 7 10 5" xfId="10277" xr:uid="{00000000-0005-0000-0000-000022280000}"/>
    <cellStyle name="Comma 2 2 2 2 2 2 2 2 7 10 6" xfId="10278" xr:uid="{00000000-0005-0000-0000-000023280000}"/>
    <cellStyle name="Comma 2 2 2 2 2 2 2 2 7 10 7" xfId="10279" xr:uid="{00000000-0005-0000-0000-000024280000}"/>
    <cellStyle name="Comma 2 2 2 2 2 2 2 2 7 10 8" xfId="10280" xr:uid="{00000000-0005-0000-0000-000025280000}"/>
    <cellStyle name="Comma 2 2 2 2 2 2 2 2 7 11" xfId="10281" xr:uid="{00000000-0005-0000-0000-000026280000}"/>
    <cellStyle name="Comma 2 2 2 2 2 2 2 2 7 11 2" xfId="10282" xr:uid="{00000000-0005-0000-0000-000027280000}"/>
    <cellStyle name="Comma 2 2 2 2 2 2 2 2 7 11 3" xfId="10283" xr:uid="{00000000-0005-0000-0000-000028280000}"/>
    <cellStyle name="Comma 2 2 2 2 2 2 2 2 7 11 4" xfId="10284" xr:uid="{00000000-0005-0000-0000-000029280000}"/>
    <cellStyle name="Comma 2 2 2 2 2 2 2 2 7 11 5" xfId="10285" xr:uid="{00000000-0005-0000-0000-00002A280000}"/>
    <cellStyle name="Comma 2 2 2 2 2 2 2 2 7 11 6" xfId="10286" xr:uid="{00000000-0005-0000-0000-00002B280000}"/>
    <cellStyle name="Comma 2 2 2 2 2 2 2 2 7 11 7" xfId="10287" xr:uid="{00000000-0005-0000-0000-00002C280000}"/>
    <cellStyle name="Comma 2 2 2 2 2 2 2 2 7 11 8" xfId="10288" xr:uid="{00000000-0005-0000-0000-00002D280000}"/>
    <cellStyle name="Comma 2 2 2 2 2 2 2 2 7 12" xfId="10289" xr:uid="{00000000-0005-0000-0000-00002E280000}"/>
    <cellStyle name="Comma 2 2 2 2 2 2 2 2 7 12 2" xfId="10290" xr:uid="{00000000-0005-0000-0000-00002F280000}"/>
    <cellStyle name="Comma 2 2 2 2 2 2 2 2 7 12 3" xfId="10291" xr:uid="{00000000-0005-0000-0000-000030280000}"/>
    <cellStyle name="Comma 2 2 2 2 2 2 2 2 7 12 4" xfId="10292" xr:uid="{00000000-0005-0000-0000-000031280000}"/>
    <cellStyle name="Comma 2 2 2 2 2 2 2 2 7 12 5" xfId="10293" xr:uid="{00000000-0005-0000-0000-000032280000}"/>
    <cellStyle name="Comma 2 2 2 2 2 2 2 2 7 12 6" xfId="10294" xr:uid="{00000000-0005-0000-0000-000033280000}"/>
    <cellStyle name="Comma 2 2 2 2 2 2 2 2 7 12 7" xfId="10295" xr:uid="{00000000-0005-0000-0000-000034280000}"/>
    <cellStyle name="Comma 2 2 2 2 2 2 2 2 7 12 8" xfId="10296" xr:uid="{00000000-0005-0000-0000-000035280000}"/>
    <cellStyle name="Comma 2 2 2 2 2 2 2 2 7 13" xfId="10297" xr:uid="{00000000-0005-0000-0000-000036280000}"/>
    <cellStyle name="Comma 2 2 2 2 2 2 2 2 7 13 2" xfId="10298" xr:uid="{00000000-0005-0000-0000-000037280000}"/>
    <cellStyle name="Comma 2 2 2 2 2 2 2 2 7 13 3" xfId="10299" xr:uid="{00000000-0005-0000-0000-000038280000}"/>
    <cellStyle name="Comma 2 2 2 2 2 2 2 2 7 13 4" xfId="10300" xr:uid="{00000000-0005-0000-0000-000039280000}"/>
    <cellStyle name="Comma 2 2 2 2 2 2 2 2 7 13 5" xfId="10301" xr:uid="{00000000-0005-0000-0000-00003A280000}"/>
    <cellStyle name="Comma 2 2 2 2 2 2 2 2 7 13 6" xfId="10302" xr:uid="{00000000-0005-0000-0000-00003B280000}"/>
    <cellStyle name="Comma 2 2 2 2 2 2 2 2 7 13 7" xfId="10303" xr:uid="{00000000-0005-0000-0000-00003C280000}"/>
    <cellStyle name="Comma 2 2 2 2 2 2 2 2 7 13 8" xfId="10304" xr:uid="{00000000-0005-0000-0000-00003D280000}"/>
    <cellStyle name="Comma 2 2 2 2 2 2 2 2 7 14" xfId="10305" xr:uid="{00000000-0005-0000-0000-00003E280000}"/>
    <cellStyle name="Comma 2 2 2 2 2 2 2 2 7 14 2" xfId="10306" xr:uid="{00000000-0005-0000-0000-00003F280000}"/>
    <cellStyle name="Comma 2 2 2 2 2 2 2 2 7 14 3" xfId="10307" xr:uid="{00000000-0005-0000-0000-000040280000}"/>
    <cellStyle name="Comma 2 2 2 2 2 2 2 2 7 15" xfId="10308" xr:uid="{00000000-0005-0000-0000-000041280000}"/>
    <cellStyle name="Comma 2 2 2 2 2 2 2 2 7 16" xfId="10309" xr:uid="{00000000-0005-0000-0000-000042280000}"/>
    <cellStyle name="Comma 2 2 2 2 2 2 2 2 7 16 2" xfId="10310" xr:uid="{00000000-0005-0000-0000-000043280000}"/>
    <cellStyle name="Comma 2 2 2 2 2 2 2 2 7 17" xfId="10311" xr:uid="{00000000-0005-0000-0000-000044280000}"/>
    <cellStyle name="Comma 2 2 2 2 2 2 2 2 7 17 2" xfId="10312" xr:uid="{00000000-0005-0000-0000-000045280000}"/>
    <cellStyle name="Comma 2 2 2 2 2 2 2 2 7 18" xfId="10313" xr:uid="{00000000-0005-0000-0000-000046280000}"/>
    <cellStyle name="Comma 2 2 2 2 2 2 2 2 7 19" xfId="10314" xr:uid="{00000000-0005-0000-0000-000047280000}"/>
    <cellStyle name="Comma 2 2 2 2 2 2 2 2 7 2" xfId="10315" xr:uid="{00000000-0005-0000-0000-000048280000}"/>
    <cellStyle name="Comma 2 2 2 2 2 2 2 2 7 2 2" xfId="10316" xr:uid="{00000000-0005-0000-0000-000049280000}"/>
    <cellStyle name="Comma 2 2 2 2 2 2 2 2 7 2 3" xfId="10317" xr:uid="{00000000-0005-0000-0000-00004A280000}"/>
    <cellStyle name="Comma 2 2 2 2 2 2 2 2 7 2 4" xfId="10318" xr:uid="{00000000-0005-0000-0000-00004B280000}"/>
    <cellStyle name="Comma 2 2 2 2 2 2 2 2 7 2 5" xfId="10319" xr:uid="{00000000-0005-0000-0000-00004C280000}"/>
    <cellStyle name="Comma 2 2 2 2 2 2 2 2 7 20" xfId="10320" xr:uid="{00000000-0005-0000-0000-00004D280000}"/>
    <cellStyle name="Comma 2 2 2 2 2 2 2 2 7 21" xfId="10321" xr:uid="{00000000-0005-0000-0000-00004E280000}"/>
    <cellStyle name="Comma 2 2 2 2 2 2 2 2 7 22" xfId="10322" xr:uid="{00000000-0005-0000-0000-00004F280000}"/>
    <cellStyle name="Comma 2 2 2 2 2 2 2 2 7 23" xfId="10323" xr:uid="{00000000-0005-0000-0000-000050280000}"/>
    <cellStyle name="Comma 2 2 2 2 2 2 2 2 7 24" xfId="10324" xr:uid="{00000000-0005-0000-0000-000051280000}"/>
    <cellStyle name="Comma 2 2 2 2 2 2 2 2 7 25" xfId="10325" xr:uid="{00000000-0005-0000-0000-000052280000}"/>
    <cellStyle name="Comma 2 2 2 2 2 2 2 2 7 3" xfId="10326" xr:uid="{00000000-0005-0000-0000-000053280000}"/>
    <cellStyle name="Comma 2 2 2 2 2 2 2 2 7 3 2" xfId="10327" xr:uid="{00000000-0005-0000-0000-000054280000}"/>
    <cellStyle name="Comma 2 2 2 2 2 2 2 2 7 3 3" xfId="10328" xr:uid="{00000000-0005-0000-0000-000055280000}"/>
    <cellStyle name="Comma 2 2 2 2 2 2 2 2 7 4" xfId="10329" xr:uid="{00000000-0005-0000-0000-000056280000}"/>
    <cellStyle name="Comma 2 2 2 2 2 2 2 2 7 4 2" xfId="10330" xr:uid="{00000000-0005-0000-0000-000057280000}"/>
    <cellStyle name="Comma 2 2 2 2 2 2 2 2 7 5" xfId="10331" xr:uid="{00000000-0005-0000-0000-000058280000}"/>
    <cellStyle name="Comma 2 2 2 2 2 2 2 2 7 5 2" xfId="10332" xr:uid="{00000000-0005-0000-0000-000059280000}"/>
    <cellStyle name="Comma 2 2 2 2 2 2 2 2 7 5 3" xfId="10333" xr:uid="{00000000-0005-0000-0000-00005A280000}"/>
    <cellStyle name="Comma 2 2 2 2 2 2 2 2 7 5 4" xfId="10334" xr:uid="{00000000-0005-0000-0000-00005B280000}"/>
    <cellStyle name="Comma 2 2 2 2 2 2 2 2 7 5 5" xfId="10335" xr:uid="{00000000-0005-0000-0000-00005C280000}"/>
    <cellStyle name="Comma 2 2 2 2 2 2 2 2 7 5 6" xfId="10336" xr:uid="{00000000-0005-0000-0000-00005D280000}"/>
    <cellStyle name="Comma 2 2 2 2 2 2 2 2 7 5 7" xfId="10337" xr:uid="{00000000-0005-0000-0000-00005E280000}"/>
    <cellStyle name="Comma 2 2 2 2 2 2 2 2 7 5 8" xfId="10338" xr:uid="{00000000-0005-0000-0000-00005F280000}"/>
    <cellStyle name="Comma 2 2 2 2 2 2 2 2 7 6" xfId="10339" xr:uid="{00000000-0005-0000-0000-000060280000}"/>
    <cellStyle name="Comma 2 2 2 2 2 2 2 2 7 6 2" xfId="10340" xr:uid="{00000000-0005-0000-0000-000061280000}"/>
    <cellStyle name="Comma 2 2 2 2 2 2 2 2 7 7" xfId="10341" xr:uid="{00000000-0005-0000-0000-000062280000}"/>
    <cellStyle name="Comma 2 2 2 2 2 2 2 2 7 7 2" xfId="10342" xr:uid="{00000000-0005-0000-0000-000063280000}"/>
    <cellStyle name="Comma 2 2 2 2 2 2 2 2 7 7 3" xfId="10343" xr:uid="{00000000-0005-0000-0000-000064280000}"/>
    <cellStyle name="Comma 2 2 2 2 2 2 2 2 7 7 4" xfId="10344" xr:uid="{00000000-0005-0000-0000-000065280000}"/>
    <cellStyle name="Comma 2 2 2 2 2 2 2 2 7 7 5" xfId="10345" xr:uid="{00000000-0005-0000-0000-000066280000}"/>
    <cellStyle name="Comma 2 2 2 2 2 2 2 2 7 7 6" xfId="10346" xr:uid="{00000000-0005-0000-0000-000067280000}"/>
    <cellStyle name="Comma 2 2 2 2 2 2 2 2 7 7 7" xfId="10347" xr:uid="{00000000-0005-0000-0000-000068280000}"/>
    <cellStyle name="Comma 2 2 2 2 2 2 2 2 7 7 8" xfId="10348" xr:uid="{00000000-0005-0000-0000-000069280000}"/>
    <cellStyle name="Comma 2 2 2 2 2 2 2 2 7 8" xfId="10349" xr:uid="{00000000-0005-0000-0000-00006A280000}"/>
    <cellStyle name="Comma 2 2 2 2 2 2 2 2 7 8 2" xfId="10350" xr:uid="{00000000-0005-0000-0000-00006B280000}"/>
    <cellStyle name="Comma 2 2 2 2 2 2 2 2 7 8 3" xfId="10351" xr:uid="{00000000-0005-0000-0000-00006C280000}"/>
    <cellStyle name="Comma 2 2 2 2 2 2 2 2 7 8 4" xfId="10352" xr:uid="{00000000-0005-0000-0000-00006D280000}"/>
    <cellStyle name="Comma 2 2 2 2 2 2 2 2 7 8 5" xfId="10353" xr:uid="{00000000-0005-0000-0000-00006E280000}"/>
    <cellStyle name="Comma 2 2 2 2 2 2 2 2 7 8 6" xfId="10354" xr:uid="{00000000-0005-0000-0000-00006F280000}"/>
    <cellStyle name="Comma 2 2 2 2 2 2 2 2 7 8 7" xfId="10355" xr:uid="{00000000-0005-0000-0000-000070280000}"/>
    <cellStyle name="Comma 2 2 2 2 2 2 2 2 7 8 8" xfId="10356" xr:uid="{00000000-0005-0000-0000-000071280000}"/>
    <cellStyle name="Comma 2 2 2 2 2 2 2 2 7 9" xfId="10357" xr:uid="{00000000-0005-0000-0000-000072280000}"/>
    <cellStyle name="Comma 2 2 2 2 2 2 2 2 7 9 2" xfId="10358" xr:uid="{00000000-0005-0000-0000-000073280000}"/>
    <cellStyle name="Comma 2 2 2 2 2 2 2 2 7 9 3" xfId="10359" xr:uid="{00000000-0005-0000-0000-000074280000}"/>
    <cellStyle name="Comma 2 2 2 2 2 2 2 2 7 9 4" xfId="10360" xr:uid="{00000000-0005-0000-0000-000075280000}"/>
    <cellStyle name="Comma 2 2 2 2 2 2 2 2 7 9 5" xfId="10361" xr:uid="{00000000-0005-0000-0000-000076280000}"/>
    <cellStyle name="Comma 2 2 2 2 2 2 2 2 7 9 6" xfId="10362" xr:uid="{00000000-0005-0000-0000-000077280000}"/>
    <cellStyle name="Comma 2 2 2 2 2 2 2 2 7 9 7" xfId="10363" xr:uid="{00000000-0005-0000-0000-000078280000}"/>
    <cellStyle name="Comma 2 2 2 2 2 2 2 2 7 9 8" xfId="10364" xr:uid="{00000000-0005-0000-0000-000079280000}"/>
    <cellStyle name="Comma 2 2 2 2 2 2 2 2 8" xfId="10365" xr:uid="{00000000-0005-0000-0000-00007A280000}"/>
    <cellStyle name="Comma 2 2 2 2 2 2 2 2 8 10" xfId="10366" xr:uid="{00000000-0005-0000-0000-00007B280000}"/>
    <cellStyle name="Comma 2 2 2 2 2 2 2 2 8 10 2" xfId="10367" xr:uid="{00000000-0005-0000-0000-00007C280000}"/>
    <cellStyle name="Comma 2 2 2 2 2 2 2 2 8 10 3" xfId="10368" xr:uid="{00000000-0005-0000-0000-00007D280000}"/>
    <cellStyle name="Comma 2 2 2 2 2 2 2 2 8 10 4" xfId="10369" xr:uid="{00000000-0005-0000-0000-00007E280000}"/>
    <cellStyle name="Comma 2 2 2 2 2 2 2 2 8 10 5" xfId="10370" xr:uid="{00000000-0005-0000-0000-00007F280000}"/>
    <cellStyle name="Comma 2 2 2 2 2 2 2 2 8 10 6" xfId="10371" xr:uid="{00000000-0005-0000-0000-000080280000}"/>
    <cellStyle name="Comma 2 2 2 2 2 2 2 2 8 10 7" xfId="10372" xr:uid="{00000000-0005-0000-0000-000081280000}"/>
    <cellStyle name="Comma 2 2 2 2 2 2 2 2 8 10 8" xfId="10373" xr:uid="{00000000-0005-0000-0000-000082280000}"/>
    <cellStyle name="Comma 2 2 2 2 2 2 2 2 8 11" xfId="10374" xr:uid="{00000000-0005-0000-0000-000083280000}"/>
    <cellStyle name="Comma 2 2 2 2 2 2 2 2 8 11 2" xfId="10375" xr:uid="{00000000-0005-0000-0000-000084280000}"/>
    <cellStyle name="Comma 2 2 2 2 2 2 2 2 8 11 3" xfId="10376" xr:uid="{00000000-0005-0000-0000-000085280000}"/>
    <cellStyle name="Comma 2 2 2 2 2 2 2 2 8 11 4" xfId="10377" xr:uid="{00000000-0005-0000-0000-000086280000}"/>
    <cellStyle name="Comma 2 2 2 2 2 2 2 2 8 11 5" xfId="10378" xr:uid="{00000000-0005-0000-0000-000087280000}"/>
    <cellStyle name="Comma 2 2 2 2 2 2 2 2 8 11 6" xfId="10379" xr:uid="{00000000-0005-0000-0000-000088280000}"/>
    <cellStyle name="Comma 2 2 2 2 2 2 2 2 8 11 7" xfId="10380" xr:uid="{00000000-0005-0000-0000-000089280000}"/>
    <cellStyle name="Comma 2 2 2 2 2 2 2 2 8 11 8" xfId="10381" xr:uid="{00000000-0005-0000-0000-00008A280000}"/>
    <cellStyle name="Comma 2 2 2 2 2 2 2 2 8 12" xfId="10382" xr:uid="{00000000-0005-0000-0000-00008B280000}"/>
    <cellStyle name="Comma 2 2 2 2 2 2 2 2 8 12 2" xfId="10383" xr:uid="{00000000-0005-0000-0000-00008C280000}"/>
    <cellStyle name="Comma 2 2 2 2 2 2 2 2 8 12 3" xfId="10384" xr:uid="{00000000-0005-0000-0000-00008D280000}"/>
    <cellStyle name="Comma 2 2 2 2 2 2 2 2 8 12 4" xfId="10385" xr:uid="{00000000-0005-0000-0000-00008E280000}"/>
    <cellStyle name="Comma 2 2 2 2 2 2 2 2 8 12 5" xfId="10386" xr:uid="{00000000-0005-0000-0000-00008F280000}"/>
    <cellStyle name="Comma 2 2 2 2 2 2 2 2 8 12 6" xfId="10387" xr:uid="{00000000-0005-0000-0000-000090280000}"/>
    <cellStyle name="Comma 2 2 2 2 2 2 2 2 8 12 7" xfId="10388" xr:uid="{00000000-0005-0000-0000-000091280000}"/>
    <cellStyle name="Comma 2 2 2 2 2 2 2 2 8 12 8" xfId="10389" xr:uid="{00000000-0005-0000-0000-000092280000}"/>
    <cellStyle name="Comma 2 2 2 2 2 2 2 2 8 13" xfId="10390" xr:uid="{00000000-0005-0000-0000-000093280000}"/>
    <cellStyle name="Comma 2 2 2 2 2 2 2 2 8 13 2" xfId="10391" xr:uid="{00000000-0005-0000-0000-000094280000}"/>
    <cellStyle name="Comma 2 2 2 2 2 2 2 2 8 13 3" xfId="10392" xr:uid="{00000000-0005-0000-0000-000095280000}"/>
    <cellStyle name="Comma 2 2 2 2 2 2 2 2 8 13 4" xfId="10393" xr:uid="{00000000-0005-0000-0000-000096280000}"/>
    <cellStyle name="Comma 2 2 2 2 2 2 2 2 8 13 5" xfId="10394" xr:uid="{00000000-0005-0000-0000-000097280000}"/>
    <cellStyle name="Comma 2 2 2 2 2 2 2 2 8 13 6" xfId="10395" xr:uid="{00000000-0005-0000-0000-000098280000}"/>
    <cellStyle name="Comma 2 2 2 2 2 2 2 2 8 13 7" xfId="10396" xr:uid="{00000000-0005-0000-0000-000099280000}"/>
    <cellStyle name="Comma 2 2 2 2 2 2 2 2 8 13 8" xfId="10397" xr:uid="{00000000-0005-0000-0000-00009A280000}"/>
    <cellStyle name="Comma 2 2 2 2 2 2 2 2 8 14" xfId="10398" xr:uid="{00000000-0005-0000-0000-00009B280000}"/>
    <cellStyle name="Comma 2 2 2 2 2 2 2 2 8 14 2" xfId="10399" xr:uid="{00000000-0005-0000-0000-00009C280000}"/>
    <cellStyle name="Comma 2 2 2 2 2 2 2 2 8 14 3" xfId="10400" xr:uid="{00000000-0005-0000-0000-00009D280000}"/>
    <cellStyle name="Comma 2 2 2 2 2 2 2 2 8 15" xfId="10401" xr:uid="{00000000-0005-0000-0000-00009E280000}"/>
    <cellStyle name="Comma 2 2 2 2 2 2 2 2 8 16" xfId="10402" xr:uid="{00000000-0005-0000-0000-00009F280000}"/>
    <cellStyle name="Comma 2 2 2 2 2 2 2 2 8 16 2" xfId="10403" xr:uid="{00000000-0005-0000-0000-0000A0280000}"/>
    <cellStyle name="Comma 2 2 2 2 2 2 2 2 8 17" xfId="10404" xr:uid="{00000000-0005-0000-0000-0000A1280000}"/>
    <cellStyle name="Comma 2 2 2 2 2 2 2 2 8 17 2" xfId="10405" xr:uid="{00000000-0005-0000-0000-0000A2280000}"/>
    <cellStyle name="Comma 2 2 2 2 2 2 2 2 8 18" xfId="10406" xr:uid="{00000000-0005-0000-0000-0000A3280000}"/>
    <cellStyle name="Comma 2 2 2 2 2 2 2 2 8 19" xfId="10407" xr:uid="{00000000-0005-0000-0000-0000A4280000}"/>
    <cellStyle name="Comma 2 2 2 2 2 2 2 2 8 2" xfId="10408" xr:uid="{00000000-0005-0000-0000-0000A5280000}"/>
    <cellStyle name="Comma 2 2 2 2 2 2 2 2 8 2 2" xfId="10409" xr:uid="{00000000-0005-0000-0000-0000A6280000}"/>
    <cellStyle name="Comma 2 2 2 2 2 2 2 2 8 2 3" xfId="10410" xr:uid="{00000000-0005-0000-0000-0000A7280000}"/>
    <cellStyle name="Comma 2 2 2 2 2 2 2 2 8 2 4" xfId="10411" xr:uid="{00000000-0005-0000-0000-0000A8280000}"/>
    <cellStyle name="Comma 2 2 2 2 2 2 2 2 8 2 5" xfId="10412" xr:uid="{00000000-0005-0000-0000-0000A9280000}"/>
    <cellStyle name="Comma 2 2 2 2 2 2 2 2 8 20" xfId="10413" xr:uid="{00000000-0005-0000-0000-0000AA280000}"/>
    <cellStyle name="Comma 2 2 2 2 2 2 2 2 8 21" xfId="10414" xr:uid="{00000000-0005-0000-0000-0000AB280000}"/>
    <cellStyle name="Comma 2 2 2 2 2 2 2 2 8 22" xfId="10415" xr:uid="{00000000-0005-0000-0000-0000AC280000}"/>
    <cellStyle name="Comma 2 2 2 2 2 2 2 2 8 23" xfId="10416" xr:uid="{00000000-0005-0000-0000-0000AD280000}"/>
    <cellStyle name="Comma 2 2 2 2 2 2 2 2 8 24" xfId="10417" xr:uid="{00000000-0005-0000-0000-0000AE280000}"/>
    <cellStyle name="Comma 2 2 2 2 2 2 2 2 8 25" xfId="10418" xr:uid="{00000000-0005-0000-0000-0000AF280000}"/>
    <cellStyle name="Comma 2 2 2 2 2 2 2 2 8 3" xfId="10419" xr:uid="{00000000-0005-0000-0000-0000B0280000}"/>
    <cellStyle name="Comma 2 2 2 2 2 2 2 2 8 3 2" xfId="10420" xr:uid="{00000000-0005-0000-0000-0000B1280000}"/>
    <cellStyle name="Comma 2 2 2 2 2 2 2 2 8 3 3" xfId="10421" xr:uid="{00000000-0005-0000-0000-0000B2280000}"/>
    <cellStyle name="Comma 2 2 2 2 2 2 2 2 8 4" xfId="10422" xr:uid="{00000000-0005-0000-0000-0000B3280000}"/>
    <cellStyle name="Comma 2 2 2 2 2 2 2 2 8 4 2" xfId="10423" xr:uid="{00000000-0005-0000-0000-0000B4280000}"/>
    <cellStyle name="Comma 2 2 2 2 2 2 2 2 8 5" xfId="10424" xr:uid="{00000000-0005-0000-0000-0000B5280000}"/>
    <cellStyle name="Comma 2 2 2 2 2 2 2 2 8 5 2" xfId="10425" xr:uid="{00000000-0005-0000-0000-0000B6280000}"/>
    <cellStyle name="Comma 2 2 2 2 2 2 2 2 8 5 3" xfId="10426" xr:uid="{00000000-0005-0000-0000-0000B7280000}"/>
    <cellStyle name="Comma 2 2 2 2 2 2 2 2 8 5 4" xfId="10427" xr:uid="{00000000-0005-0000-0000-0000B8280000}"/>
    <cellStyle name="Comma 2 2 2 2 2 2 2 2 8 5 5" xfId="10428" xr:uid="{00000000-0005-0000-0000-0000B9280000}"/>
    <cellStyle name="Comma 2 2 2 2 2 2 2 2 8 5 6" xfId="10429" xr:uid="{00000000-0005-0000-0000-0000BA280000}"/>
    <cellStyle name="Comma 2 2 2 2 2 2 2 2 8 5 7" xfId="10430" xr:uid="{00000000-0005-0000-0000-0000BB280000}"/>
    <cellStyle name="Comma 2 2 2 2 2 2 2 2 8 5 8" xfId="10431" xr:uid="{00000000-0005-0000-0000-0000BC280000}"/>
    <cellStyle name="Comma 2 2 2 2 2 2 2 2 8 6" xfId="10432" xr:uid="{00000000-0005-0000-0000-0000BD280000}"/>
    <cellStyle name="Comma 2 2 2 2 2 2 2 2 8 6 2" xfId="10433" xr:uid="{00000000-0005-0000-0000-0000BE280000}"/>
    <cellStyle name="Comma 2 2 2 2 2 2 2 2 8 7" xfId="10434" xr:uid="{00000000-0005-0000-0000-0000BF280000}"/>
    <cellStyle name="Comma 2 2 2 2 2 2 2 2 8 7 2" xfId="10435" xr:uid="{00000000-0005-0000-0000-0000C0280000}"/>
    <cellStyle name="Comma 2 2 2 2 2 2 2 2 8 7 3" xfId="10436" xr:uid="{00000000-0005-0000-0000-0000C1280000}"/>
    <cellStyle name="Comma 2 2 2 2 2 2 2 2 8 7 4" xfId="10437" xr:uid="{00000000-0005-0000-0000-0000C2280000}"/>
    <cellStyle name="Comma 2 2 2 2 2 2 2 2 8 7 5" xfId="10438" xr:uid="{00000000-0005-0000-0000-0000C3280000}"/>
    <cellStyle name="Comma 2 2 2 2 2 2 2 2 8 7 6" xfId="10439" xr:uid="{00000000-0005-0000-0000-0000C4280000}"/>
    <cellStyle name="Comma 2 2 2 2 2 2 2 2 8 7 7" xfId="10440" xr:uid="{00000000-0005-0000-0000-0000C5280000}"/>
    <cellStyle name="Comma 2 2 2 2 2 2 2 2 8 7 8" xfId="10441" xr:uid="{00000000-0005-0000-0000-0000C6280000}"/>
    <cellStyle name="Comma 2 2 2 2 2 2 2 2 8 8" xfId="10442" xr:uid="{00000000-0005-0000-0000-0000C7280000}"/>
    <cellStyle name="Comma 2 2 2 2 2 2 2 2 8 8 2" xfId="10443" xr:uid="{00000000-0005-0000-0000-0000C8280000}"/>
    <cellStyle name="Comma 2 2 2 2 2 2 2 2 8 8 3" xfId="10444" xr:uid="{00000000-0005-0000-0000-0000C9280000}"/>
    <cellStyle name="Comma 2 2 2 2 2 2 2 2 8 8 4" xfId="10445" xr:uid="{00000000-0005-0000-0000-0000CA280000}"/>
    <cellStyle name="Comma 2 2 2 2 2 2 2 2 8 8 5" xfId="10446" xr:uid="{00000000-0005-0000-0000-0000CB280000}"/>
    <cellStyle name="Comma 2 2 2 2 2 2 2 2 8 8 6" xfId="10447" xr:uid="{00000000-0005-0000-0000-0000CC280000}"/>
    <cellStyle name="Comma 2 2 2 2 2 2 2 2 8 8 7" xfId="10448" xr:uid="{00000000-0005-0000-0000-0000CD280000}"/>
    <cellStyle name="Comma 2 2 2 2 2 2 2 2 8 8 8" xfId="10449" xr:uid="{00000000-0005-0000-0000-0000CE280000}"/>
    <cellStyle name="Comma 2 2 2 2 2 2 2 2 8 9" xfId="10450" xr:uid="{00000000-0005-0000-0000-0000CF280000}"/>
    <cellStyle name="Comma 2 2 2 2 2 2 2 2 8 9 2" xfId="10451" xr:uid="{00000000-0005-0000-0000-0000D0280000}"/>
    <cellStyle name="Comma 2 2 2 2 2 2 2 2 8 9 3" xfId="10452" xr:uid="{00000000-0005-0000-0000-0000D1280000}"/>
    <cellStyle name="Comma 2 2 2 2 2 2 2 2 8 9 4" xfId="10453" xr:uid="{00000000-0005-0000-0000-0000D2280000}"/>
    <cellStyle name="Comma 2 2 2 2 2 2 2 2 8 9 5" xfId="10454" xr:uid="{00000000-0005-0000-0000-0000D3280000}"/>
    <cellStyle name="Comma 2 2 2 2 2 2 2 2 8 9 6" xfId="10455" xr:uid="{00000000-0005-0000-0000-0000D4280000}"/>
    <cellStyle name="Comma 2 2 2 2 2 2 2 2 8 9 7" xfId="10456" xr:uid="{00000000-0005-0000-0000-0000D5280000}"/>
    <cellStyle name="Comma 2 2 2 2 2 2 2 2 8 9 8" xfId="10457" xr:uid="{00000000-0005-0000-0000-0000D6280000}"/>
    <cellStyle name="Comma 2 2 2 2 2 2 2 2 9" xfId="10458" xr:uid="{00000000-0005-0000-0000-0000D7280000}"/>
    <cellStyle name="Comma 2 2 2 2 2 2 2 2 9 10" xfId="10459" xr:uid="{00000000-0005-0000-0000-0000D8280000}"/>
    <cellStyle name="Comma 2 2 2 2 2 2 2 2 9 11" xfId="10460" xr:uid="{00000000-0005-0000-0000-0000D9280000}"/>
    <cellStyle name="Comma 2 2 2 2 2 2 2 2 9 12" xfId="10461" xr:uid="{00000000-0005-0000-0000-0000DA280000}"/>
    <cellStyle name="Comma 2 2 2 2 2 2 2 2 9 13" xfId="10462" xr:uid="{00000000-0005-0000-0000-0000DB280000}"/>
    <cellStyle name="Comma 2 2 2 2 2 2 2 2 9 14" xfId="10463" xr:uid="{00000000-0005-0000-0000-0000DC280000}"/>
    <cellStyle name="Comma 2 2 2 2 2 2 2 2 9 15" xfId="10464" xr:uid="{00000000-0005-0000-0000-0000DD280000}"/>
    <cellStyle name="Comma 2 2 2 2 2 2 2 2 9 16" xfId="10465" xr:uid="{00000000-0005-0000-0000-0000DE280000}"/>
    <cellStyle name="Comma 2 2 2 2 2 2 2 2 9 17" xfId="10466" xr:uid="{00000000-0005-0000-0000-0000DF280000}"/>
    <cellStyle name="Comma 2 2 2 2 2 2 2 2 9 17 2" xfId="10467" xr:uid="{00000000-0005-0000-0000-0000E0280000}"/>
    <cellStyle name="Comma 2 2 2 2 2 2 2 2 9 18" xfId="10468" xr:uid="{00000000-0005-0000-0000-0000E1280000}"/>
    <cellStyle name="Comma 2 2 2 2 2 2 2 2 9 19" xfId="10469" xr:uid="{00000000-0005-0000-0000-0000E2280000}"/>
    <cellStyle name="Comma 2 2 2 2 2 2 2 2 9 2" xfId="10470" xr:uid="{00000000-0005-0000-0000-0000E3280000}"/>
    <cellStyle name="Comma 2 2 2 2 2 2 2 2 9 2 2" xfId="10471" xr:uid="{00000000-0005-0000-0000-0000E4280000}"/>
    <cellStyle name="Comma 2 2 2 2 2 2 2 2 9 2 2 10" xfId="10472" xr:uid="{00000000-0005-0000-0000-0000E5280000}"/>
    <cellStyle name="Comma 2 2 2 2 2 2 2 2 9 2 2 11" xfId="10473" xr:uid="{00000000-0005-0000-0000-0000E6280000}"/>
    <cellStyle name="Comma 2 2 2 2 2 2 2 2 9 2 2 12" xfId="10474" xr:uid="{00000000-0005-0000-0000-0000E7280000}"/>
    <cellStyle name="Comma 2 2 2 2 2 2 2 2 9 2 2 2" xfId="10475" xr:uid="{00000000-0005-0000-0000-0000E8280000}"/>
    <cellStyle name="Comma 2 2 2 2 2 2 2 2 9 2 2 3" xfId="10476" xr:uid="{00000000-0005-0000-0000-0000E9280000}"/>
    <cellStyle name="Comma 2 2 2 2 2 2 2 2 9 2 2 4" xfId="10477" xr:uid="{00000000-0005-0000-0000-0000EA280000}"/>
    <cellStyle name="Comma 2 2 2 2 2 2 2 2 9 2 2 5" xfId="10478" xr:uid="{00000000-0005-0000-0000-0000EB280000}"/>
    <cellStyle name="Comma 2 2 2 2 2 2 2 2 9 2 2 6" xfId="10479" xr:uid="{00000000-0005-0000-0000-0000EC280000}"/>
    <cellStyle name="Comma 2 2 2 2 2 2 2 2 9 2 2 6 2" xfId="10480" xr:uid="{00000000-0005-0000-0000-0000ED280000}"/>
    <cellStyle name="Comma 2 2 2 2 2 2 2 2 9 2 2 7" xfId="10481" xr:uid="{00000000-0005-0000-0000-0000EE280000}"/>
    <cellStyle name="Comma 2 2 2 2 2 2 2 2 9 2 2 8" xfId="10482" xr:uid="{00000000-0005-0000-0000-0000EF280000}"/>
    <cellStyle name="Comma 2 2 2 2 2 2 2 2 9 2 2 9" xfId="10483" xr:uid="{00000000-0005-0000-0000-0000F0280000}"/>
    <cellStyle name="Comma 2 2 2 2 2 2 2 2 9 2 3" xfId="10484" xr:uid="{00000000-0005-0000-0000-0000F1280000}"/>
    <cellStyle name="Comma 2 2 2 2 2 2 2 2 9 2 3 10" xfId="10485" xr:uid="{00000000-0005-0000-0000-0000F2280000}"/>
    <cellStyle name="Comma 2 2 2 2 2 2 2 2 9 2 3 11" xfId="10486" xr:uid="{00000000-0005-0000-0000-0000F3280000}"/>
    <cellStyle name="Comma 2 2 2 2 2 2 2 2 9 2 3 12" xfId="10487" xr:uid="{00000000-0005-0000-0000-0000F4280000}"/>
    <cellStyle name="Comma 2 2 2 2 2 2 2 2 9 2 3 2" xfId="10488" xr:uid="{00000000-0005-0000-0000-0000F5280000}"/>
    <cellStyle name="Comma 2 2 2 2 2 2 2 2 9 2 3 3" xfId="10489" xr:uid="{00000000-0005-0000-0000-0000F6280000}"/>
    <cellStyle name="Comma 2 2 2 2 2 2 2 2 9 2 3 4" xfId="10490" xr:uid="{00000000-0005-0000-0000-0000F7280000}"/>
    <cellStyle name="Comma 2 2 2 2 2 2 2 2 9 2 3 5" xfId="10491" xr:uid="{00000000-0005-0000-0000-0000F8280000}"/>
    <cellStyle name="Comma 2 2 2 2 2 2 2 2 9 2 3 6" xfId="10492" xr:uid="{00000000-0005-0000-0000-0000F9280000}"/>
    <cellStyle name="Comma 2 2 2 2 2 2 2 2 9 2 3 6 2" xfId="10493" xr:uid="{00000000-0005-0000-0000-0000FA280000}"/>
    <cellStyle name="Comma 2 2 2 2 2 2 2 2 9 2 3 7" xfId="10494" xr:uid="{00000000-0005-0000-0000-0000FB280000}"/>
    <cellStyle name="Comma 2 2 2 2 2 2 2 2 9 2 3 8" xfId="10495" xr:uid="{00000000-0005-0000-0000-0000FC280000}"/>
    <cellStyle name="Comma 2 2 2 2 2 2 2 2 9 2 3 9" xfId="10496" xr:uid="{00000000-0005-0000-0000-0000FD280000}"/>
    <cellStyle name="Comma 2 2 2 2 2 2 2 2 9 2 4" xfId="10497" xr:uid="{00000000-0005-0000-0000-0000FE280000}"/>
    <cellStyle name="Comma 2 2 2 2 2 2 2 2 9 2 4 10" xfId="10498" xr:uid="{00000000-0005-0000-0000-0000FF280000}"/>
    <cellStyle name="Comma 2 2 2 2 2 2 2 2 9 2 4 11" xfId="10499" xr:uid="{00000000-0005-0000-0000-000000290000}"/>
    <cellStyle name="Comma 2 2 2 2 2 2 2 2 9 2 4 12" xfId="10500" xr:uid="{00000000-0005-0000-0000-000001290000}"/>
    <cellStyle name="Comma 2 2 2 2 2 2 2 2 9 2 4 2" xfId="10501" xr:uid="{00000000-0005-0000-0000-000002290000}"/>
    <cellStyle name="Comma 2 2 2 2 2 2 2 2 9 2 4 3" xfId="10502" xr:uid="{00000000-0005-0000-0000-000003290000}"/>
    <cellStyle name="Comma 2 2 2 2 2 2 2 2 9 2 4 4" xfId="10503" xr:uid="{00000000-0005-0000-0000-000004290000}"/>
    <cellStyle name="Comma 2 2 2 2 2 2 2 2 9 2 4 5" xfId="10504" xr:uid="{00000000-0005-0000-0000-000005290000}"/>
    <cellStyle name="Comma 2 2 2 2 2 2 2 2 9 2 4 6" xfId="10505" xr:uid="{00000000-0005-0000-0000-000006290000}"/>
    <cellStyle name="Comma 2 2 2 2 2 2 2 2 9 2 4 6 2" xfId="10506" xr:uid="{00000000-0005-0000-0000-000007290000}"/>
    <cellStyle name="Comma 2 2 2 2 2 2 2 2 9 2 4 7" xfId="10507" xr:uid="{00000000-0005-0000-0000-000008290000}"/>
    <cellStyle name="Comma 2 2 2 2 2 2 2 2 9 2 4 8" xfId="10508" xr:uid="{00000000-0005-0000-0000-000009290000}"/>
    <cellStyle name="Comma 2 2 2 2 2 2 2 2 9 2 4 9" xfId="10509" xr:uid="{00000000-0005-0000-0000-00000A290000}"/>
    <cellStyle name="Comma 2 2 2 2 2 2 2 2 9 2 5" xfId="10510" xr:uid="{00000000-0005-0000-0000-00000B290000}"/>
    <cellStyle name="Comma 2 2 2 2 2 2 2 2 9 2 5 10" xfId="10511" xr:uid="{00000000-0005-0000-0000-00000C290000}"/>
    <cellStyle name="Comma 2 2 2 2 2 2 2 2 9 2 5 11" xfId="10512" xr:uid="{00000000-0005-0000-0000-00000D290000}"/>
    <cellStyle name="Comma 2 2 2 2 2 2 2 2 9 2 5 12" xfId="10513" xr:uid="{00000000-0005-0000-0000-00000E290000}"/>
    <cellStyle name="Comma 2 2 2 2 2 2 2 2 9 2 5 2" xfId="10514" xr:uid="{00000000-0005-0000-0000-00000F290000}"/>
    <cellStyle name="Comma 2 2 2 2 2 2 2 2 9 2 5 3" xfId="10515" xr:uid="{00000000-0005-0000-0000-000010290000}"/>
    <cellStyle name="Comma 2 2 2 2 2 2 2 2 9 2 5 4" xfId="10516" xr:uid="{00000000-0005-0000-0000-000011290000}"/>
    <cellStyle name="Comma 2 2 2 2 2 2 2 2 9 2 5 5" xfId="10517" xr:uid="{00000000-0005-0000-0000-000012290000}"/>
    <cellStyle name="Comma 2 2 2 2 2 2 2 2 9 2 5 6" xfId="10518" xr:uid="{00000000-0005-0000-0000-000013290000}"/>
    <cellStyle name="Comma 2 2 2 2 2 2 2 2 9 2 5 6 2" xfId="10519" xr:uid="{00000000-0005-0000-0000-000014290000}"/>
    <cellStyle name="Comma 2 2 2 2 2 2 2 2 9 2 5 7" xfId="10520" xr:uid="{00000000-0005-0000-0000-000015290000}"/>
    <cellStyle name="Comma 2 2 2 2 2 2 2 2 9 2 5 8" xfId="10521" xr:uid="{00000000-0005-0000-0000-000016290000}"/>
    <cellStyle name="Comma 2 2 2 2 2 2 2 2 9 2 5 9" xfId="10522" xr:uid="{00000000-0005-0000-0000-000017290000}"/>
    <cellStyle name="Comma 2 2 2 2 2 2 2 2 9 2 6" xfId="10523" xr:uid="{00000000-0005-0000-0000-000018290000}"/>
    <cellStyle name="Comma 2 2 2 2 2 2 2 2 9 2 6 10" xfId="10524" xr:uid="{00000000-0005-0000-0000-000019290000}"/>
    <cellStyle name="Comma 2 2 2 2 2 2 2 2 9 2 6 11" xfId="10525" xr:uid="{00000000-0005-0000-0000-00001A290000}"/>
    <cellStyle name="Comma 2 2 2 2 2 2 2 2 9 2 6 12" xfId="10526" xr:uid="{00000000-0005-0000-0000-00001B290000}"/>
    <cellStyle name="Comma 2 2 2 2 2 2 2 2 9 2 6 2" xfId="10527" xr:uid="{00000000-0005-0000-0000-00001C290000}"/>
    <cellStyle name="Comma 2 2 2 2 2 2 2 2 9 2 6 3" xfId="10528" xr:uid="{00000000-0005-0000-0000-00001D290000}"/>
    <cellStyle name="Comma 2 2 2 2 2 2 2 2 9 2 6 4" xfId="10529" xr:uid="{00000000-0005-0000-0000-00001E290000}"/>
    <cellStyle name="Comma 2 2 2 2 2 2 2 2 9 2 6 5" xfId="10530" xr:uid="{00000000-0005-0000-0000-00001F290000}"/>
    <cellStyle name="Comma 2 2 2 2 2 2 2 2 9 2 6 6" xfId="10531" xr:uid="{00000000-0005-0000-0000-000020290000}"/>
    <cellStyle name="Comma 2 2 2 2 2 2 2 2 9 2 6 6 2" xfId="10532" xr:uid="{00000000-0005-0000-0000-000021290000}"/>
    <cellStyle name="Comma 2 2 2 2 2 2 2 2 9 2 6 7" xfId="10533" xr:uid="{00000000-0005-0000-0000-000022290000}"/>
    <cellStyle name="Comma 2 2 2 2 2 2 2 2 9 2 6 8" xfId="10534" xr:uid="{00000000-0005-0000-0000-000023290000}"/>
    <cellStyle name="Comma 2 2 2 2 2 2 2 2 9 2 6 9" xfId="10535" xr:uid="{00000000-0005-0000-0000-000024290000}"/>
    <cellStyle name="Comma 2 2 2 2 2 2 2 2 9 2 7" xfId="10536" xr:uid="{00000000-0005-0000-0000-000025290000}"/>
    <cellStyle name="Comma 2 2 2 2 2 2 2 2 9 2 7 2" xfId="10537" xr:uid="{00000000-0005-0000-0000-000026290000}"/>
    <cellStyle name="Comma 2 2 2 2 2 2 2 2 9 2 8" xfId="10538" xr:uid="{00000000-0005-0000-0000-000027290000}"/>
    <cellStyle name="Comma 2 2 2 2 2 2 2 2 9 20" xfId="10539" xr:uid="{00000000-0005-0000-0000-000028290000}"/>
    <cellStyle name="Comma 2 2 2 2 2 2 2 2 9 21" xfId="10540" xr:uid="{00000000-0005-0000-0000-000029290000}"/>
    <cellStyle name="Comma 2 2 2 2 2 2 2 2 9 22" xfId="10541" xr:uid="{00000000-0005-0000-0000-00002A290000}"/>
    <cellStyle name="Comma 2 2 2 2 2 2 2 2 9 23" xfId="10542" xr:uid="{00000000-0005-0000-0000-00002B290000}"/>
    <cellStyle name="Comma 2 2 2 2 2 2 2 2 9 3" xfId="10543" xr:uid="{00000000-0005-0000-0000-00002C290000}"/>
    <cellStyle name="Comma 2 2 2 2 2 2 2 2 9 3 2" xfId="10544" xr:uid="{00000000-0005-0000-0000-00002D290000}"/>
    <cellStyle name="Comma 2 2 2 2 2 2 2 2 9 3 2 10" xfId="10545" xr:uid="{00000000-0005-0000-0000-00002E290000}"/>
    <cellStyle name="Comma 2 2 2 2 2 2 2 2 9 3 2 11" xfId="10546" xr:uid="{00000000-0005-0000-0000-00002F290000}"/>
    <cellStyle name="Comma 2 2 2 2 2 2 2 2 9 3 2 12" xfId="10547" xr:uid="{00000000-0005-0000-0000-000030290000}"/>
    <cellStyle name="Comma 2 2 2 2 2 2 2 2 9 3 2 2" xfId="10548" xr:uid="{00000000-0005-0000-0000-000031290000}"/>
    <cellStyle name="Comma 2 2 2 2 2 2 2 2 9 3 2 3" xfId="10549" xr:uid="{00000000-0005-0000-0000-000032290000}"/>
    <cellStyle name="Comma 2 2 2 2 2 2 2 2 9 3 2 4" xfId="10550" xr:uid="{00000000-0005-0000-0000-000033290000}"/>
    <cellStyle name="Comma 2 2 2 2 2 2 2 2 9 3 2 5" xfId="10551" xr:uid="{00000000-0005-0000-0000-000034290000}"/>
    <cellStyle name="Comma 2 2 2 2 2 2 2 2 9 3 2 6" xfId="10552" xr:uid="{00000000-0005-0000-0000-000035290000}"/>
    <cellStyle name="Comma 2 2 2 2 2 2 2 2 9 3 2 6 2" xfId="10553" xr:uid="{00000000-0005-0000-0000-000036290000}"/>
    <cellStyle name="Comma 2 2 2 2 2 2 2 2 9 3 2 7" xfId="10554" xr:uid="{00000000-0005-0000-0000-000037290000}"/>
    <cellStyle name="Comma 2 2 2 2 2 2 2 2 9 3 2 8" xfId="10555" xr:uid="{00000000-0005-0000-0000-000038290000}"/>
    <cellStyle name="Comma 2 2 2 2 2 2 2 2 9 3 2 9" xfId="10556" xr:uid="{00000000-0005-0000-0000-000039290000}"/>
    <cellStyle name="Comma 2 2 2 2 2 2 2 2 9 3 3" xfId="10557" xr:uid="{00000000-0005-0000-0000-00003A290000}"/>
    <cellStyle name="Comma 2 2 2 2 2 2 2 2 9 3 3 10" xfId="10558" xr:uid="{00000000-0005-0000-0000-00003B290000}"/>
    <cellStyle name="Comma 2 2 2 2 2 2 2 2 9 3 3 11" xfId="10559" xr:uid="{00000000-0005-0000-0000-00003C290000}"/>
    <cellStyle name="Comma 2 2 2 2 2 2 2 2 9 3 3 12" xfId="10560" xr:uid="{00000000-0005-0000-0000-00003D290000}"/>
    <cellStyle name="Comma 2 2 2 2 2 2 2 2 9 3 3 2" xfId="10561" xr:uid="{00000000-0005-0000-0000-00003E290000}"/>
    <cellStyle name="Comma 2 2 2 2 2 2 2 2 9 3 3 3" xfId="10562" xr:uid="{00000000-0005-0000-0000-00003F290000}"/>
    <cellStyle name="Comma 2 2 2 2 2 2 2 2 9 3 3 4" xfId="10563" xr:uid="{00000000-0005-0000-0000-000040290000}"/>
    <cellStyle name="Comma 2 2 2 2 2 2 2 2 9 3 3 5" xfId="10564" xr:uid="{00000000-0005-0000-0000-000041290000}"/>
    <cellStyle name="Comma 2 2 2 2 2 2 2 2 9 3 3 6" xfId="10565" xr:uid="{00000000-0005-0000-0000-000042290000}"/>
    <cellStyle name="Comma 2 2 2 2 2 2 2 2 9 3 3 6 2" xfId="10566" xr:uid="{00000000-0005-0000-0000-000043290000}"/>
    <cellStyle name="Comma 2 2 2 2 2 2 2 2 9 3 3 7" xfId="10567" xr:uid="{00000000-0005-0000-0000-000044290000}"/>
    <cellStyle name="Comma 2 2 2 2 2 2 2 2 9 3 3 8" xfId="10568" xr:uid="{00000000-0005-0000-0000-000045290000}"/>
    <cellStyle name="Comma 2 2 2 2 2 2 2 2 9 3 3 9" xfId="10569" xr:uid="{00000000-0005-0000-0000-000046290000}"/>
    <cellStyle name="Comma 2 2 2 2 2 2 2 2 9 3 4" xfId="10570" xr:uid="{00000000-0005-0000-0000-000047290000}"/>
    <cellStyle name="Comma 2 2 2 2 2 2 2 2 9 3 4 10" xfId="10571" xr:uid="{00000000-0005-0000-0000-000048290000}"/>
    <cellStyle name="Comma 2 2 2 2 2 2 2 2 9 3 4 11" xfId="10572" xr:uid="{00000000-0005-0000-0000-000049290000}"/>
    <cellStyle name="Comma 2 2 2 2 2 2 2 2 9 3 4 12" xfId="10573" xr:uid="{00000000-0005-0000-0000-00004A290000}"/>
    <cellStyle name="Comma 2 2 2 2 2 2 2 2 9 3 4 2" xfId="10574" xr:uid="{00000000-0005-0000-0000-00004B290000}"/>
    <cellStyle name="Comma 2 2 2 2 2 2 2 2 9 3 4 3" xfId="10575" xr:uid="{00000000-0005-0000-0000-00004C290000}"/>
    <cellStyle name="Comma 2 2 2 2 2 2 2 2 9 3 4 4" xfId="10576" xr:uid="{00000000-0005-0000-0000-00004D290000}"/>
    <cellStyle name="Comma 2 2 2 2 2 2 2 2 9 3 4 5" xfId="10577" xr:uid="{00000000-0005-0000-0000-00004E290000}"/>
    <cellStyle name="Comma 2 2 2 2 2 2 2 2 9 3 4 6" xfId="10578" xr:uid="{00000000-0005-0000-0000-00004F290000}"/>
    <cellStyle name="Comma 2 2 2 2 2 2 2 2 9 3 4 6 2" xfId="10579" xr:uid="{00000000-0005-0000-0000-000050290000}"/>
    <cellStyle name="Comma 2 2 2 2 2 2 2 2 9 3 4 7" xfId="10580" xr:uid="{00000000-0005-0000-0000-000051290000}"/>
    <cellStyle name="Comma 2 2 2 2 2 2 2 2 9 3 4 8" xfId="10581" xr:uid="{00000000-0005-0000-0000-000052290000}"/>
    <cellStyle name="Comma 2 2 2 2 2 2 2 2 9 3 4 9" xfId="10582" xr:uid="{00000000-0005-0000-0000-000053290000}"/>
    <cellStyle name="Comma 2 2 2 2 2 2 2 2 9 3 5" xfId="10583" xr:uid="{00000000-0005-0000-0000-000054290000}"/>
    <cellStyle name="Comma 2 2 2 2 2 2 2 2 9 3 5 10" xfId="10584" xr:uid="{00000000-0005-0000-0000-000055290000}"/>
    <cellStyle name="Comma 2 2 2 2 2 2 2 2 9 3 5 11" xfId="10585" xr:uid="{00000000-0005-0000-0000-000056290000}"/>
    <cellStyle name="Comma 2 2 2 2 2 2 2 2 9 3 5 12" xfId="10586" xr:uid="{00000000-0005-0000-0000-000057290000}"/>
    <cellStyle name="Comma 2 2 2 2 2 2 2 2 9 3 5 2" xfId="10587" xr:uid="{00000000-0005-0000-0000-000058290000}"/>
    <cellStyle name="Comma 2 2 2 2 2 2 2 2 9 3 5 3" xfId="10588" xr:uid="{00000000-0005-0000-0000-000059290000}"/>
    <cellStyle name="Comma 2 2 2 2 2 2 2 2 9 3 5 4" xfId="10589" xr:uid="{00000000-0005-0000-0000-00005A290000}"/>
    <cellStyle name="Comma 2 2 2 2 2 2 2 2 9 3 5 5" xfId="10590" xr:uid="{00000000-0005-0000-0000-00005B290000}"/>
    <cellStyle name="Comma 2 2 2 2 2 2 2 2 9 3 5 6" xfId="10591" xr:uid="{00000000-0005-0000-0000-00005C290000}"/>
    <cellStyle name="Comma 2 2 2 2 2 2 2 2 9 3 5 6 2" xfId="10592" xr:uid="{00000000-0005-0000-0000-00005D290000}"/>
    <cellStyle name="Comma 2 2 2 2 2 2 2 2 9 3 5 7" xfId="10593" xr:uid="{00000000-0005-0000-0000-00005E290000}"/>
    <cellStyle name="Comma 2 2 2 2 2 2 2 2 9 3 5 8" xfId="10594" xr:uid="{00000000-0005-0000-0000-00005F290000}"/>
    <cellStyle name="Comma 2 2 2 2 2 2 2 2 9 3 5 9" xfId="10595" xr:uid="{00000000-0005-0000-0000-000060290000}"/>
    <cellStyle name="Comma 2 2 2 2 2 2 2 2 9 3 6" xfId="10596" xr:uid="{00000000-0005-0000-0000-000061290000}"/>
    <cellStyle name="Comma 2 2 2 2 2 2 2 2 9 4" xfId="10597" xr:uid="{00000000-0005-0000-0000-000062290000}"/>
    <cellStyle name="Comma 2 2 2 2 2 2 2 2 9 4 2" xfId="10598" xr:uid="{00000000-0005-0000-0000-000063290000}"/>
    <cellStyle name="Comma 2 2 2 2 2 2 2 2 9 4 2 10" xfId="10599" xr:uid="{00000000-0005-0000-0000-000064290000}"/>
    <cellStyle name="Comma 2 2 2 2 2 2 2 2 9 4 2 11" xfId="10600" xr:uid="{00000000-0005-0000-0000-000065290000}"/>
    <cellStyle name="Comma 2 2 2 2 2 2 2 2 9 4 2 12" xfId="10601" xr:uid="{00000000-0005-0000-0000-000066290000}"/>
    <cellStyle name="Comma 2 2 2 2 2 2 2 2 9 4 2 2" xfId="10602" xr:uid="{00000000-0005-0000-0000-000067290000}"/>
    <cellStyle name="Comma 2 2 2 2 2 2 2 2 9 4 2 3" xfId="10603" xr:uid="{00000000-0005-0000-0000-000068290000}"/>
    <cellStyle name="Comma 2 2 2 2 2 2 2 2 9 4 2 4" xfId="10604" xr:uid="{00000000-0005-0000-0000-000069290000}"/>
    <cellStyle name="Comma 2 2 2 2 2 2 2 2 9 4 2 5" xfId="10605" xr:uid="{00000000-0005-0000-0000-00006A290000}"/>
    <cellStyle name="Comma 2 2 2 2 2 2 2 2 9 4 2 6" xfId="10606" xr:uid="{00000000-0005-0000-0000-00006B290000}"/>
    <cellStyle name="Comma 2 2 2 2 2 2 2 2 9 4 2 6 2" xfId="10607" xr:uid="{00000000-0005-0000-0000-00006C290000}"/>
    <cellStyle name="Comma 2 2 2 2 2 2 2 2 9 4 2 7" xfId="10608" xr:uid="{00000000-0005-0000-0000-00006D290000}"/>
    <cellStyle name="Comma 2 2 2 2 2 2 2 2 9 4 2 8" xfId="10609" xr:uid="{00000000-0005-0000-0000-00006E290000}"/>
    <cellStyle name="Comma 2 2 2 2 2 2 2 2 9 4 2 9" xfId="10610" xr:uid="{00000000-0005-0000-0000-00006F290000}"/>
    <cellStyle name="Comma 2 2 2 2 2 2 2 2 9 4 3" xfId="10611" xr:uid="{00000000-0005-0000-0000-000070290000}"/>
    <cellStyle name="Comma 2 2 2 2 2 2 2 2 9 4 3 10" xfId="10612" xr:uid="{00000000-0005-0000-0000-000071290000}"/>
    <cellStyle name="Comma 2 2 2 2 2 2 2 2 9 4 3 11" xfId="10613" xr:uid="{00000000-0005-0000-0000-000072290000}"/>
    <cellStyle name="Comma 2 2 2 2 2 2 2 2 9 4 3 12" xfId="10614" xr:uid="{00000000-0005-0000-0000-000073290000}"/>
    <cellStyle name="Comma 2 2 2 2 2 2 2 2 9 4 3 2" xfId="10615" xr:uid="{00000000-0005-0000-0000-000074290000}"/>
    <cellStyle name="Comma 2 2 2 2 2 2 2 2 9 4 3 3" xfId="10616" xr:uid="{00000000-0005-0000-0000-000075290000}"/>
    <cellStyle name="Comma 2 2 2 2 2 2 2 2 9 4 3 4" xfId="10617" xr:uid="{00000000-0005-0000-0000-000076290000}"/>
    <cellStyle name="Comma 2 2 2 2 2 2 2 2 9 4 3 5" xfId="10618" xr:uid="{00000000-0005-0000-0000-000077290000}"/>
    <cellStyle name="Comma 2 2 2 2 2 2 2 2 9 4 3 6" xfId="10619" xr:uid="{00000000-0005-0000-0000-000078290000}"/>
    <cellStyle name="Comma 2 2 2 2 2 2 2 2 9 4 3 6 2" xfId="10620" xr:uid="{00000000-0005-0000-0000-000079290000}"/>
    <cellStyle name="Comma 2 2 2 2 2 2 2 2 9 4 3 7" xfId="10621" xr:uid="{00000000-0005-0000-0000-00007A290000}"/>
    <cellStyle name="Comma 2 2 2 2 2 2 2 2 9 4 3 8" xfId="10622" xr:uid="{00000000-0005-0000-0000-00007B290000}"/>
    <cellStyle name="Comma 2 2 2 2 2 2 2 2 9 4 3 9" xfId="10623" xr:uid="{00000000-0005-0000-0000-00007C290000}"/>
    <cellStyle name="Comma 2 2 2 2 2 2 2 2 9 4 4" xfId="10624" xr:uid="{00000000-0005-0000-0000-00007D290000}"/>
    <cellStyle name="Comma 2 2 2 2 2 2 2 2 9 4 4 10" xfId="10625" xr:uid="{00000000-0005-0000-0000-00007E290000}"/>
    <cellStyle name="Comma 2 2 2 2 2 2 2 2 9 4 4 11" xfId="10626" xr:uid="{00000000-0005-0000-0000-00007F290000}"/>
    <cellStyle name="Comma 2 2 2 2 2 2 2 2 9 4 4 12" xfId="10627" xr:uid="{00000000-0005-0000-0000-000080290000}"/>
    <cellStyle name="Comma 2 2 2 2 2 2 2 2 9 4 4 2" xfId="10628" xr:uid="{00000000-0005-0000-0000-000081290000}"/>
    <cellStyle name="Comma 2 2 2 2 2 2 2 2 9 4 4 3" xfId="10629" xr:uid="{00000000-0005-0000-0000-000082290000}"/>
    <cellStyle name="Comma 2 2 2 2 2 2 2 2 9 4 4 4" xfId="10630" xr:uid="{00000000-0005-0000-0000-000083290000}"/>
    <cellStyle name="Comma 2 2 2 2 2 2 2 2 9 4 4 5" xfId="10631" xr:uid="{00000000-0005-0000-0000-000084290000}"/>
    <cellStyle name="Comma 2 2 2 2 2 2 2 2 9 4 4 6" xfId="10632" xr:uid="{00000000-0005-0000-0000-000085290000}"/>
    <cellStyle name="Comma 2 2 2 2 2 2 2 2 9 4 4 6 2" xfId="10633" xr:uid="{00000000-0005-0000-0000-000086290000}"/>
    <cellStyle name="Comma 2 2 2 2 2 2 2 2 9 4 4 7" xfId="10634" xr:uid="{00000000-0005-0000-0000-000087290000}"/>
    <cellStyle name="Comma 2 2 2 2 2 2 2 2 9 4 4 8" xfId="10635" xr:uid="{00000000-0005-0000-0000-000088290000}"/>
    <cellStyle name="Comma 2 2 2 2 2 2 2 2 9 4 4 9" xfId="10636" xr:uid="{00000000-0005-0000-0000-000089290000}"/>
    <cellStyle name="Comma 2 2 2 2 2 2 2 2 9 5" xfId="10637" xr:uid="{00000000-0005-0000-0000-00008A290000}"/>
    <cellStyle name="Comma 2 2 2 2 2 2 2 2 9 5 2" xfId="10638" xr:uid="{00000000-0005-0000-0000-00008B290000}"/>
    <cellStyle name="Comma 2 2 2 2 2 2 2 2 9 5 2 10" xfId="10639" xr:uid="{00000000-0005-0000-0000-00008C290000}"/>
    <cellStyle name="Comma 2 2 2 2 2 2 2 2 9 5 2 11" xfId="10640" xr:uid="{00000000-0005-0000-0000-00008D290000}"/>
    <cellStyle name="Comma 2 2 2 2 2 2 2 2 9 5 2 12" xfId="10641" xr:uid="{00000000-0005-0000-0000-00008E290000}"/>
    <cellStyle name="Comma 2 2 2 2 2 2 2 2 9 5 2 2" xfId="10642" xr:uid="{00000000-0005-0000-0000-00008F290000}"/>
    <cellStyle name="Comma 2 2 2 2 2 2 2 2 9 5 2 3" xfId="10643" xr:uid="{00000000-0005-0000-0000-000090290000}"/>
    <cellStyle name="Comma 2 2 2 2 2 2 2 2 9 5 2 4" xfId="10644" xr:uid="{00000000-0005-0000-0000-000091290000}"/>
    <cellStyle name="Comma 2 2 2 2 2 2 2 2 9 5 2 5" xfId="10645" xr:uid="{00000000-0005-0000-0000-000092290000}"/>
    <cellStyle name="Comma 2 2 2 2 2 2 2 2 9 5 2 6" xfId="10646" xr:uid="{00000000-0005-0000-0000-000093290000}"/>
    <cellStyle name="Comma 2 2 2 2 2 2 2 2 9 5 2 6 2" xfId="10647" xr:uid="{00000000-0005-0000-0000-000094290000}"/>
    <cellStyle name="Comma 2 2 2 2 2 2 2 2 9 5 2 7" xfId="10648" xr:uid="{00000000-0005-0000-0000-000095290000}"/>
    <cellStyle name="Comma 2 2 2 2 2 2 2 2 9 5 2 8" xfId="10649" xr:uid="{00000000-0005-0000-0000-000096290000}"/>
    <cellStyle name="Comma 2 2 2 2 2 2 2 2 9 5 2 9" xfId="10650" xr:uid="{00000000-0005-0000-0000-000097290000}"/>
    <cellStyle name="Comma 2 2 2 2 2 2 2 2 9 5 3" xfId="10651" xr:uid="{00000000-0005-0000-0000-000098290000}"/>
    <cellStyle name="Comma 2 2 2 2 2 2 2 2 9 5 3 10" xfId="10652" xr:uid="{00000000-0005-0000-0000-000099290000}"/>
    <cellStyle name="Comma 2 2 2 2 2 2 2 2 9 5 3 11" xfId="10653" xr:uid="{00000000-0005-0000-0000-00009A290000}"/>
    <cellStyle name="Comma 2 2 2 2 2 2 2 2 9 5 3 12" xfId="10654" xr:uid="{00000000-0005-0000-0000-00009B290000}"/>
    <cellStyle name="Comma 2 2 2 2 2 2 2 2 9 5 3 2" xfId="10655" xr:uid="{00000000-0005-0000-0000-00009C290000}"/>
    <cellStyle name="Comma 2 2 2 2 2 2 2 2 9 5 3 3" xfId="10656" xr:uid="{00000000-0005-0000-0000-00009D290000}"/>
    <cellStyle name="Comma 2 2 2 2 2 2 2 2 9 5 3 4" xfId="10657" xr:uid="{00000000-0005-0000-0000-00009E290000}"/>
    <cellStyle name="Comma 2 2 2 2 2 2 2 2 9 5 3 5" xfId="10658" xr:uid="{00000000-0005-0000-0000-00009F290000}"/>
    <cellStyle name="Comma 2 2 2 2 2 2 2 2 9 5 3 6" xfId="10659" xr:uid="{00000000-0005-0000-0000-0000A0290000}"/>
    <cellStyle name="Comma 2 2 2 2 2 2 2 2 9 5 3 6 2" xfId="10660" xr:uid="{00000000-0005-0000-0000-0000A1290000}"/>
    <cellStyle name="Comma 2 2 2 2 2 2 2 2 9 5 3 7" xfId="10661" xr:uid="{00000000-0005-0000-0000-0000A2290000}"/>
    <cellStyle name="Comma 2 2 2 2 2 2 2 2 9 5 3 8" xfId="10662" xr:uid="{00000000-0005-0000-0000-0000A3290000}"/>
    <cellStyle name="Comma 2 2 2 2 2 2 2 2 9 5 3 9" xfId="10663" xr:uid="{00000000-0005-0000-0000-0000A4290000}"/>
    <cellStyle name="Comma 2 2 2 2 2 2 2 2 9 6" xfId="10664" xr:uid="{00000000-0005-0000-0000-0000A5290000}"/>
    <cellStyle name="Comma 2 2 2 2 2 2 2 2 9 6 2" xfId="10665" xr:uid="{00000000-0005-0000-0000-0000A6290000}"/>
    <cellStyle name="Comma 2 2 2 2 2 2 2 2 9 6 2 10" xfId="10666" xr:uid="{00000000-0005-0000-0000-0000A7290000}"/>
    <cellStyle name="Comma 2 2 2 2 2 2 2 2 9 6 2 11" xfId="10667" xr:uid="{00000000-0005-0000-0000-0000A8290000}"/>
    <cellStyle name="Comma 2 2 2 2 2 2 2 2 9 6 2 12" xfId="10668" xr:uid="{00000000-0005-0000-0000-0000A9290000}"/>
    <cellStyle name="Comma 2 2 2 2 2 2 2 2 9 6 2 2" xfId="10669" xr:uid="{00000000-0005-0000-0000-0000AA290000}"/>
    <cellStyle name="Comma 2 2 2 2 2 2 2 2 9 6 2 3" xfId="10670" xr:uid="{00000000-0005-0000-0000-0000AB290000}"/>
    <cellStyle name="Comma 2 2 2 2 2 2 2 2 9 6 2 4" xfId="10671" xr:uid="{00000000-0005-0000-0000-0000AC290000}"/>
    <cellStyle name="Comma 2 2 2 2 2 2 2 2 9 6 2 5" xfId="10672" xr:uid="{00000000-0005-0000-0000-0000AD290000}"/>
    <cellStyle name="Comma 2 2 2 2 2 2 2 2 9 6 2 6" xfId="10673" xr:uid="{00000000-0005-0000-0000-0000AE290000}"/>
    <cellStyle name="Comma 2 2 2 2 2 2 2 2 9 6 2 6 2" xfId="10674" xr:uid="{00000000-0005-0000-0000-0000AF290000}"/>
    <cellStyle name="Comma 2 2 2 2 2 2 2 2 9 6 2 7" xfId="10675" xr:uid="{00000000-0005-0000-0000-0000B0290000}"/>
    <cellStyle name="Comma 2 2 2 2 2 2 2 2 9 6 2 8" xfId="10676" xr:uid="{00000000-0005-0000-0000-0000B1290000}"/>
    <cellStyle name="Comma 2 2 2 2 2 2 2 2 9 6 2 9" xfId="10677" xr:uid="{00000000-0005-0000-0000-0000B2290000}"/>
    <cellStyle name="Comma 2 2 2 2 2 2 2 2 9 7" xfId="10678" xr:uid="{00000000-0005-0000-0000-0000B3290000}"/>
    <cellStyle name="Comma 2 2 2 2 2 2 2 2 9 7 10" xfId="10679" xr:uid="{00000000-0005-0000-0000-0000B4290000}"/>
    <cellStyle name="Comma 2 2 2 2 2 2 2 2 9 7 11" xfId="10680" xr:uid="{00000000-0005-0000-0000-0000B5290000}"/>
    <cellStyle name="Comma 2 2 2 2 2 2 2 2 9 7 12" xfId="10681" xr:uid="{00000000-0005-0000-0000-0000B6290000}"/>
    <cellStyle name="Comma 2 2 2 2 2 2 2 2 9 7 2" xfId="10682" xr:uid="{00000000-0005-0000-0000-0000B7290000}"/>
    <cellStyle name="Comma 2 2 2 2 2 2 2 2 9 7 3" xfId="10683" xr:uid="{00000000-0005-0000-0000-0000B8290000}"/>
    <cellStyle name="Comma 2 2 2 2 2 2 2 2 9 7 4" xfId="10684" xr:uid="{00000000-0005-0000-0000-0000B9290000}"/>
    <cellStyle name="Comma 2 2 2 2 2 2 2 2 9 7 5" xfId="10685" xr:uid="{00000000-0005-0000-0000-0000BA290000}"/>
    <cellStyle name="Comma 2 2 2 2 2 2 2 2 9 7 6" xfId="10686" xr:uid="{00000000-0005-0000-0000-0000BB290000}"/>
    <cellStyle name="Comma 2 2 2 2 2 2 2 2 9 7 6 2" xfId="10687" xr:uid="{00000000-0005-0000-0000-0000BC290000}"/>
    <cellStyle name="Comma 2 2 2 2 2 2 2 2 9 7 7" xfId="10688" xr:uid="{00000000-0005-0000-0000-0000BD290000}"/>
    <cellStyle name="Comma 2 2 2 2 2 2 2 2 9 7 8" xfId="10689" xr:uid="{00000000-0005-0000-0000-0000BE290000}"/>
    <cellStyle name="Comma 2 2 2 2 2 2 2 2 9 7 9" xfId="10690" xr:uid="{00000000-0005-0000-0000-0000BF290000}"/>
    <cellStyle name="Comma 2 2 2 2 2 2 2 2 9 8" xfId="10691" xr:uid="{00000000-0005-0000-0000-0000C0290000}"/>
    <cellStyle name="Comma 2 2 2 2 2 2 2 2 9 9" xfId="10692" xr:uid="{00000000-0005-0000-0000-0000C1290000}"/>
    <cellStyle name="Comma 2 2 2 2 2 2 2 20" xfId="10693" xr:uid="{00000000-0005-0000-0000-0000C2290000}"/>
    <cellStyle name="Comma 2 2 2 2 2 2 2 21" xfId="10694" xr:uid="{00000000-0005-0000-0000-0000C3290000}"/>
    <cellStyle name="Comma 2 2 2 2 2 2 2 22" xfId="10695" xr:uid="{00000000-0005-0000-0000-0000C4290000}"/>
    <cellStyle name="Comma 2 2 2 2 2 2 2 23" xfId="10696" xr:uid="{00000000-0005-0000-0000-0000C5290000}"/>
    <cellStyle name="Comma 2 2 2 2 2 2 2 24" xfId="10697" xr:uid="{00000000-0005-0000-0000-0000C6290000}"/>
    <cellStyle name="Comma 2 2 2 2 2 2 2 25" xfId="10698" xr:uid="{00000000-0005-0000-0000-0000C7290000}"/>
    <cellStyle name="Comma 2 2 2 2 2 2 2 26" xfId="10699" xr:uid="{00000000-0005-0000-0000-0000C8290000}"/>
    <cellStyle name="Comma 2 2 2 2 2 2 2 27" xfId="10700" xr:uid="{00000000-0005-0000-0000-0000C9290000}"/>
    <cellStyle name="Comma 2 2 2 2 2 2 2 28" xfId="10701" xr:uid="{00000000-0005-0000-0000-0000CA290000}"/>
    <cellStyle name="Comma 2 2 2 2 2 2 2 28 2" xfId="10702" xr:uid="{00000000-0005-0000-0000-0000CB290000}"/>
    <cellStyle name="Comma 2 2 2 2 2 2 2 28 3" xfId="10703" xr:uid="{00000000-0005-0000-0000-0000CC290000}"/>
    <cellStyle name="Comma 2 2 2 2 2 2 2 29" xfId="10704" xr:uid="{00000000-0005-0000-0000-0000CD290000}"/>
    <cellStyle name="Comma 2 2 2 2 2 2 2 3" xfId="10705" xr:uid="{00000000-0005-0000-0000-0000CE290000}"/>
    <cellStyle name="Comma 2 2 2 2 2 2 2 3 2" xfId="10706" xr:uid="{00000000-0005-0000-0000-0000CF290000}"/>
    <cellStyle name="Comma 2 2 2 2 2 2 2 3 2 2" xfId="10707" xr:uid="{00000000-0005-0000-0000-0000D0290000}"/>
    <cellStyle name="Comma 2 2 2 2 2 2 2 3 2 2 2" xfId="10708" xr:uid="{00000000-0005-0000-0000-0000D1290000}"/>
    <cellStyle name="Comma 2 2 2 2 2 2 2 3 2 2 2 2" xfId="10709" xr:uid="{00000000-0005-0000-0000-0000D2290000}"/>
    <cellStyle name="Comma 2 2 2 2 2 2 2 3 3" xfId="10710" xr:uid="{00000000-0005-0000-0000-0000D3290000}"/>
    <cellStyle name="Comma 2 2 2 2 2 2 2 30" xfId="10711" xr:uid="{00000000-0005-0000-0000-0000D4290000}"/>
    <cellStyle name="Comma 2 2 2 2 2 2 2 31" xfId="10712" xr:uid="{00000000-0005-0000-0000-0000D5290000}"/>
    <cellStyle name="Comma 2 2 2 2 2 2 2 31 2" xfId="10713" xr:uid="{00000000-0005-0000-0000-0000D6290000}"/>
    <cellStyle name="Comma 2 2 2 2 2 2 2 32" xfId="10714" xr:uid="{00000000-0005-0000-0000-0000D7290000}"/>
    <cellStyle name="Comma 2 2 2 2 2 2 2 33" xfId="10715" xr:uid="{00000000-0005-0000-0000-0000D8290000}"/>
    <cellStyle name="Comma 2 2 2 2 2 2 2 34" xfId="10716" xr:uid="{00000000-0005-0000-0000-0000D9290000}"/>
    <cellStyle name="Comma 2 2 2 2 2 2 2 35" xfId="10717" xr:uid="{00000000-0005-0000-0000-0000DA290000}"/>
    <cellStyle name="Comma 2 2 2 2 2 2 2 36" xfId="10718" xr:uid="{00000000-0005-0000-0000-0000DB290000}"/>
    <cellStyle name="Comma 2 2 2 2 2 2 2 37" xfId="10719" xr:uid="{00000000-0005-0000-0000-0000DC290000}"/>
    <cellStyle name="Comma 2 2 2 2 2 2 2 38" xfId="10720" xr:uid="{00000000-0005-0000-0000-0000DD290000}"/>
    <cellStyle name="Comma 2 2 2 2 2 2 2 39" xfId="10721" xr:uid="{00000000-0005-0000-0000-0000DE290000}"/>
    <cellStyle name="Comma 2 2 2 2 2 2 2 4" xfId="10722" xr:uid="{00000000-0005-0000-0000-0000DF290000}"/>
    <cellStyle name="Comma 2 2 2 2 2 2 2 4 2" xfId="10723" xr:uid="{00000000-0005-0000-0000-0000E0290000}"/>
    <cellStyle name="Comma 2 2 2 2 2 2 2 4 2 2" xfId="10724" xr:uid="{00000000-0005-0000-0000-0000E1290000}"/>
    <cellStyle name="Comma 2 2 2 2 2 2 2 5" xfId="10725" xr:uid="{00000000-0005-0000-0000-0000E2290000}"/>
    <cellStyle name="Comma 2 2 2 2 2 2 2 6" xfId="10726" xr:uid="{00000000-0005-0000-0000-0000E3290000}"/>
    <cellStyle name="Comma 2 2 2 2 2 2 2 7" xfId="10727" xr:uid="{00000000-0005-0000-0000-0000E4290000}"/>
    <cellStyle name="Comma 2 2 2 2 2 2 2 8" xfId="10728" xr:uid="{00000000-0005-0000-0000-0000E5290000}"/>
    <cellStyle name="Comma 2 2 2 2 2 2 2 9" xfId="10729" xr:uid="{00000000-0005-0000-0000-0000E6290000}"/>
    <cellStyle name="Comma 2 2 2 2 2 2 20" xfId="10730" xr:uid="{00000000-0005-0000-0000-0000E7290000}"/>
    <cellStyle name="Comma 2 2 2 2 2 2 20 2" xfId="10731" xr:uid="{00000000-0005-0000-0000-0000E8290000}"/>
    <cellStyle name="Comma 2 2 2 2 2 2 20 3" xfId="10732" xr:uid="{00000000-0005-0000-0000-0000E9290000}"/>
    <cellStyle name="Comma 2 2 2 2 2 2 20 4" xfId="10733" xr:uid="{00000000-0005-0000-0000-0000EA290000}"/>
    <cellStyle name="Comma 2 2 2 2 2 2 20 5" xfId="10734" xr:uid="{00000000-0005-0000-0000-0000EB290000}"/>
    <cellStyle name="Comma 2 2 2 2 2 2 20 6" xfId="10735" xr:uid="{00000000-0005-0000-0000-0000EC290000}"/>
    <cellStyle name="Comma 2 2 2 2 2 2 20 7" xfId="10736" xr:uid="{00000000-0005-0000-0000-0000ED290000}"/>
    <cellStyle name="Comma 2 2 2 2 2 2 20 8" xfId="10737" xr:uid="{00000000-0005-0000-0000-0000EE290000}"/>
    <cellStyle name="Comma 2 2 2 2 2 2 21" xfId="10738" xr:uid="{00000000-0005-0000-0000-0000EF290000}"/>
    <cellStyle name="Comma 2 2 2 2 2 2 21 2" xfId="10739" xr:uid="{00000000-0005-0000-0000-0000F0290000}"/>
    <cellStyle name="Comma 2 2 2 2 2 2 21 3" xfId="10740" xr:uid="{00000000-0005-0000-0000-0000F1290000}"/>
    <cellStyle name="Comma 2 2 2 2 2 2 21 4" xfId="10741" xr:uid="{00000000-0005-0000-0000-0000F2290000}"/>
    <cellStyle name="Comma 2 2 2 2 2 2 21 5" xfId="10742" xr:uid="{00000000-0005-0000-0000-0000F3290000}"/>
    <cellStyle name="Comma 2 2 2 2 2 2 21 6" xfId="10743" xr:uid="{00000000-0005-0000-0000-0000F4290000}"/>
    <cellStyle name="Comma 2 2 2 2 2 2 21 7" xfId="10744" xr:uid="{00000000-0005-0000-0000-0000F5290000}"/>
    <cellStyle name="Comma 2 2 2 2 2 2 21 8" xfId="10745" xr:uid="{00000000-0005-0000-0000-0000F6290000}"/>
    <cellStyle name="Comma 2 2 2 2 2 2 22" xfId="10746" xr:uid="{00000000-0005-0000-0000-0000F7290000}"/>
    <cellStyle name="Comma 2 2 2 2 2 2 22 2" xfId="10747" xr:uid="{00000000-0005-0000-0000-0000F8290000}"/>
    <cellStyle name="Comma 2 2 2 2 2 2 22 3" xfId="10748" xr:uid="{00000000-0005-0000-0000-0000F9290000}"/>
    <cellStyle name="Comma 2 2 2 2 2 2 22 4" xfId="10749" xr:uid="{00000000-0005-0000-0000-0000FA290000}"/>
    <cellStyle name="Comma 2 2 2 2 2 2 22 5" xfId="10750" xr:uid="{00000000-0005-0000-0000-0000FB290000}"/>
    <cellStyle name="Comma 2 2 2 2 2 2 22 6" xfId="10751" xr:uid="{00000000-0005-0000-0000-0000FC290000}"/>
    <cellStyle name="Comma 2 2 2 2 2 2 22 7" xfId="10752" xr:uid="{00000000-0005-0000-0000-0000FD290000}"/>
    <cellStyle name="Comma 2 2 2 2 2 2 22 8" xfId="10753" xr:uid="{00000000-0005-0000-0000-0000FE290000}"/>
    <cellStyle name="Comma 2 2 2 2 2 2 23" xfId="10754" xr:uid="{00000000-0005-0000-0000-0000FF290000}"/>
    <cellStyle name="Comma 2 2 2 2 2 2 23 2" xfId="10755" xr:uid="{00000000-0005-0000-0000-0000002A0000}"/>
    <cellStyle name="Comma 2 2 2 2 2 2 23 3" xfId="10756" xr:uid="{00000000-0005-0000-0000-0000012A0000}"/>
    <cellStyle name="Comma 2 2 2 2 2 2 23 4" xfId="10757" xr:uid="{00000000-0005-0000-0000-0000022A0000}"/>
    <cellStyle name="Comma 2 2 2 2 2 2 23 5" xfId="10758" xr:uid="{00000000-0005-0000-0000-0000032A0000}"/>
    <cellStyle name="Comma 2 2 2 2 2 2 23 6" xfId="10759" xr:uid="{00000000-0005-0000-0000-0000042A0000}"/>
    <cellStyle name="Comma 2 2 2 2 2 2 23 7" xfId="10760" xr:uid="{00000000-0005-0000-0000-0000052A0000}"/>
    <cellStyle name="Comma 2 2 2 2 2 2 23 8" xfId="10761" xr:uid="{00000000-0005-0000-0000-0000062A0000}"/>
    <cellStyle name="Comma 2 2 2 2 2 2 24" xfId="10762" xr:uid="{00000000-0005-0000-0000-0000072A0000}"/>
    <cellStyle name="Comma 2 2 2 2 2 2 24 2" xfId="10763" xr:uid="{00000000-0005-0000-0000-0000082A0000}"/>
    <cellStyle name="Comma 2 2 2 2 2 2 25" xfId="10764" xr:uid="{00000000-0005-0000-0000-0000092A0000}"/>
    <cellStyle name="Comma 2 2 2 2 2 2 3" xfId="10765" xr:uid="{00000000-0005-0000-0000-00000A2A0000}"/>
    <cellStyle name="Comma 2 2 2 2 2 2 3 10" xfId="10766" xr:uid="{00000000-0005-0000-0000-00000B2A0000}"/>
    <cellStyle name="Comma 2 2 2 2 2 2 3 10 2" xfId="10767" xr:uid="{00000000-0005-0000-0000-00000C2A0000}"/>
    <cellStyle name="Comma 2 2 2 2 2 2 3 10 3" xfId="10768" xr:uid="{00000000-0005-0000-0000-00000D2A0000}"/>
    <cellStyle name="Comma 2 2 2 2 2 2 3 10 4" xfId="10769" xr:uid="{00000000-0005-0000-0000-00000E2A0000}"/>
    <cellStyle name="Comma 2 2 2 2 2 2 3 10 5" xfId="10770" xr:uid="{00000000-0005-0000-0000-00000F2A0000}"/>
    <cellStyle name="Comma 2 2 2 2 2 2 3 10 6" xfId="10771" xr:uid="{00000000-0005-0000-0000-0000102A0000}"/>
    <cellStyle name="Comma 2 2 2 2 2 2 3 10 7" xfId="10772" xr:uid="{00000000-0005-0000-0000-0000112A0000}"/>
    <cellStyle name="Comma 2 2 2 2 2 2 3 10 8" xfId="10773" xr:uid="{00000000-0005-0000-0000-0000122A0000}"/>
    <cellStyle name="Comma 2 2 2 2 2 2 3 11" xfId="10774" xr:uid="{00000000-0005-0000-0000-0000132A0000}"/>
    <cellStyle name="Comma 2 2 2 2 2 2 3 11 2" xfId="10775" xr:uid="{00000000-0005-0000-0000-0000142A0000}"/>
    <cellStyle name="Comma 2 2 2 2 2 2 3 11 3" xfId="10776" xr:uid="{00000000-0005-0000-0000-0000152A0000}"/>
    <cellStyle name="Comma 2 2 2 2 2 2 3 11 4" xfId="10777" xr:uid="{00000000-0005-0000-0000-0000162A0000}"/>
    <cellStyle name="Comma 2 2 2 2 2 2 3 11 5" xfId="10778" xr:uid="{00000000-0005-0000-0000-0000172A0000}"/>
    <cellStyle name="Comma 2 2 2 2 2 2 3 11 6" xfId="10779" xr:uid="{00000000-0005-0000-0000-0000182A0000}"/>
    <cellStyle name="Comma 2 2 2 2 2 2 3 11 7" xfId="10780" xr:uid="{00000000-0005-0000-0000-0000192A0000}"/>
    <cellStyle name="Comma 2 2 2 2 2 2 3 11 8" xfId="10781" xr:uid="{00000000-0005-0000-0000-00001A2A0000}"/>
    <cellStyle name="Comma 2 2 2 2 2 2 3 12" xfId="10782" xr:uid="{00000000-0005-0000-0000-00001B2A0000}"/>
    <cellStyle name="Comma 2 2 2 2 2 2 3 12 2" xfId="10783" xr:uid="{00000000-0005-0000-0000-00001C2A0000}"/>
    <cellStyle name="Comma 2 2 2 2 2 2 3 12 3" xfId="10784" xr:uid="{00000000-0005-0000-0000-00001D2A0000}"/>
    <cellStyle name="Comma 2 2 2 2 2 2 3 12 4" xfId="10785" xr:uid="{00000000-0005-0000-0000-00001E2A0000}"/>
    <cellStyle name="Comma 2 2 2 2 2 2 3 12 5" xfId="10786" xr:uid="{00000000-0005-0000-0000-00001F2A0000}"/>
    <cellStyle name="Comma 2 2 2 2 2 2 3 12 6" xfId="10787" xr:uid="{00000000-0005-0000-0000-0000202A0000}"/>
    <cellStyle name="Comma 2 2 2 2 2 2 3 12 7" xfId="10788" xr:uid="{00000000-0005-0000-0000-0000212A0000}"/>
    <cellStyle name="Comma 2 2 2 2 2 2 3 12 8" xfId="10789" xr:uid="{00000000-0005-0000-0000-0000222A0000}"/>
    <cellStyle name="Comma 2 2 2 2 2 2 3 13" xfId="10790" xr:uid="{00000000-0005-0000-0000-0000232A0000}"/>
    <cellStyle name="Comma 2 2 2 2 2 2 3 13 2" xfId="10791" xr:uid="{00000000-0005-0000-0000-0000242A0000}"/>
    <cellStyle name="Comma 2 2 2 2 2 2 3 13 3" xfId="10792" xr:uid="{00000000-0005-0000-0000-0000252A0000}"/>
    <cellStyle name="Comma 2 2 2 2 2 2 3 13 4" xfId="10793" xr:uid="{00000000-0005-0000-0000-0000262A0000}"/>
    <cellStyle name="Comma 2 2 2 2 2 2 3 13 5" xfId="10794" xr:uid="{00000000-0005-0000-0000-0000272A0000}"/>
    <cellStyle name="Comma 2 2 2 2 2 2 3 13 6" xfId="10795" xr:uid="{00000000-0005-0000-0000-0000282A0000}"/>
    <cellStyle name="Comma 2 2 2 2 2 2 3 13 7" xfId="10796" xr:uid="{00000000-0005-0000-0000-0000292A0000}"/>
    <cellStyle name="Comma 2 2 2 2 2 2 3 13 8" xfId="10797" xr:uid="{00000000-0005-0000-0000-00002A2A0000}"/>
    <cellStyle name="Comma 2 2 2 2 2 2 3 14" xfId="10798" xr:uid="{00000000-0005-0000-0000-00002B2A0000}"/>
    <cellStyle name="Comma 2 2 2 2 2 2 3 14 2" xfId="10799" xr:uid="{00000000-0005-0000-0000-00002C2A0000}"/>
    <cellStyle name="Comma 2 2 2 2 2 2 3 14 3" xfId="10800" xr:uid="{00000000-0005-0000-0000-00002D2A0000}"/>
    <cellStyle name="Comma 2 2 2 2 2 2 3 14 4" xfId="10801" xr:uid="{00000000-0005-0000-0000-00002E2A0000}"/>
    <cellStyle name="Comma 2 2 2 2 2 2 3 14 5" xfId="10802" xr:uid="{00000000-0005-0000-0000-00002F2A0000}"/>
    <cellStyle name="Comma 2 2 2 2 2 2 3 14 6" xfId="10803" xr:uid="{00000000-0005-0000-0000-0000302A0000}"/>
    <cellStyle name="Comma 2 2 2 2 2 2 3 14 7" xfId="10804" xr:uid="{00000000-0005-0000-0000-0000312A0000}"/>
    <cellStyle name="Comma 2 2 2 2 2 2 3 14 8" xfId="10805" xr:uid="{00000000-0005-0000-0000-0000322A0000}"/>
    <cellStyle name="Comma 2 2 2 2 2 2 3 15" xfId="10806" xr:uid="{00000000-0005-0000-0000-0000332A0000}"/>
    <cellStyle name="Comma 2 2 2 2 2 2 3 15 2" xfId="10807" xr:uid="{00000000-0005-0000-0000-0000342A0000}"/>
    <cellStyle name="Comma 2 2 2 2 2 2 3 15 3" xfId="10808" xr:uid="{00000000-0005-0000-0000-0000352A0000}"/>
    <cellStyle name="Comma 2 2 2 2 2 2 3 16" xfId="10809" xr:uid="{00000000-0005-0000-0000-0000362A0000}"/>
    <cellStyle name="Comma 2 2 2 2 2 2 3 17" xfId="10810" xr:uid="{00000000-0005-0000-0000-0000372A0000}"/>
    <cellStyle name="Comma 2 2 2 2 2 2 3 17 2" xfId="10811" xr:uid="{00000000-0005-0000-0000-0000382A0000}"/>
    <cellStyle name="Comma 2 2 2 2 2 2 3 18" xfId="10812" xr:uid="{00000000-0005-0000-0000-0000392A0000}"/>
    <cellStyle name="Comma 2 2 2 2 2 2 3 18 2" xfId="10813" xr:uid="{00000000-0005-0000-0000-00003A2A0000}"/>
    <cellStyle name="Comma 2 2 2 2 2 2 3 19" xfId="10814" xr:uid="{00000000-0005-0000-0000-00003B2A0000}"/>
    <cellStyle name="Comma 2 2 2 2 2 2 3 2" xfId="10815" xr:uid="{00000000-0005-0000-0000-00003C2A0000}"/>
    <cellStyle name="Comma 2 2 2 2 2 2 3 2 2" xfId="10816" xr:uid="{00000000-0005-0000-0000-00003D2A0000}"/>
    <cellStyle name="Comma 2 2 2 2 2 2 3 2 2 2" xfId="10817" xr:uid="{00000000-0005-0000-0000-00003E2A0000}"/>
    <cellStyle name="Comma 2 2 2 2 2 2 3 2 2 2 2" xfId="10818" xr:uid="{00000000-0005-0000-0000-00003F2A0000}"/>
    <cellStyle name="Comma 2 2 2 2 2 2 3 2 2 2 2 2" xfId="10819" xr:uid="{00000000-0005-0000-0000-0000402A0000}"/>
    <cellStyle name="Comma 2 2 2 2 2 2 3 2 3" xfId="10820" xr:uid="{00000000-0005-0000-0000-0000412A0000}"/>
    <cellStyle name="Comma 2 2 2 2 2 2 3 20" xfId="10821" xr:uid="{00000000-0005-0000-0000-0000422A0000}"/>
    <cellStyle name="Comma 2 2 2 2 2 2 3 21" xfId="10822" xr:uid="{00000000-0005-0000-0000-0000432A0000}"/>
    <cellStyle name="Comma 2 2 2 2 2 2 3 22" xfId="10823" xr:uid="{00000000-0005-0000-0000-0000442A0000}"/>
    <cellStyle name="Comma 2 2 2 2 2 2 3 23" xfId="10824" xr:uid="{00000000-0005-0000-0000-0000452A0000}"/>
    <cellStyle name="Comma 2 2 2 2 2 2 3 24" xfId="10825" xr:uid="{00000000-0005-0000-0000-0000462A0000}"/>
    <cellStyle name="Comma 2 2 2 2 2 2 3 25" xfId="10826" xr:uid="{00000000-0005-0000-0000-0000472A0000}"/>
    <cellStyle name="Comma 2 2 2 2 2 2 3 26" xfId="10827" xr:uid="{00000000-0005-0000-0000-0000482A0000}"/>
    <cellStyle name="Comma 2 2 2 2 2 2 3 3" xfId="10828" xr:uid="{00000000-0005-0000-0000-0000492A0000}"/>
    <cellStyle name="Comma 2 2 2 2 2 2 3 3 2" xfId="10829" xr:uid="{00000000-0005-0000-0000-00004A2A0000}"/>
    <cellStyle name="Comma 2 2 2 2 2 2 3 3 2 2" xfId="10830" xr:uid="{00000000-0005-0000-0000-00004B2A0000}"/>
    <cellStyle name="Comma 2 2 2 2 2 2 3 3 2 2 2" xfId="10831" xr:uid="{00000000-0005-0000-0000-00004C2A0000}"/>
    <cellStyle name="Comma 2 2 2 2 2 2 3 3 2 2 3" xfId="10832" xr:uid="{00000000-0005-0000-0000-00004D2A0000}"/>
    <cellStyle name="Comma 2 2 2 2 2 2 3 3 2 3" xfId="10833" xr:uid="{00000000-0005-0000-0000-00004E2A0000}"/>
    <cellStyle name="Comma 2 2 2 2 2 2 3 3 3" xfId="10834" xr:uid="{00000000-0005-0000-0000-00004F2A0000}"/>
    <cellStyle name="Comma 2 2 2 2 2 2 3 3 4" xfId="10835" xr:uid="{00000000-0005-0000-0000-0000502A0000}"/>
    <cellStyle name="Comma 2 2 2 2 2 2 3 3 5" xfId="10836" xr:uid="{00000000-0005-0000-0000-0000512A0000}"/>
    <cellStyle name="Comma 2 2 2 2 2 2 3 4" xfId="10837" xr:uid="{00000000-0005-0000-0000-0000522A0000}"/>
    <cellStyle name="Comma 2 2 2 2 2 2 3 4 2" xfId="10838" xr:uid="{00000000-0005-0000-0000-0000532A0000}"/>
    <cellStyle name="Comma 2 2 2 2 2 2 3 4 3" xfId="10839" xr:uid="{00000000-0005-0000-0000-0000542A0000}"/>
    <cellStyle name="Comma 2 2 2 2 2 2 3 5" xfId="10840" xr:uid="{00000000-0005-0000-0000-0000552A0000}"/>
    <cellStyle name="Comma 2 2 2 2 2 2 3 5 2" xfId="10841" xr:uid="{00000000-0005-0000-0000-0000562A0000}"/>
    <cellStyle name="Comma 2 2 2 2 2 2 3 6" xfId="10842" xr:uid="{00000000-0005-0000-0000-0000572A0000}"/>
    <cellStyle name="Comma 2 2 2 2 2 2 3 6 2" xfId="10843" xr:uid="{00000000-0005-0000-0000-0000582A0000}"/>
    <cellStyle name="Comma 2 2 2 2 2 2 3 6 3" xfId="10844" xr:uid="{00000000-0005-0000-0000-0000592A0000}"/>
    <cellStyle name="Comma 2 2 2 2 2 2 3 6 4" xfId="10845" xr:uid="{00000000-0005-0000-0000-00005A2A0000}"/>
    <cellStyle name="Comma 2 2 2 2 2 2 3 6 5" xfId="10846" xr:uid="{00000000-0005-0000-0000-00005B2A0000}"/>
    <cellStyle name="Comma 2 2 2 2 2 2 3 6 6" xfId="10847" xr:uid="{00000000-0005-0000-0000-00005C2A0000}"/>
    <cellStyle name="Comma 2 2 2 2 2 2 3 6 7" xfId="10848" xr:uid="{00000000-0005-0000-0000-00005D2A0000}"/>
    <cellStyle name="Comma 2 2 2 2 2 2 3 6 8" xfId="10849" xr:uid="{00000000-0005-0000-0000-00005E2A0000}"/>
    <cellStyle name="Comma 2 2 2 2 2 2 3 7" xfId="10850" xr:uid="{00000000-0005-0000-0000-00005F2A0000}"/>
    <cellStyle name="Comma 2 2 2 2 2 2 3 7 2" xfId="10851" xr:uid="{00000000-0005-0000-0000-0000602A0000}"/>
    <cellStyle name="Comma 2 2 2 2 2 2 3 8" xfId="10852" xr:uid="{00000000-0005-0000-0000-0000612A0000}"/>
    <cellStyle name="Comma 2 2 2 2 2 2 3 8 2" xfId="10853" xr:uid="{00000000-0005-0000-0000-0000622A0000}"/>
    <cellStyle name="Comma 2 2 2 2 2 2 3 8 3" xfId="10854" xr:uid="{00000000-0005-0000-0000-0000632A0000}"/>
    <cellStyle name="Comma 2 2 2 2 2 2 3 8 4" xfId="10855" xr:uid="{00000000-0005-0000-0000-0000642A0000}"/>
    <cellStyle name="Comma 2 2 2 2 2 2 3 8 5" xfId="10856" xr:uid="{00000000-0005-0000-0000-0000652A0000}"/>
    <cellStyle name="Comma 2 2 2 2 2 2 3 8 6" xfId="10857" xr:uid="{00000000-0005-0000-0000-0000662A0000}"/>
    <cellStyle name="Comma 2 2 2 2 2 2 3 8 7" xfId="10858" xr:uid="{00000000-0005-0000-0000-0000672A0000}"/>
    <cellStyle name="Comma 2 2 2 2 2 2 3 8 8" xfId="10859" xr:uid="{00000000-0005-0000-0000-0000682A0000}"/>
    <cellStyle name="Comma 2 2 2 2 2 2 3 9" xfId="10860" xr:uid="{00000000-0005-0000-0000-0000692A0000}"/>
    <cellStyle name="Comma 2 2 2 2 2 2 3 9 2" xfId="10861" xr:uid="{00000000-0005-0000-0000-00006A2A0000}"/>
    <cellStyle name="Comma 2 2 2 2 2 2 3 9 3" xfId="10862" xr:uid="{00000000-0005-0000-0000-00006B2A0000}"/>
    <cellStyle name="Comma 2 2 2 2 2 2 3 9 4" xfId="10863" xr:uid="{00000000-0005-0000-0000-00006C2A0000}"/>
    <cellStyle name="Comma 2 2 2 2 2 2 3 9 5" xfId="10864" xr:uid="{00000000-0005-0000-0000-00006D2A0000}"/>
    <cellStyle name="Comma 2 2 2 2 2 2 3 9 6" xfId="10865" xr:uid="{00000000-0005-0000-0000-00006E2A0000}"/>
    <cellStyle name="Comma 2 2 2 2 2 2 3 9 7" xfId="10866" xr:uid="{00000000-0005-0000-0000-00006F2A0000}"/>
    <cellStyle name="Comma 2 2 2 2 2 2 3 9 8" xfId="10867" xr:uid="{00000000-0005-0000-0000-0000702A0000}"/>
    <cellStyle name="Comma 2 2 2 2 2 2 4" xfId="10868" xr:uid="{00000000-0005-0000-0000-0000712A0000}"/>
    <cellStyle name="Comma 2 2 2 2 2 2 4 10" xfId="10869" xr:uid="{00000000-0005-0000-0000-0000722A0000}"/>
    <cellStyle name="Comma 2 2 2 2 2 2 4 10 2" xfId="10870" xr:uid="{00000000-0005-0000-0000-0000732A0000}"/>
    <cellStyle name="Comma 2 2 2 2 2 2 4 10 3" xfId="10871" xr:uid="{00000000-0005-0000-0000-0000742A0000}"/>
    <cellStyle name="Comma 2 2 2 2 2 2 4 10 4" xfId="10872" xr:uid="{00000000-0005-0000-0000-0000752A0000}"/>
    <cellStyle name="Comma 2 2 2 2 2 2 4 10 5" xfId="10873" xr:uid="{00000000-0005-0000-0000-0000762A0000}"/>
    <cellStyle name="Comma 2 2 2 2 2 2 4 10 6" xfId="10874" xr:uid="{00000000-0005-0000-0000-0000772A0000}"/>
    <cellStyle name="Comma 2 2 2 2 2 2 4 10 7" xfId="10875" xr:uid="{00000000-0005-0000-0000-0000782A0000}"/>
    <cellStyle name="Comma 2 2 2 2 2 2 4 10 8" xfId="10876" xr:uid="{00000000-0005-0000-0000-0000792A0000}"/>
    <cellStyle name="Comma 2 2 2 2 2 2 4 11" xfId="10877" xr:uid="{00000000-0005-0000-0000-00007A2A0000}"/>
    <cellStyle name="Comma 2 2 2 2 2 2 4 11 2" xfId="10878" xr:uid="{00000000-0005-0000-0000-00007B2A0000}"/>
    <cellStyle name="Comma 2 2 2 2 2 2 4 11 3" xfId="10879" xr:uid="{00000000-0005-0000-0000-00007C2A0000}"/>
    <cellStyle name="Comma 2 2 2 2 2 2 4 11 4" xfId="10880" xr:uid="{00000000-0005-0000-0000-00007D2A0000}"/>
    <cellStyle name="Comma 2 2 2 2 2 2 4 11 5" xfId="10881" xr:uid="{00000000-0005-0000-0000-00007E2A0000}"/>
    <cellStyle name="Comma 2 2 2 2 2 2 4 11 6" xfId="10882" xr:uid="{00000000-0005-0000-0000-00007F2A0000}"/>
    <cellStyle name="Comma 2 2 2 2 2 2 4 11 7" xfId="10883" xr:uid="{00000000-0005-0000-0000-0000802A0000}"/>
    <cellStyle name="Comma 2 2 2 2 2 2 4 11 8" xfId="10884" xr:uid="{00000000-0005-0000-0000-0000812A0000}"/>
    <cellStyle name="Comma 2 2 2 2 2 2 4 12" xfId="10885" xr:uid="{00000000-0005-0000-0000-0000822A0000}"/>
    <cellStyle name="Comma 2 2 2 2 2 2 4 12 2" xfId="10886" xr:uid="{00000000-0005-0000-0000-0000832A0000}"/>
    <cellStyle name="Comma 2 2 2 2 2 2 4 12 3" xfId="10887" xr:uid="{00000000-0005-0000-0000-0000842A0000}"/>
    <cellStyle name="Comma 2 2 2 2 2 2 4 12 4" xfId="10888" xr:uid="{00000000-0005-0000-0000-0000852A0000}"/>
    <cellStyle name="Comma 2 2 2 2 2 2 4 12 5" xfId="10889" xr:uid="{00000000-0005-0000-0000-0000862A0000}"/>
    <cellStyle name="Comma 2 2 2 2 2 2 4 12 6" xfId="10890" xr:uid="{00000000-0005-0000-0000-0000872A0000}"/>
    <cellStyle name="Comma 2 2 2 2 2 2 4 12 7" xfId="10891" xr:uid="{00000000-0005-0000-0000-0000882A0000}"/>
    <cellStyle name="Comma 2 2 2 2 2 2 4 12 8" xfId="10892" xr:uid="{00000000-0005-0000-0000-0000892A0000}"/>
    <cellStyle name="Comma 2 2 2 2 2 2 4 13" xfId="10893" xr:uid="{00000000-0005-0000-0000-00008A2A0000}"/>
    <cellStyle name="Comma 2 2 2 2 2 2 4 13 2" xfId="10894" xr:uid="{00000000-0005-0000-0000-00008B2A0000}"/>
    <cellStyle name="Comma 2 2 2 2 2 2 4 13 3" xfId="10895" xr:uid="{00000000-0005-0000-0000-00008C2A0000}"/>
    <cellStyle name="Comma 2 2 2 2 2 2 4 13 4" xfId="10896" xr:uid="{00000000-0005-0000-0000-00008D2A0000}"/>
    <cellStyle name="Comma 2 2 2 2 2 2 4 13 5" xfId="10897" xr:uid="{00000000-0005-0000-0000-00008E2A0000}"/>
    <cellStyle name="Comma 2 2 2 2 2 2 4 13 6" xfId="10898" xr:uid="{00000000-0005-0000-0000-00008F2A0000}"/>
    <cellStyle name="Comma 2 2 2 2 2 2 4 13 7" xfId="10899" xr:uid="{00000000-0005-0000-0000-0000902A0000}"/>
    <cellStyle name="Comma 2 2 2 2 2 2 4 13 8" xfId="10900" xr:uid="{00000000-0005-0000-0000-0000912A0000}"/>
    <cellStyle name="Comma 2 2 2 2 2 2 4 14" xfId="10901" xr:uid="{00000000-0005-0000-0000-0000922A0000}"/>
    <cellStyle name="Comma 2 2 2 2 2 2 4 14 2" xfId="10902" xr:uid="{00000000-0005-0000-0000-0000932A0000}"/>
    <cellStyle name="Comma 2 2 2 2 2 2 4 14 3" xfId="10903" xr:uid="{00000000-0005-0000-0000-0000942A0000}"/>
    <cellStyle name="Comma 2 2 2 2 2 2 4 15" xfId="10904" xr:uid="{00000000-0005-0000-0000-0000952A0000}"/>
    <cellStyle name="Comma 2 2 2 2 2 2 4 16" xfId="10905" xr:uid="{00000000-0005-0000-0000-0000962A0000}"/>
    <cellStyle name="Comma 2 2 2 2 2 2 4 16 2" xfId="10906" xr:uid="{00000000-0005-0000-0000-0000972A0000}"/>
    <cellStyle name="Comma 2 2 2 2 2 2 4 17" xfId="10907" xr:uid="{00000000-0005-0000-0000-0000982A0000}"/>
    <cellStyle name="Comma 2 2 2 2 2 2 4 17 2" xfId="10908" xr:uid="{00000000-0005-0000-0000-0000992A0000}"/>
    <cellStyle name="Comma 2 2 2 2 2 2 4 18" xfId="10909" xr:uid="{00000000-0005-0000-0000-00009A2A0000}"/>
    <cellStyle name="Comma 2 2 2 2 2 2 4 19" xfId="10910" xr:uid="{00000000-0005-0000-0000-00009B2A0000}"/>
    <cellStyle name="Comma 2 2 2 2 2 2 4 2" xfId="10911" xr:uid="{00000000-0005-0000-0000-00009C2A0000}"/>
    <cellStyle name="Comma 2 2 2 2 2 2 4 2 2" xfId="10912" xr:uid="{00000000-0005-0000-0000-00009D2A0000}"/>
    <cellStyle name="Comma 2 2 2 2 2 2 4 2 2 2" xfId="10913" xr:uid="{00000000-0005-0000-0000-00009E2A0000}"/>
    <cellStyle name="Comma 2 2 2 2 2 2 4 2 2 2 2" xfId="10914" xr:uid="{00000000-0005-0000-0000-00009F2A0000}"/>
    <cellStyle name="Comma 2 2 2 2 2 2 4 2 2 2 3" xfId="10915" xr:uid="{00000000-0005-0000-0000-0000A02A0000}"/>
    <cellStyle name="Comma 2 2 2 2 2 2 4 2 2 3" xfId="10916" xr:uid="{00000000-0005-0000-0000-0000A12A0000}"/>
    <cellStyle name="Comma 2 2 2 2 2 2 4 2 3" xfId="10917" xr:uid="{00000000-0005-0000-0000-0000A22A0000}"/>
    <cellStyle name="Comma 2 2 2 2 2 2 4 2 4" xfId="10918" xr:uid="{00000000-0005-0000-0000-0000A32A0000}"/>
    <cellStyle name="Comma 2 2 2 2 2 2 4 2 5" xfId="10919" xr:uid="{00000000-0005-0000-0000-0000A42A0000}"/>
    <cellStyle name="Comma 2 2 2 2 2 2 4 20" xfId="10920" xr:uid="{00000000-0005-0000-0000-0000A52A0000}"/>
    <cellStyle name="Comma 2 2 2 2 2 2 4 21" xfId="10921" xr:uid="{00000000-0005-0000-0000-0000A62A0000}"/>
    <cellStyle name="Comma 2 2 2 2 2 2 4 22" xfId="10922" xr:uid="{00000000-0005-0000-0000-0000A72A0000}"/>
    <cellStyle name="Comma 2 2 2 2 2 2 4 23" xfId="10923" xr:uid="{00000000-0005-0000-0000-0000A82A0000}"/>
    <cellStyle name="Comma 2 2 2 2 2 2 4 24" xfId="10924" xr:uid="{00000000-0005-0000-0000-0000A92A0000}"/>
    <cellStyle name="Comma 2 2 2 2 2 2 4 25" xfId="10925" xr:uid="{00000000-0005-0000-0000-0000AA2A0000}"/>
    <cellStyle name="Comma 2 2 2 2 2 2 4 3" xfId="10926" xr:uid="{00000000-0005-0000-0000-0000AB2A0000}"/>
    <cellStyle name="Comma 2 2 2 2 2 2 4 3 2" xfId="10927" xr:uid="{00000000-0005-0000-0000-0000AC2A0000}"/>
    <cellStyle name="Comma 2 2 2 2 2 2 4 3 3" xfId="10928" xr:uid="{00000000-0005-0000-0000-0000AD2A0000}"/>
    <cellStyle name="Comma 2 2 2 2 2 2 4 4" xfId="10929" xr:uid="{00000000-0005-0000-0000-0000AE2A0000}"/>
    <cellStyle name="Comma 2 2 2 2 2 2 4 4 2" xfId="10930" xr:uid="{00000000-0005-0000-0000-0000AF2A0000}"/>
    <cellStyle name="Comma 2 2 2 2 2 2 4 5" xfId="10931" xr:uid="{00000000-0005-0000-0000-0000B02A0000}"/>
    <cellStyle name="Comma 2 2 2 2 2 2 4 5 2" xfId="10932" xr:uid="{00000000-0005-0000-0000-0000B12A0000}"/>
    <cellStyle name="Comma 2 2 2 2 2 2 4 5 3" xfId="10933" xr:uid="{00000000-0005-0000-0000-0000B22A0000}"/>
    <cellStyle name="Comma 2 2 2 2 2 2 4 5 4" xfId="10934" xr:uid="{00000000-0005-0000-0000-0000B32A0000}"/>
    <cellStyle name="Comma 2 2 2 2 2 2 4 5 5" xfId="10935" xr:uid="{00000000-0005-0000-0000-0000B42A0000}"/>
    <cellStyle name="Comma 2 2 2 2 2 2 4 5 6" xfId="10936" xr:uid="{00000000-0005-0000-0000-0000B52A0000}"/>
    <cellStyle name="Comma 2 2 2 2 2 2 4 5 7" xfId="10937" xr:uid="{00000000-0005-0000-0000-0000B62A0000}"/>
    <cellStyle name="Comma 2 2 2 2 2 2 4 5 8" xfId="10938" xr:uid="{00000000-0005-0000-0000-0000B72A0000}"/>
    <cellStyle name="Comma 2 2 2 2 2 2 4 6" xfId="10939" xr:uid="{00000000-0005-0000-0000-0000B82A0000}"/>
    <cellStyle name="Comma 2 2 2 2 2 2 4 6 2" xfId="10940" xr:uid="{00000000-0005-0000-0000-0000B92A0000}"/>
    <cellStyle name="Comma 2 2 2 2 2 2 4 7" xfId="10941" xr:uid="{00000000-0005-0000-0000-0000BA2A0000}"/>
    <cellStyle name="Comma 2 2 2 2 2 2 4 7 2" xfId="10942" xr:uid="{00000000-0005-0000-0000-0000BB2A0000}"/>
    <cellStyle name="Comma 2 2 2 2 2 2 4 7 3" xfId="10943" xr:uid="{00000000-0005-0000-0000-0000BC2A0000}"/>
    <cellStyle name="Comma 2 2 2 2 2 2 4 7 4" xfId="10944" xr:uid="{00000000-0005-0000-0000-0000BD2A0000}"/>
    <cellStyle name="Comma 2 2 2 2 2 2 4 7 5" xfId="10945" xr:uid="{00000000-0005-0000-0000-0000BE2A0000}"/>
    <cellStyle name="Comma 2 2 2 2 2 2 4 7 6" xfId="10946" xr:uid="{00000000-0005-0000-0000-0000BF2A0000}"/>
    <cellStyle name="Comma 2 2 2 2 2 2 4 7 7" xfId="10947" xr:uid="{00000000-0005-0000-0000-0000C02A0000}"/>
    <cellStyle name="Comma 2 2 2 2 2 2 4 7 8" xfId="10948" xr:uid="{00000000-0005-0000-0000-0000C12A0000}"/>
    <cellStyle name="Comma 2 2 2 2 2 2 4 8" xfId="10949" xr:uid="{00000000-0005-0000-0000-0000C22A0000}"/>
    <cellStyle name="Comma 2 2 2 2 2 2 4 8 2" xfId="10950" xr:uid="{00000000-0005-0000-0000-0000C32A0000}"/>
    <cellStyle name="Comma 2 2 2 2 2 2 4 8 3" xfId="10951" xr:uid="{00000000-0005-0000-0000-0000C42A0000}"/>
    <cellStyle name="Comma 2 2 2 2 2 2 4 8 4" xfId="10952" xr:uid="{00000000-0005-0000-0000-0000C52A0000}"/>
    <cellStyle name="Comma 2 2 2 2 2 2 4 8 5" xfId="10953" xr:uid="{00000000-0005-0000-0000-0000C62A0000}"/>
    <cellStyle name="Comma 2 2 2 2 2 2 4 8 6" xfId="10954" xr:uid="{00000000-0005-0000-0000-0000C72A0000}"/>
    <cellStyle name="Comma 2 2 2 2 2 2 4 8 7" xfId="10955" xr:uid="{00000000-0005-0000-0000-0000C82A0000}"/>
    <cellStyle name="Comma 2 2 2 2 2 2 4 8 8" xfId="10956" xr:uid="{00000000-0005-0000-0000-0000C92A0000}"/>
    <cellStyle name="Comma 2 2 2 2 2 2 4 9" xfId="10957" xr:uid="{00000000-0005-0000-0000-0000CA2A0000}"/>
    <cellStyle name="Comma 2 2 2 2 2 2 4 9 2" xfId="10958" xr:uid="{00000000-0005-0000-0000-0000CB2A0000}"/>
    <cellStyle name="Comma 2 2 2 2 2 2 4 9 3" xfId="10959" xr:uid="{00000000-0005-0000-0000-0000CC2A0000}"/>
    <cellStyle name="Comma 2 2 2 2 2 2 4 9 4" xfId="10960" xr:uid="{00000000-0005-0000-0000-0000CD2A0000}"/>
    <cellStyle name="Comma 2 2 2 2 2 2 4 9 5" xfId="10961" xr:uid="{00000000-0005-0000-0000-0000CE2A0000}"/>
    <cellStyle name="Comma 2 2 2 2 2 2 4 9 6" xfId="10962" xr:uid="{00000000-0005-0000-0000-0000CF2A0000}"/>
    <cellStyle name="Comma 2 2 2 2 2 2 4 9 7" xfId="10963" xr:uid="{00000000-0005-0000-0000-0000D02A0000}"/>
    <cellStyle name="Comma 2 2 2 2 2 2 4 9 8" xfId="10964" xr:uid="{00000000-0005-0000-0000-0000D12A0000}"/>
    <cellStyle name="Comma 2 2 2 2 2 2 5" xfId="10965" xr:uid="{00000000-0005-0000-0000-0000D22A0000}"/>
    <cellStyle name="Comma 2 2 2 2 2 2 5 10" xfId="10966" xr:uid="{00000000-0005-0000-0000-0000D32A0000}"/>
    <cellStyle name="Comma 2 2 2 2 2 2 5 10 2" xfId="10967" xr:uid="{00000000-0005-0000-0000-0000D42A0000}"/>
    <cellStyle name="Comma 2 2 2 2 2 2 5 10 3" xfId="10968" xr:uid="{00000000-0005-0000-0000-0000D52A0000}"/>
    <cellStyle name="Comma 2 2 2 2 2 2 5 10 4" xfId="10969" xr:uid="{00000000-0005-0000-0000-0000D62A0000}"/>
    <cellStyle name="Comma 2 2 2 2 2 2 5 10 5" xfId="10970" xr:uid="{00000000-0005-0000-0000-0000D72A0000}"/>
    <cellStyle name="Comma 2 2 2 2 2 2 5 10 6" xfId="10971" xr:uid="{00000000-0005-0000-0000-0000D82A0000}"/>
    <cellStyle name="Comma 2 2 2 2 2 2 5 10 7" xfId="10972" xr:uid="{00000000-0005-0000-0000-0000D92A0000}"/>
    <cellStyle name="Comma 2 2 2 2 2 2 5 10 8" xfId="10973" xr:uid="{00000000-0005-0000-0000-0000DA2A0000}"/>
    <cellStyle name="Comma 2 2 2 2 2 2 5 11" xfId="10974" xr:uid="{00000000-0005-0000-0000-0000DB2A0000}"/>
    <cellStyle name="Comma 2 2 2 2 2 2 5 11 2" xfId="10975" xr:uid="{00000000-0005-0000-0000-0000DC2A0000}"/>
    <cellStyle name="Comma 2 2 2 2 2 2 5 11 3" xfId="10976" xr:uid="{00000000-0005-0000-0000-0000DD2A0000}"/>
    <cellStyle name="Comma 2 2 2 2 2 2 5 11 4" xfId="10977" xr:uid="{00000000-0005-0000-0000-0000DE2A0000}"/>
    <cellStyle name="Comma 2 2 2 2 2 2 5 11 5" xfId="10978" xr:uid="{00000000-0005-0000-0000-0000DF2A0000}"/>
    <cellStyle name="Comma 2 2 2 2 2 2 5 11 6" xfId="10979" xr:uid="{00000000-0005-0000-0000-0000E02A0000}"/>
    <cellStyle name="Comma 2 2 2 2 2 2 5 11 7" xfId="10980" xr:uid="{00000000-0005-0000-0000-0000E12A0000}"/>
    <cellStyle name="Comma 2 2 2 2 2 2 5 11 8" xfId="10981" xr:uid="{00000000-0005-0000-0000-0000E22A0000}"/>
    <cellStyle name="Comma 2 2 2 2 2 2 5 12" xfId="10982" xr:uid="{00000000-0005-0000-0000-0000E32A0000}"/>
    <cellStyle name="Comma 2 2 2 2 2 2 5 12 2" xfId="10983" xr:uid="{00000000-0005-0000-0000-0000E42A0000}"/>
    <cellStyle name="Comma 2 2 2 2 2 2 5 12 3" xfId="10984" xr:uid="{00000000-0005-0000-0000-0000E52A0000}"/>
    <cellStyle name="Comma 2 2 2 2 2 2 5 12 4" xfId="10985" xr:uid="{00000000-0005-0000-0000-0000E62A0000}"/>
    <cellStyle name="Comma 2 2 2 2 2 2 5 12 5" xfId="10986" xr:uid="{00000000-0005-0000-0000-0000E72A0000}"/>
    <cellStyle name="Comma 2 2 2 2 2 2 5 12 6" xfId="10987" xr:uid="{00000000-0005-0000-0000-0000E82A0000}"/>
    <cellStyle name="Comma 2 2 2 2 2 2 5 12 7" xfId="10988" xr:uid="{00000000-0005-0000-0000-0000E92A0000}"/>
    <cellStyle name="Comma 2 2 2 2 2 2 5 12 8" xfId="10989" xr:uid="{00000000-0005-0000-0000-0000EA2A0000}"/>
    <cellStyle name="Comma 2 2 2 2 2 2 5 13" xfId="10990" xr:uid="{00000000-0005-0000-0000-0000EB2A0000}"/>
    <cellStyle name="Comma 2 2 2 2 2 2 5 13 2" xfId="10991" xr:uid="{00000000-0005-0000-0000-0000EC2A0000}"/>
    <cellStyle name="Comma 2 2 2 2 2 2 5 13 3" xfId="10992" xr:uid="{00000000-0005-0000-0000-0000ED2A0000}"/>
    <cellStyle name="Comma 2 2 2 2 2 2 5 13 4" xfId="10993" xr:uid="{00000000-0005-0000-0000-0000EE2A0000}"/>
    <cellStyle name="Comma 2 2 2 2 2 2 5 13 5" xfId="10994" xr:uid="{00000000-0005-0000-0000-0000EF2A0000}"/>
    <cellStyle name="Comma 2 2 2 2 2 2 5 13 6" xfId="10995" xr:uid="{00000000-0005-0000-0000-0000F02A0000}"/>
    <cellStyle name="Comma 2 2 2 2 2 2 5 13 7" xfId="10996" xr:uid="{00000000-0005-0000-0000-0000F12A0000}"/>
    <cellStyle name="Comma 2 2 2 2 2 2 5 13 8" xfId="10997" xr:uid="{00000000-0005-0000-0000-0000F22A0000}"/>
    <cellStyle name="Comma 2 2 2 2 2 2 5 14" xfId="10998" xr:uid="{00000000-0005-0000-0000-0000F32A0000}"/>
    <cellStyle name="Comma 2 2 2 2 2 2 5 14 2" xfId="10999" xr:uid="{00000000-0005-0000-0000-0000F42A0000}"/>
    <cellStyle name="Comma 2 2 2 2 2 2 5 14 3" xfId="11000" xr:uid="{00000000-0005-0000-0000-0000F52A0000}"/>
    <cellStyle name="Comma 2 2 2 2 2 2 5 15" xfId="11001" xr:uid="{00000000-0005-0000-0000-0000F62A0000}"/>
    <cellStyle name="Comma 2 2 2 2 2 2 5 16" xfId="11002" xr:uid="{00000000-0005-0000-0000-0000F72A0000}"/>
    <cellStyle name="Comma 2 2 2 2 2 2 5 16 2" xfId="11003" xr:uid="{00000000-0005-0000-0000-0000F82A0000}"/>
    <cellStyle name="Comma 2 2 2 2 2 2 5 17" xfId="11004" xr:uid="{00000000-0005-0000-0000-0000F92A0000}"/>
    <cellStyle name="Comma 2 2 2 2 2 2 5 17 2" xfId="11005" xr:uid="{00000000-0005-0000-0000-0000FA2A0000}"/>
    <cellStyle name="Comma 2 2 2 2 2 2 5 18" xfId="11006" xr:uid="{00000000-0005-0000-0000-0000FB2A0000}"/>
    <cellStyle name="Comma 2 2 2 2 2 2 5 19" xfId="11007" xr:uid="{00000000-0005-0000-0000-0000FC2A0000}"/>
    <cellStyle name="Comma 2 2 2 2 2 2 5 2" xfId="11008" xr:uid="{00000000-0005-0000-0000-0000FD2A0000}"/>
    <cellStyle name="Comma 2 2 2 2 2 2 5 2 2" xfId="11009" xr:uid="{00000000-0005-0000-0000-0000FE2A0000}"/>
    <cellStyle name="Comma 2 2 2 2 2 2 5 2 2 2" xfId="11010" xr:uid="{00000000-0005-0000-0000-0000FF2A0000}"/>
    <cellStyle name="Comma 2 2 2 2 2 2 5 2 2 3" xfId="11011" xr:uid="{00000000-0005-0000-0000-0000002B0000}"/>
    <cellStyle name="Comma 2 2 2 2 2 2 5 2 3" xfId="11012" xr:uid="{00000000-0005-0000-0000-0000012B0000}"/>
    <cellStyle name="Comma 2 2 2 2 2 2 5 2 4" xfId="11013" xr:uid="{00000000-0005-0000-0000-0000022B0000}"/>
    <cellStyle name="Comma 2 2 2 2 2 2 5 2 5" xfId="11014" xr:uid="{00000000-0005-0000-0000-0000032B0000}"/>
    <cellStyle name="Comma 2 2 2 2 2 2 5 20" xfId="11015" xr:uid="{00000000-0005-0000-0000-0000042B0000}"/>
    <cellStyle name="Comma 2 2 2 2 2 2 5 21" xfId="11016" xr:uid="{00000000-0005-0000-0000-0000052B0000}"/>
    <cellStyle name="Comma 2 2 2 2 2 2 5 22" xfId="11017" xr:uid="{00000000-0005-0000-0000-0000062B0000}"/>
    <cellStyle name="Comma 2 2 2 2 2 2 5 23" xfId="11018" xr:uid="{00000000-0005-0000-0000-0000072B0000}"/>
    <cellStyle name="Comma 2 2 2 2 2 2 5 24" xfId="11019" xr:uid="{00000000-0005-0000-0000-0000082B0000}"/>
    <cellStyle name="Comma 2 2 2 2 2 2 5 25" xfId="11020" xr:uid="{00000000-0005-0000-0000-0000092B0000}"/>
    <cellStyle name="Comma 2 2 2 2 2 2 5 3" xfId="11021" xr:uid="{00000000-0005-0000-0000-00000A2B0000}"/>
    <cellStyle name="Comma 2 2 2 2 2 2 5 3 2" xfId="11022" xr:uid="{00000000-0005-0000-0000-00000B2B0000}"/>
    <cellStyle name="Comma 2 2 2 2 2 2 5 3 3" xfId="11023" xr:uid="{00000000-0005-0000-0000-00000C2B0000}"/>
    <cellStyle name="Comma 2 2 2 2 2 2 5 4" xfId="11024" xr:uid="{00000000-0005-0000-0000-00000D2B0000}"/>
    <cellStyle name="Comma 2 2 2 2 2 2 5 4 2" xfId="11025" xr:uid="{00000000-0005-0000-0000-00000E2B0000}"/>
    <cellStyle name="Comma 2 2 2 2 2 2 5 5" xfId="11026" xr:uid="{00000000-0005-0000-0000-00000F2B0000}"/>
    <cellStyle name="Comma 2 2 2 2 2 2 5 5 2" xfId="11027" xr:uid="{00000000-0005-0000-0000-0000102B0000}"/>
    <cellStyle name="Comma 2 2 2 2 2 2 5 5 3" xfId="11028" xr:uid="{00000000-0005-0000-0000-0000112B0000}"/>
    <cellStyle name="Comma 2 2 2 2 2 2 5 5 4" xfId="11029" xr:uid="{00000000-0005-0000-0000-0000122B0000}"/>
    <cellStyle name="Comma 2 2 2 2 2 2 5 5 5" xfId="11030" xr:uid="{00000000-0005-0000-0000-0000132B0000}"/>
    <cellStyle name="Comma 2 2 2 2 2 2 5 5 6" xfId="11031" xr:uid="{00000000-0005-0000-0000-0000142B0000}"/>
    <cellStyle name="Comma 2 2 2 2 2 2 5 5 7" xfId="11032" xr:uid="{00000000-0005-0000-0000-0000152B0000}"/>
    <cellStyle name="Comma 2 2 2 2 2 2 5 5 8" xfId="11033" xr:uid="{00000000-0005-0000-0000-0000162B0000}"/>
    <cellStyle name="Comma 2 2 2 2 2 2 5 6" xfId="11034" xr:uid="{00000000-0005-0000-0000-0000172B0000}"/>
    <cellStyle name="Comma 2 2 2 2 2 2 5 6 2" xfId="11035" xr:uid="{00000000-0005-0000-0000-0000182B0000}"/>
    <cellStyle name="Comma 2 2 2 2 2 2 5 7" xfId="11036" xr:uid="{00000000-0005-0000-0000-0000192B0000}"/>
    <cellStyle name="Comma 2 2 2 2 2 2 5 7 2" xfId="11037" xr:uid="{00000000-0005-0000-0000-00001A2B0000}"/>
    <cellStyle name="Comma 2 2 2 2 2 2 5 7 3" xfId="11038" xr:uid="{00000000-0005-0000-0000-00001B2B0000}"/>
    <cellStyle name="Comma 2 2 2 2 2 2 5 7 4" xfId="11039" xr:uid="{00000000-0005-0000-0000-00001C2B0000}"/>
    <cellStyle name="Comma 2 2 2 2 2 2 5 7 5" xfId="11040" xr:uid="{00000000-0005-0000-0000-00001D2B0000}"/>
    <cellStyle name="Comma 2 2 2 2 2 2 5 7 6" xfId="11041" xr:uid="{00000000-0005-0000-0000-00001E2B0000}"/>
    <cellStyle name="Comma 2 2 2 2 2 2 5 7 7" xfId="11042" xr:uid="{00000000-0005-0000-0000-00001F2B0000}"/>
    <cellStyle name="Comma 2 2 2 2 2 2 5 7 8" xfId="11043" xr:uid="{00000000-0005-0000-0000-0000202B0000}"/>
    <cellStyle name="Comma 2 2 2 2 2 2 5 8" xfId="11044" xr:uid="{00000000-0005-0000-0000-0000212B0000}"/>
    <cellStyle name="Comma 2 2 2 2 2 2 5 8 2" xfId="11045" xr:uid="{00000000-0005-0000-0000-0000222B0000}"/>
    <cellStyle name="Comma 2 2 2 2 2 2 5 8 3" xfId="11046" xr:uid="{00000000-0005-0000-0000-0000232B0000}"/>
    <cellStyle name="Comma 2 2 2 2 2 2 5 8 4" xfId="11047" xr:uid="{00000000-0005-0000-0000-0000242B0000}"/>
    <cellStyle name="Comma 2 2 2 2 2 2 5 8 5" xfId="11048" xr:uid="{00000000-0005-0000-0000-0000252B0000}"/>
    <cellStyle name="Comma 2 2 2 2 2 2 5 8 6" xfId="11049" xr:uid="{00000000-0005-0000-0000-0000262B0000}"/>
    <cellStyle name="Comma 2 2 2 2 2 2 5 8 7" xfId="11050" xr:uid="{00000000-0005-0000-0000-0000272B0000}"/>
    <cellStyle name="Comma 2 2 2 2 2 2 5 8 8" xfId="11051" xr:uid="{00000000-0005-0000-0000-0000282B0000}"/>
    <cellStyle name="Comma 2 2 2 2 2 2 5 9" xfId="11052" xr:uid="{00000000-0005-0000-0000-0000292B0000}"/>
    <cellStyle name="Comma 2 2 2 2 2 2 5 9 2" xfId="11053" xr:uid="{00000000-0005-0000-0000-00002A2B0000}"/>
    <cellStyle name="Comma 2 2 2 2 2 2 5 9 3" xfId="11054" xr:uid="{00000000-0005-0000-0000-00002B2B0000}"/>
    <cellStyle name="Comma 2 2 2 2 2 2 5 9 4" xfId="11055" xr:uid="{00000000-0005-0000-0000-00002C2B0000}"/>
    <cellStyle name="Comma 2 2 2 2 2 2 5 9 5" xfId="11056" xr:uid="{00000000-0005-0000-0000-00002D2B0000}"/>
    <cellStyle name="Comma 2 2 2 2 2 2 5 9 6" xfId="11057" xr:uid="{00000000-0005-0000-0000-00002E2B0000}"/>
    <cellStyle name="Comma 2 2 2 2 2 2 5 9 7" xfId="11058" xr:uid="{00000000-0005-0000-0000-00002F2B0000}"/>
    <cellStyle name="Comma 2 2 2 2 2 2 5 9 8" xfId="11059" xr:uid="{00000000-0005-0000-0000-0000302B0000}"/>
    <cellStyle name="Comma 2 2 2 2 2 2 6" xfId="11060" xr:uid="{00000000-0005-0000-0000-0000312B0000}"/>
    <cellStyle name="Comma 2 2 2 2 2 2 6 10" xfId="11061" xr:uid="{00000000-0005-0000-0000-0000322B0000}"/>
    <cellStyle name="Comma 2 2 2 2 2 2 6 10 2" xfId="11062" xr:uid="{00000000-0005-0000-0000-0000332B0000}"/>
    <cellStyle name="Comma 2 2 2 2 2 2 6 10 3" xfId="11063" xr:uid="{00000000-0005-0000-0000-0000342B0000}"/>
    <cellStyle name="Comma 2 2 2 2 2 2 6 10 4" xfId="11064" xr:uid="{00000000-0005-0000-0000-0000352B0000}"/>
    <cellStyle name="Comma 2 2 2 2 2 2 6 10 5" xfId="11065" xr:uid="{00000000-0005-0000-0000-0000362B0000}"/>
    <cellStyle name="Comma 2 2 2 2 2 2 6 10 6" xfId="11066" xr:uid="{00000000-0005-0000-0000-0000372B0000}"/>
    <cellStyle name="Comma 2 2 2 2 2 2 6 10 7" xfId="11067" xr:uid="{00000000-0005-0000-0000-0000382B0000}"/>
    <cellStyle name="Comma 2 2 2 2 2 2 6 10 8" xfId="11068" xr:uid="{00000000-0005-0000-0000-0000392B0000}"/>
    <cellStyle name="Comma 2 2 2 2 2 2 6 11" xfId="11069" xr:uid="{00000000-0005-0000-0000-00003A2B0000}"/>
    <cellStyle name="Comma 2 2 2 2 2 2 6 11 2" xfId="11070" xr:uid="{00000000-0005-0000-0000-00003B2B0000}"/>
    <cellStyle name="Comma 2 2 2 2 2 2 6 11 3" xfId="11071" xr:uid="{00000000-0005-0000-0000-00003C2B0000}"/>
    <cellStyle name="Comma 2 2 2 2 2 2 6 11 4" xfId="11072" xr:uid="{00000000-0005-0000-0000-00003D2B0000}"/>
    <cellStyle name="Comma 2 2 2 2 2 2 6 11 5" xfId="11073" xr:uid="{00000000-0005-0000-0000-00003E2B0000}"/>
    <cellStyle name="Comma 2 2 2 2 2 2 6 11 6" xfId="11074" xr:uid="{00000000-0005-0000-0000-00003F2B0000}"/>
    <cellStyle name="Comma 2 2 2 2 2 2 6 11 7" xfId="11075" xr:uid="{00000000-0005-0000-0000-0000402B0000}"/>
    <cellStyle name="Comma 2 2 2 2 2 2 6 11 8" xfId="11076" xr:uid="{00000000-0005-0000-0000-0000412B0000}"/>
    <cellStyle name="Comma 2 2 2 2 2 2 6 12" xfId="11077" xr:uid="{00000000-0005-0000-0000-0000422B0000}"/>
    <cellStyle name="Comma 2 2 2 2 2 2 6 12 2" xfId="11078" xr:uid="{00000000-0005-0000-0000-0000432B0000}"/>
    <cellStyle name="Comma 2 2 2 2 2 2 6 12 3" xfId="11079" xr:uid="{00000000-0005-0000-0000-0000442B0000}"/>
    <cellStyle name="Comma 2 2 2 2 2 2 6 12 4" xfId="11080" xr:uid="{00000000-0005-0000-0000-0000452B0000}"/>
    <cellStyle name="Comma 2 2 2 2 2 2 6 12 5" xfId="11081" xr:uid="{00000000-0005-0000-0000-0000462B0000}"/>
    <cellStyle name="Comma 2 2 2 2 2 2 6 12 6" xfId="11082" xr:uid="{00000000-0005-0000-0000-0000472B0000}"/>
    <cellStyle name="Comma 2 2 2 2 2 2 6 12 7" xfId="11083" xr:uid="{00000000-0005-0000-0000-0000482B0000}"/>
    <cellStyle name="Comma 2 2 2 2 2 2 6 12 8" xfId="11084" xr:uid="{00000000-0005-0000-0000-0000492B0000}"/>
    <cellStyle name="Comma 2 2 2 2 2 2 6 13" xfId="11085" xr:uid="{00000000-0005-0000-0000-00004A2B0000}"/>
    <cellStyle name="Comma 2 2 2 2 2 2 6 13 2" xfId="11086" xr:uid="{00000000-0005-0000-0000-00004B2B0000}"/>
    <cellStyle name="Comma 2 2 2 2 2 2 6 13 3" xfId="11087" xr:uid="{00000000-0005-0000-0000-00004C2B0000}"/>
    <cellStyle name="Comma 2 2 2 2 2 2 6 13 4" xfId="11088" xr:uid="{00000000-0005-0000-0000-00004D2B0000}"/>
    <cellStyle name="Comma 2 2 2 2 2 2 6 13 5" xfId="11089" xr:uid="{00000000-0005-0000-0000-00004E2B0000}"/>
    <cellStyle name="Comma 2 2 2 2 2 2 6 13 6" xfId="11090" xr:uid="{00000000-0005-0000-0000-00004F2B0000}"/>
    <cellStyle name="Comma 2 2 2 2 2 2 6 13 7" xfId="11091" xr:uid="{00000000-0005-0000-0000-0000502B0000}"/>
    <cellStyle name="Comma 2 2 2 2 2 2 6 13 8" xfId="11092" xr:uid="{00000000-0005-0000-0000-0000512B0000}"/>
    <cellStyle name="Comma 2 2 2 2 2 2 6 14" xfId="11093" xr:uid="{00000000-0005-0000-0000-0000522B0000}"/>
    <cellStyle name="Comma 2 2 2 2 2 2 6 14 2" xfId="11094" xr:uid="{00000000-0005-0000-0000-0000532B0000}"/>
    <cellStyle name="Comma 2 2 2 2 2 2 6 14 3" xfId="11095" xr:uid="{00000000-0005-0000-0000-0000542B0000}"/>
    <cellStyle name="Comma 2 2 2 2 2 2 6 15" xfId="11096" xr:uid="{00000000-0005-0000-0000-0000552B0000}"/>
    <cellStyle name="Comma 2 2 2 2 2 2 6 16" xfId="11097" xr:uid="{00000000-0005-0000-0000-0000562B0000}"/>
    <cellStyle name="Comma 2 2 2 2 2 2 6 16 2" xfId="11098" xr:uid="{00000000-0005-0000-0000-0000572B0000}"/>
    <cellStyle name="Comma 2 2 2 2 2 2 6 17" xfId="11099" xr:uid="{00000000-0005-0000-0000-0000582B0000}"/>
    <cellStyle name="Comma 2 2 2 2 2 2 6 17 2" xfId="11100" xr:uid="{00000000-0005-0000-0000-0000592B0000}"/>
    <cellStyle name="Comma 2 2 2 2 2 2 6 18" xfId="11101" xr:uid="{00000000-0005-0000-0000-00005A2B0000}"/>
    <cellStyle name="Comma 2 2 2 2 2 2 6 19" xfId="11102" xr:uid="{00000000-0005-0000-0000-00005B2B0000}"/>
    <cellStyle name="Comma 2 2 2 2 2 2 6 2" xfId="11103" xr:uid="{00000000-0005-0000-0000-00005C2B0000}"/>
    <cellStyle name="Comma 2 2 2 2 2 2 6 2 2" xfId="11104" xr:uid="{00000000-0005-0000-0000-00005D2B0000}"/>
    <cellStyle name="Comma 2 2 2 2 2 2 6 2 3" xfId="11105" xr:uid="{00000000-0005-0000-0000-00005E2B0000}"/>
    <cellStyle name="Comma 2 2 2 2 2 2 6 2 4" xfId="11106" xr:uid="{00000000-0005-0000-0000-00005F2B0000}"/>
    <cellStyle name="Comma 2 2 2 2 2 2 6 2 5" xfId="11107" xr:uid="{00000000-0005-0000-0000-0000602B0000}"/>
    <cellStyle name="Comma 2 2 2 2 2 2 6 20" xfId="11108" xr:uid="{00000000-0005-0000-0000-0000612B0000}"/>
    <cellStyle name="Comma 2 2 2 2 2 2 6 21" xfId="11109" xr:uid="{00000000-0005-0000-0000-0000622B0000}"/>
    <cellStyle name="Comma 2 2 2 2 2 2 6 22" xfId="11110" xr:uid="{00000000-0005-0000-0000-0000632B0000}"/>
    <cellStyle name="Comma 2 2 2 2 2 2 6 23" xfId="11111" xr:uid="{00000000-0005-0000-0000-0000642B0000}"/>
    <cellStyle name="Comma 2 2 2 2 2 2 6 24" xfId="11112" xr:uid="{00000000-0005-0000-0000-0000652B0000}"/>
    <cellStyle name="Comma 2 2 2 2 2 2 6 25" xfId="11113" xr:uid="{00000000-0005-0000-0000-0000662B0000}"/>
    <cellStyle name="Comma 2 2 2 2 2 2 6 3" xfId="11114" xr:uid="{00000000-0005-0000-0000-0000672B0000}"/>
    <cellStyle name="Comma 2 2 2 2 2 2 6 3 2" xfId="11115" xr:uid="{00000000-0005-0000-0000-0000682B0000}"/>
    <cellStyle name="Comma 2 2 2 2 2 2 6 3 3" xfId="11116" xr:uid="{00000000-0005-0000-0000-0000692B0000}"/>
    <cellStyle name="Comma 2 2 2 2 2 2 6 4" xfId="11117" xr:uid="{00000000-0005-0000-0000-00006A2B0000}"/>
    <cellStyle name="Comma 2 2 2 2 2 2 6 4 2" xfId="11118" xr:uid="{00000000-0005-0000-0000-00006B2B0000}"/>
    <cellStyle name="Comma 2 2 2 2 2 2 6 5" xfId="11119" xr:uid="{00000000-0005-0000-0000-00006C2B0000}"/>
    <cellStyle name="Comma 2 2 2 2 2 2 6 5 2" xfId="11120" xr:uid="{00000000-0005-0000-0000-00006D2B0000}"/>
    <cellStyle name="Comma 2 2 2 2 2 2 6 5 3" xfId="11121" xr:uid="{00000000-0005-0000-0000-00006E2B0000}"/>
    <cellStyle name="Comma 2 2 2 2 2 2 6 5 4" xfId="11122" xr:uid="{00000000-0005-0000-0000-00006F2B0000}"/>
    <cellStyle name="Comma 2 2 2 2 2 2 6 5 5" xfId="11123" xr:uid="{00000000-0005-0000-0000-0000702B0000}"/>
    <cellStyle name="Comma 2 2 2 2 2 2 6 5 6" xfId="11124" xr:uid="{00000000-0005-0000-0000-0000712B0000}"/>
    <cellStyle name="Comma 2 2 2 2 2 2 6 5 7" xfId="11125" xr:uid="{00000000-0005-0000-0000-0000722B0000}"/>
    <cellStyle name="Comma 2 2 2 2 2 2 6 5 8" xfId="11126" xr:uid="{00000000-0005-0000-0000-0000732B0000}"/>
    <cellStyle name="Comma 2 2 2 2 2 2 6 6" xfId="11127" xr:uid="{00000000-0005-0000-0000-0000742B0000}"/>
    <cellStyle name="Comma 2 2 2 2 2 2 6 6 2" xfId="11128" xr:uid="{00000000-0005-0000-0000-0000752B0000}"/>
    <cellStyle name="Comma 2 2 2 2 2 2 6 7" xfId="11129" xr:uid="{00000000-0005-0000-0000-0000762B0000}"/>
    <cellStyle name="Comma 2 2 2 2 2 2 6 7 2" xfId="11130" xr:uid="{00000000-0005-0000-0000-0000772B0000}"/>
    <cellStyle name="Comma 2 2 2 2 2 2 6 7 3" xfId="11131" xr:uid="{00000000-0005-0000-0000-0000782B0000}"/>
    <cellStyle name="Comma 2 2 2 2 2 2 6 7 4" xfId="11132" xr:uid="{00000000-0005-0000-0000-0000792B0000}"/>
    <cellStyle name="Comma 2 2 2 2 2 2 6 7 5" xfId="11133" xr:uid="{00000000-0005-0000-0000-00007A2B0000}"/>
    <cellStyle name="Comma 2 2 2 2 2 2 6 7 6" xfId="11134" xr:uid="{00000000-0005-0000-0000-00007B2B0000}"/>
    <cellStyle name="Comma 2 2 2 2 2 2 6 7 7" xfId="11135" xr:uid="{00000000-0005-0000-0000-00007C2B0000}"/>
    <cellStyle name="Comma 2 2 2 2 2 2 6 7 8" xfId="11136" xr:uid="{00000000-0005-0000-0000-00007D2B0000}"/>
    <cellStyle name="Comma 2 2 2 2 2 2 6 8" xfId="11137" xr:uid="{00000000-0005-0000-0000-00007E2B0000}"/>
    <cellStyle name="Comma 2 2 2 2 2 2 6 8 2" xfId="11138" xr:uid="{00000000-0005-0000-0000-00007F2B0000}"/>
    <cellStyle name="Comma 2 2 2 2 2 2 6 8 3" xfId="11139" xr:uid="{00000000-0005-0000-0000-0000802B0000}"/>
    <cellStyle name="Comma 2 2 2 2 2 2 6 8 4" xfId="11140" xr:uid="{00000000-0005-0000-0000-0000812B0000}"/>
    <cellStyle name="Comma 2 2 2 2 2 2 6 8 5" xfId="11141" xr:uid="{00000000-0005-0000-0000-0000822B0000}"/>
    <cellStyle name="Comma 2 2 2 2 2 2 6 8 6" xfId="11142" xr:uid="{00000000-0005-0000-0000-0000832B0000}"/>
    <cellStyle name="Comma 2 2 2 2 2 2 6 8 7" xfId="11143" xr:uid="{00000000-0005-0000-0000-0000842B0000}"/>
    <cellStyle name="Comma 2 2 2 2 2 2 6 8 8" xfId="11144" xr:uid="{00000000-0005-0000-0000-0000852B0000}"/>
    <cellStyle name="Comma 2 2 2 2 2 2 6 9" xfId="11145" xr:uid="{00000000-0005-0000-0000-0000862B0000}"/>
    <cellStyle name="Comma 2 2 2 2 2 2 6 9 2" xfId="11146" xr:uid="{00000000-0005-0000-0000-0000872B0000}"/>
    <cellStyle name="Comma 2 2 2 2 2 2 6 9 3" xfId="11147" xr:uid="{00000000-0005-0000-0000-0000882B0000}"/>
    <cellStyle name="Comma 2 2 2 2 2 2 6 9 4" xfId="11148" xr:uid="{00000000-0005-0000-0000-0000892B0000}"/>
    <cellStyle name="Comma 2 2 2 2 2 2 6 9 5" xfId="11149" xr:uid="{00000000-0005-0000-0000-00008A2B0000}"/>
    <cellStyle name="Comma 2 2 2 2 2 2 6 9 6" xfId="11150" xr:uid="{00000000-0005-0000-0000-00008B2B0000}"/>
    <cellStyle name="Comma 2 2 2 2 2 2 6 9 7" xfId="11151" xr:uid="{00000000-0005-0000-0000-00008C2B0000}"/>
    <cellStyle name="Comma 2 2 2 2 2 2 6 9 8" xfId="11152" xr:uid="{00000000-0005-0000-0000-00008D2B0000}"/>
    <cellStyle name="Comma 2 2 2 2 2 2 7" xfId="11153" xr:uid="{00000000-0005-0000-0000-00008E2B0000}"/>
    <cellStyle name="Comma 2 2 2 2 2 2 7 10" xfId="11154" xr:uid="{00000000-0005-0000-0000-00008F2B0000}"/>
    <cellStyle name="Comma 2 2 2 2 2 2 7 10 2" xfId="11155" xr:uid="{00000000-0005-0000-0000-0000902B0000}"/>
    <cellStyle name="Comma 2 2 2 2 2 2 7 10 3" xfId="11156" xr:uid="{00000000-0005-0000-0000-0000912B0000}"/>
    <cellStyle name="Comma 2 2 2 2 2 2 7 10 4" xfId="11157" xr:uid="{00000000-0005-0000-0000-0000922B0000}"/>
    <cellStyle name="Comma 2 2 2 2 2 2 7 10 5" xfId="11158" xr:uid="{00000000-0005-0000-0000-0000932B0000}"/>
    <cellStyle name="Comma 2 2 2 2 2 2 7 10 6" xfId="11159" xr:uid="{00000000-0005-0000-0000-0000942B0000}"/>
    <cellStyle name="Comma 2 2 2 2 2 2 7 10 7" xfId="11160" xr:uid="{00000000-0005-0000-0000-0000952B0000}"/>
    <cellStyle name="Comma 2 2 2 2 2 2 7 10 8" xfId="11161" xr:uid="{00000000-0005-0000-0000-0000962B0000}"/>
    <cellStyle name="Comma 2 2 2 2 2 2 7 11" xfId="11162" xr:uid="{00000000-0005-0000-0000-0000972B0000}"/>
    <cellStyle name="Comma 2 2 2 2 2 2 7 11 2" xfId="11163" xr:uid="{00000000-0005-0000-0000-0000982B0000}"/>
    <cellStyle name="Comma 2 2 2 2 2 2 7 11 3" xfId="11164" xr:uid="{00000000-0005-0000-0000-0000992B0000}"/>
    <cellStyle name="Comma 2 2 2 2 2 2 7 11 4" xfId="11165" xr:uid="{00000000-0005-0000-0000-00009A2B0000}"/>
    <cellStyle name="Comma 2 2 2 2 2 2 7 11 5" xfId="11166" xr:uid="{00000000-0005-0000-0000-00009B2B0000}"/>
    <cellStyle name="Comma 2 2 2 2 2 2 7 11 6" xfId="11167" xr:uid="{00000000-0005-0000-0000-00009C2B0000}"/>
    <cellStyle name="Comma 2 2 2 2 2 2 7 11 7" xfId="11168" xr:uid="{00000000-0005-0000-0000-00009D2B0000}"/>
    <cellStyle name="Comma 2 2 2 2 2 2 7 11 8" xfId="11169" xr:uid="{00000000-0005-0000-0000-00009E2B0000}"/>
    <cellStyle name="Comma 2 2 2 2 2 2 7 12" xfId="11170" xr:uid="{00000000-0005-0000-0000-00009F2B0000}"/>
    <cellStyle name="Comma 2 2 2 2 2 2 7 12 2" xfId="11171" xr:uid="{00000000-0005-0000-0000-0000A02B0000}"/>
    <cellStyle name="Comma 2 2 2 2 2 2 7 12 3" xfId="11172" xr:uid="{00000000-0005-0000-0000-0000A12B0000}"/>
    <cellStyle name="Comma 2 2 2 2 2 2 7 12 4" xfId="11173" xr:uid="{00000000-0005-0000-0000-0000A22B0000}"/>
    <cellStyle name="Comma 2 2 2 2 2 2 7 12 5" xfId="11174" xr:uid="{00000000-0005-0000-0000-0000A32B0000}"/>
    <cellStyle name="Comma 2 2 2 2 2 2 7 12 6" xfId="11175" xr:uid="{00000000-0005-0000-0000-0000A42B0000}"/>
    <cellStyle name="Comma 2 2 2 2 2 2 7 12 7" xfId="11176" xr:uid="{00000000-0005-0000-0000-0000A52B0000}"/>
    <cellStyle name="Comma 2 2 2 2 2 2 7 12 8" xfId="11177" xr:uid="{00000000-0005-0000-0000-0000A62B0000}"/>
    <cellStyle name="Comma 2 2 2 2 2 2 7 13" xfId="11178" xr:uid="{00000000-0005-0000-0000-0000A72B0000}"/>
    <cellStyle name="Comma 2 2 2 2 2 2 7 13 2" xfId="11179" xr:uid="{00000000-0005-0000-0000-0000A82B0000}"/>
    <cellStyle name="Comma 2 2 2 2 2 2 7 13 3" xfId="11180" xr:uid="{00000000-0005-0000-0000-0000A92B0000}"/>
    <cellStyle name="Comma 2 2 2 2 2 2 7 13 4" xfId="11181" xr:uid="{00000000-0005-0000-0000-0000AA2B0000}"/>
    <cellStyle name="Comma 2 2 2 2 2 2 7 13 5" xfId="11182" xr:uid="{00000000-0005-0000-0000-0000AB2B0000}"/>
    <cellStyle name="Comma 2 2 2 2 2 2 7 13 6" xfId="11183" xr:uid="{00000000-0005-0000-0000-0000AC2B0000}"/>
    <cellStyle name="Comma 2 2 2 2 2 2 7 13 7" xfId="11184" xr:uid="{00000000-0005-0000-0000-0000AD2B0000}"/>
    <cellStyle name="Comma 2 2 2 2 2 2 7 13 8" xfId="11185" xr:uid="{00000000-0005-0000-0000-0000AE2B0000}"/>
    <cellStyle name="Comma 2 2 2 2 2 2 7 14" xfId="11186" xr:uid="{00000000-0005-0000-0000-0000AF2B0000}"/>
    <cellStyle name="Comma 2 2 2 2 2 2 7 14 2" xfId="11187" xr:uid="{00000000-0005-0000-0000-0000B02B0000}"/>
    <cellStyle name="Comma 2 2 2 2 2 2 7 14 3" xfId="11188" xr:uid="{00000000-0005-0000-0000-0000B12B0000}"/>
    <cellStyle name="Comma 2 2 2 2 2 2 7 15" xfId="11189" xr:uid="{00000000-0005-0000-0000-0000B22B0000}"/>
    <cellStyle name="Comma 2 2 2 2 2 2 7 16" xfId="11190" xr:uid="{00000000-0005-0000-0000-0000B32B0000}"/>
    <cellStyle name="Comma 2 2 2 2 2 2 7 16 2" xfId="11191" xr:uid="{00000000-0005-0000-0000-0000B42B0000}"/>
    <cellStyle name="Comma 2 2 2 2 2 2 7 17" xfId="11192" xr:uid="{00000000-0005-0000-0000-0000B52B0000}"/>
    <cellStyle name="Comma 2 2 2 2 2 2 7 17 2" xfId="11193" xr:uid="{00000000-0005-0000-0000-0000B62B0000}"/>
    <cellStyle name="Comma 2 2 2 2 2 2 7 18" xfId="11194" xr:uid="{00000000-0005-0000-0000-0000B72B0000}"/>
    <cellStyle name="Comma 2 2 2 2 2 2 7 19" xfId="11195" xr:uid="{00000000-0005-0000-0000-0000B82B0000}"/>
    <cellStyle name="Comma 2 2 2 2 2 2 7 2" xfId="11196" xr:uid="{00000000-0005-0000-0000-0000B92B0000}"/>
    <cellStyle name="Comma 2 2 2 2 2 2 7 2 2" xfId="11197" xr:uid="{00000000-0005-0000-0000-0000BA2B0000}"/>
    <cellStyle name="Comma 2 2 2 2 2 2 7 2 3" xfId="11198" xr:uid="{00000000-0005-0000-0000-0000BB2B0000}"/>
    <cellStyle name="Comma 2 2 2 2 2 2 7 2 4" xfId="11199" xr:uid="{00000000-0005-0000-0000-0000BC2B0000}"/>
    <cellStyle name="Comma 2 2 2 2 2 2 7 2 5" xfId="11200" xr:uid="{00000000-0005-0000-0000-0000BD2B0000}"/>
    <cellStyle name="Comma 2 2 2 2 2 2 7 20" xfId="11201" xr:uid="{00000000-0005-0000-0000-0000BE2B0000}"/>
    <cellStyle name="Comma 2 2 2 2 2 2 7 21" xfId="11202" xr:uid="{00000000-0005-0000-0000-0000BF2B0000}"/>
    <cellStyle name="Comma 2 2 2 2 2 2 7 22" xfId="11203" xr:uid="{00000000-0005-0000-0000-0000C02B0000}"/>
    <cellStyle name="Comma 2 2 2 2 2 2 7 23" xfId="11204" xr:uid="{00000000-0005-0000-0000-0000C12B0000}"/>
    <cellStyle name="Comma 2 2 2 2 2 2 7 24" xfId="11205" xr:uid="{00000000-0005-0000-0000-0000C22B0000}"/>
    <cellStyle name="Comma 2 2 2 2 2 2 7 25" xfId="11206" xr:uid="{00000000-0005-0000-0000-0000C32B0000}"/>
    <cellStyle name="Comma 2 2 2 2 2 2 7 3" xfId="11207" xr:uid="{00000000-0005-0000-0000-0000C42B0000}"/>
    <cellStyle name="Comma 2 2 2 2 2 2 7 3 2" xfId="11208" xr:uid="{00000000-0005-0000-0000-0000C52B0000}"/>
    <cellStyle name="Comma 2 2 2 2 2 2 7 3 3" xfId="11209" xr:uid="{00000000-0005-0000-0000-0000C62B0000}"/>
    <cellStyle name="Comma 2 2 2 2 2 2 7 4" xfId="11210" xr:uid="{00000000-0005-0000-0000-0000C72B0000}"/>
    <cellStyle name="Comma 2 2 2 2 2 2 7 4 2" xfId="11211" xr:uid="{00000000-0005-0000-0000-0000C82B0000}"/>
    <cellStyle name="Comma 2 2 2 2 2 2 7 5" xfId="11212" xr:uid="{00000000-0005-0000-0000-0000C92B0000}"/>
    <cellStyle name="Comma 2 2 2 2 2 2 7 5 2" xfId="11213" xr:uid="{00000000-0005-0000-0000-0000CA2B0000}"/>
    <cellStyle name="Comma 2 2 2 2 2 2 7 5 3" xfId="11214" xr:uid="{00000000-0005-0000-0000-0000CB2B0000}"/>
    <cellStyle name="Comma 2 2 2 2 2 2 7 5 4" xfId="11215" xr:uid="{00000000-0005-0000-0000-0000CC2B0000}"/>
    <cellStyle name="Comma 2 2 2 2 2 2 7 5 5" xfId="11216" xr:uid="{00000000-0005-0000-0000-0000CD2B0000}"/>
    <cellStyle name="Comma 2 2 2 2 2 2 7 5 6" xfId="11217" xr:uid="{00000000-0005-0000-0000-0000CE2B0000}"/>
    <cellStyle name="Comma 2 2 2 2 2 2 7 5 7" xfId="11218" xr:uid="{00000000-0005-0000-0000-0000CF2B0000}"/>
    <cellStyle name="Comma 2 2 2 2 2 2 7 5 8" xfId="11219" xr:uid="{00000000-0005-0000-0000-0000D02B0000}"/>
    <cellStyle name="Comma 2 2 2 2 2 2 7 6" xfId="11220" xr:uid="{00000000-0005-0000-0000-0000D12B0000}"/>
    <cellStyle name="Comma 2 2 2 2 2 2 7 6 2" xfId="11221" xr:uid="{00000000-0005-0000-0000-0000D22B0000}"/>
    <cellStyle name="Comma 2 2 2 2 2 2 7 7" xfId="11222" xr:uid="{00000000-0005-0000-0000-0000D32B0000}"/>
    <cellStyle name="Comma 2 2 2 2 2 2 7 7 2" xfId="11223" xr:uid="{00000000-0005-0000-0000-0000D42B0000}"/>
    <cellStyle name="Comma 2 2 2 2 2 2 7 7 3" xfId="11224" xr:uid="{00000000-0005-0000-0000-0000D52B0000}"/>
    <cellStyle name="Comma 2 2 2 2 2 2 7 7 4" xfId="11225" xr:uid="{00000000-0005-0000-0000-0000D62B0000}"/>
    <cellStyle name="Comma 2 2 2 2 2 2 7 7 5" xfId="11226" xr:uid="{00000000-0005-0000-0000-0000D72B0000}"/>
    <cellStyle name="Comma 2 2 2 2 2 2 7 7 6" xfId="11227" xr:uid="{00000000-0005-0000-0000-0000D82B0000}"/>
    <cellStyle name="Comma 2 2 2 2 2 2 7 7 7" xfId="11228" xr:uid="{00000000-0005-0000-0000-0000D92B0000}"/>
    <cellStyle name="Comma 2 2 2 2 2 2 7 7 8" xfId="11229" xr:uid="{00000000-0005-0000-0000-0000DA2B0000}"/>
    <cellStyle name="Comma 2 2 2 2 2 2 7 8" xfId="11230" xr:uid="{00000000-0005-0000-0000-0000DB2B0000}"/>
    <cellStyle name="Comma 2 2 2 2 2 2 7 8 2" xfId="11231" xr:uid="{00000000-0005-0000-0000-0000DC2B0000}"/>
    <cellStyle name="Comma 2 2 2 2 2 2 7 8 3" xfId="11232" xr:uid="{00000000-0005-0000-0000-0000DD2B0000}"/>
    <cellStyle name="Comma 2 2 2 2 2 2 7 8 4" xfId="11233" xr:uid="{00000000-0005-0000-0000-0000DE2B0000}"/>
    <cellStyle name="Comma 2 2 2 2 2 2 7 8 5" xfId="11234" xr:uid="{00000000-0005-0000-0000-0000DF2B0000}"/>
    <cellStyle name="Comma 2 2 2 2 2 2 7 8 6" xfId="11235" xr:uid="{00000000-0005-0000-0000-0000E02B0000}"/>
    <cellStyle name="Comma 2 2 2 2 2 2 7 8 7" xfId="11236" xr:uid="{00000000-0005-0000-0000-0000E12B0000}"/>
    <cellStyle name="Comma 2 2 2 2 2 2 7 8 8" xfId="11237" xr:uid="{00000000-0005-0000-0000-0000E22B0000}"/>
    <cellStyle name="Comma 2 2 2 2 2 2 7 9" xfId="11238" xr:uid="{00000000-0005-0000-0000-0000E32B0000}"/>
    <cellStyle name="Comma 2 2 2 2 2 2 7 9 2" xfId="11239" xr:uid="{00000000-0005-0000-0000-0000E42B0000}"/>
    <cellStyle name="Comma 2 2 2 2 2 2 7 9 3" xfId="11240" xr:uid="{00000000-0005-0000-0000-0000E52B0000}"/>
    <cellStyle name="Comma 2 2 2 2 2 2 7 9 4" xfId="11241" xr:uid="{00000000-0005-0000-0000-0000E62B0000}"/>
    <cellStyle name="Comma 2 2 2 2 2 2 7 9 5" xfId="11242" xr:uid="{00000000-0005-0000-0000-0000E72B0000}"/>
    <cellStyle name="Comma 2 2 2 2 2 2 7 9 6" xfId="11243" xr:uid="{00000000-0005-0000-0000-0000E82B0000}"/>
    <cellStyle name="Comma 2 2 2 2 2 2 7 9 7" xfId="11244" xr:uid="{00000000-0005-0000-0000-0000E92B0000}"/>
    <cellStyle name="Comma 2 2 2 2 2 2 7 9 8" xfId="11245" xr:uid="{00000000-0005-0000-0000-0000EA2B0000}"/>
    <cellStyle name="Comma 2 2 2 2 2 2 8" xfId="11246" xr:uid="{00000000-0005-0000-0000-0000EB2B0000}"/>
    <cellStyle name="Comma 2 2 2 2 2 2 8 10" xfId="11247" xr:uid="{00000000-0005-0000-0000-0000EC2B0000}"/>
    <cellStyle name="Comma 2 2 2 2 2 2 8 10 2" xfId="11248" xr:uid="{00000000-0005-0000-0000-0000ED2B0000}"/>
    <cellStyle name="Comma 2 2 2 2 2 2 8 10 3" xfId="11249" xr:uid="{00000000-0005-0000-0000-0000EE2B0000}"/>
    <cellStyle name="Comma 2 2 2 2 2 2 8 10 4" xfId="11250" xr:uid="{00000000-0005-0000-0000-0000EF2B0000}"/>
    <cellStyle name="Comma 2 2 2 2 2 2 8 10 5" xfId="11251" xr:uid="{00000000-0005-0000-0000-0000F02B0000}"/>
    <cellStyle name="Comma 2 2 2 2 2 2 8 10 6" xfId="11252" xr:uid="{00000000-0005-0000-0000-0000F12B0000}"/>
    <cellStyle name="Comma 2 2 2 2 2 2 8 10 7" xfId="11253" xr:uid="{00000000-0005-0000-0000-0000F22B0000}"/>
    <cellStyle name="Comma 2 2 2 2 2 2 8 10 8" xfId="11254" xr:uid="{00000000-0005-0000-0000-0000F32B0000}"/>
    <cellStyle name="Comma 2 2 2 2 2 2 8 11" xfId="11255" xr:uid="{00000000-0005-0000-0000-0000F42B0000}"/>
    <cellStyle name="Comma 2 2 2 2 2 2 8 11 2" xfId="11256" xr:uid="{00000000-0005-0000-0000-0000F52B0000}"/>
    <cellStyle name="Comma 2 2 2 2 2 2 8 11 3" xfId="11257" xr:uid="{00000000-0005-0000-0000-0000F62B0000}"/>
    <cellStyle name="Comma 2 2 2 2 2 2 8 11 4" xfId="11258" xr:uid="{00000000-0005-0000-0000-0000F72B0000}"/>
    <cellStyle name="Comma 2 2 2 2 2 2 8 11 5" xfId="11259" xr:uid="{00000000-0005-0000-0000-0000F82B0000}"/>
    <cellStyle name="Comma 2 2 2 2 2 2 8 11 6" xfId="11260" xr:uid="{00000000-0005-0000-0000-0000F92B0000}"/>
    <cellStyle name="Comma 2 2 2 2 2 2 8 11 7" xfId="11261" xr:uid="{00000000-0005-0000-0000-0000FA2B0000}"/>
    <cellStyle name="Comma 2 2 2 2 2 2 8 11 8" xfId="11262" xr:uid="{00000000-0005-0000-0000-0000FB2B0000}"/>
    <cellStyle name="Comma 2 2 2 2 2 2 8 12" xfId="11263" xr:uid="{00000000-0005-0000-0000-0000FC2B0000}"/>
    <cellStyle name="Comma 2 2 2 2 2 2 8 12 2" xfId="11264" xr:uid="{00000000-0005-0000-0000-0000FD2B0000}"/>
    <cellStyle name="Comma 2 2 2 2 2 2 8 12 3" xfId="11265" xr:uid="{00000000-0005-0000-0000-0000FE2B0000}"/>
    <cellStyle name="Comma 2 2 2 2 2 2 8 12 4" xfId="11266" xr:uid="{00000000-0005-0000-0000-0000FF2B0000}"/>
    <cellStyle name="Comma 2 2 2 2 2 2 8 12 5" xfId="11267" xr:uid="{00000000-0005-0000-0000-0000002C0000}"/>
    <cellStyle name="Comma 2 2 2 2 2 2 8 12 6" xfId="11268" xr:uid="{00000000-0005-0000-0000-0000012C0000}"/>
    <cellStyle name="Comma 2 2 2 2 2 2 8 12 7" xfId="11269" xr:uid="{00000000-0005-0000-0000-0000022C0000}"/>
    <cellStyle name="Comma 2 2 2 2 2 2 8 12 8" xfId="11270" xr:uid="{00000000-0005-0000-0000-0000032C0000}"/>
    <cellStyle name="Comma 2 2 2 2 2 2 8 13" xfId="11271" xr:uid="{00000000-0005-0000-0000-0000042C0000}"/>
    <cellStyle name="Comma 2 2 2 2 2 2 8 13 2" xfId="11272" xr:uid="{00000000-0005-0000-0000-0000052C0000}"/>
    <cellStyle name="Comma 2 2 2 2 2 2 8 13 3" xfId="11273" xr:uid="{00000000-0005-0000-0000-0000062C0000}"/>
    <cellStyle name="Comma 2 2 2 2 2 2 8 13 4" xfId="11274" xr:uid="{00000000-0005-0000-0000-0000072C0000}"/>
    <cellStyle name="Comma 2 2 2 2 2 2 8 13 5" xfId="11275" xr:uid="{00000000-0005-0000-0000-0000082C0000}"/>
    <cellStyle name="Comma 2 2 2 2 2 2 8 13 6" xfId="11276" xr:uid="{00000000-0005-0000-0000-0000092C0000}"/>
    <cellStyle name="Comma 2 2 2 2 2 2 8 13 7" xfId="11277" xr:uid="{00000000-0005-0000-0000-00000A2C0000}"/>
    <cellStyle name="Comma 2 2 2 2 2 2 8 13 8" xfId="11278" xr:uid="{00000000-0005-0000-0000-00000B2C0000}"/>
    <cellStyle name="Comma 2 2 2 2 2 2 8 14" xfId="11279" xr:uid="{00000000-0005-0000-0000-00000C2C0000}"/>
    <cellStyle name="Comma 2 2 2 2 2 2 8 14 2" xfId="11280" xr:uid="{00000000-0005-0000-0000-00000D2C0000}"/>
    <cellStyle name="Comma 2 2 2 2 2 2 8 14 3" xfId="11281" xr:uid="{00000000-0005-0000-0000-00000E2C0000}"/>
    <cellStyle name="Comma 2 2 2 2 2 2 8 15" xfId="11282" xr:uid="{00000000-0005-0000-0000-00000F2C0000}"/>
    <cellStyle name="Comma 2 2 2 2 2 2 8 16" xfId="11283" xr:uid="{00000000-0005-0000-0000-0000102C0000}"/>
    <cellStyle name="Comma 2 2 2 2 2 2 8 16 2" xfId="11284" xr:uid="{00000000-0005-0000-0000-0000112C0000}"/>
    <cellStyle name="Comma 2 2 2 2 2 2 8 17" xfId="11285" xr:uid="{00000000-0005-0000-0000-0000122C0000}"/>
    <cellStyle name="Comma 2 2 2 2 2 2 8 17 2" xfId="11286" xr:uid="{00000000-0005-0000-0000-0000132C0000}"/>
    <cellStyle name="Comma 2 2 2 2 2 2 8 18" xfId="11287" xr:uid="{00000000-0005-0000-0000-0000142C0000}"/>
    <cellStyle name="Comma 2 2 2 2 2 2 8 19" xfId="11288" xr:uid="{00000000-0005-0000-0000-0000152C0000}"/>
    <cellStyle name="Comma 2 2 2 2 2 2 8 2" xfId="11289" xr:uid="{00000000-0005-0000-0000-0000162C0000}"/>
    <cellStyle name="Comma 2 2 2 2 2 2 8 2 2" xfId="11290" xr:uid="{00000000-0005-0000-0000-0000172C0000}"/>
    <cellStyle name="Comma 2 2 2 2 2 2 8 2 3" xfId="11291" xr:uid="{00000000-0005-0000-0000-0000182C0000}"/>
    <cellStyle name="Comma 2 2 2 2 2 2 8 2 4" xfId="11292" xr:uid="{00000000-0005-0000-0000-0000192C0000}"/>
    <cellStyle name="Comma 2 2 2 2 2 2 8 2 5" xfId="11293" xr:uid="{00000000-0005-0000-0000-00001A2C0000}"/>
    <cellStyle name="Comma 2 2 2 2 2 2 8 20" xfId="11294" xr:uid="{00000000-0005-0000-0000-00001B2C0000}"/>
    <cellStyle name="Comma 2 2 2 2 2 2 8 21" xfId="11295" xr:uid="{00000000-0005-0000-0000-00001C2C0000}"/>
    <cellStyle name="Comma 2 2 2 2 2 2 8 22" xfId="11296" xr:uid="{00000000-0005-0000-0000-00001D2C0000}"/>
    <cellStyle name="Comma 2 2 2 2 2 2 8 23" xfId="11297" xr:uid="{00000000-0005-0000-0000-00001E2C0000}"/>
    <cellStyle name="Comma 2 2 2 2 2 2 8 24" xfId="11298" xr:uid="{00000000-0005-0000-0000-00001F2C0000}"/>
    <cellStyle name="Comma 2 2 2 2 2 2 8 25" xfId="11299" xr:uid="{00000000-0005-0000-0000-0000202C0000}"/>
    <cellStyle name="Comma 2 2 2 2 2 2 8 3" xfId="11300" xr:uid="{00000000-0005-0000-0000-0000212C0000}"/>
    <cellStyle name="Comma 2 2 2 2 2 2 8 3 2" xfId="11301" xr:uid="{00000000-0005-0000-0000-0000222C0000}"/>
    <cellStyle name="Comma 2 2 2 2 2 2 8 3 3" xfId="11302" xr:uid="{00000000-0005-0000-0000-0000232C0000}"/>
    <cellStyle name="Comma 2 2 2 2 2 2 8 4" xfId="11303" xr:uid="{00000000-0005-0000-0000-0000242C0000}"/>
    <cellStyle name="Comma 2 2 2 2 2 2 8 4 2" xfId="11304" xr:uid="{00000000-0005-0000-0000-0000252C0000}"/>
    <cellStyle name="Comma 2 2 2 2 2 2 8 5" xfId="11305" xr:uid="{00000000-0005-0000-0000-0000262C0000}"/>
    <cellStyle name="Comma 2 2 2 2 2 2 8 5 2" xfId="11306" xr:uid="{00000000-0005-0000-0000-0000272C0000}"/>
    <cellStyle name="Comma 2 2 2 2 2 2 8 5 3" xfId="11307" xr:uid="{00000000-0005-0000-0000-0000282C0000}"/>
    <cellStyle name="Comma 2 2 2 2 2 2 8 5 4" xfId="11308" xr:uid="{00000000-0005-0000-0000-0000292C0000}"/>
    <cellStyle name="Comma 2 2 2 2 2 2 8 5 5" xfId="11309" xr:uid="{00000000-0005-0000-0000-00002A2C0000}"/>
    <cellStyle name="Comma 2 2 2 2 2 2 8 5 6" xfId="11310" xr:uid="{00000000-0005-0000-0000-00002B2C0000}"/>
    <cellStyle name="Comma 2 2 2 2 2 2 8 5 7" xfId="11311" xr:uid="{00000000-0005-0000-0000-00002C2C0000}"/>
    <cellStyle name="Comma 2 2 2 2 2 2 8 5 8" xfId="11312" xr:uid="{00000000-0005-0000-0000-00002D2C0000}"/>
    <cellStyle name="Comma 2 2 2 2 2 2 8 6" xfId="11313" xr:uid="{00000000-0005-0000-0000-00002E2C0000}"/>
    <cellStyle name="Comma 2 2 2 2 2 2 8 6 2" xfId="11314" xr:uid="{00000000-0005-0000-0000-00002F2C0000}"/>
    <cellStyle name="Comma 2 2 2 2 2 2 8 7" xfId="11315" xr:uid="{00000000-0005-0000-0000-0000302C0000}"/>
    <cellStyle name="Comma 2 2 2 2 2 2 8 7 2" xfId="11316" xr:uid="{00000000-0005-0000-0000-0000312C0000}"/>
    <cellStyle name="Comma 2 2 2 2 2 2 8 7 3" xfId="11317" xr:uid="{00000000-0005-0000-0000-0000322C0000}"/>
    <cellStyle name="Comma 2 2 2 2 2 2 8 7 4" xfId="11318" xr:uid="{00000000-0005-0000-0000-0000332C0000}"/>
    <cellStyle name="Comma 2 2 2 2 2 2 8 7 5" xfId="11319" xr:uid="{00000000-0005-0000-0000-0000342C0000}"/>
    <cellStyle name="Comma 2 2 2 2 2 2 8 7 6" xfId="11320" xr:uid="{00000000-0005-0000-0000-0000352C0000}"/>
    <cellStyle name="Comma 2 2 2 2 2 2 8 7 7" xfId="11321" xr:uid="{00000000-0005-0000-0000-0000362C0000}"/>
    <cellStyle name="Comma 2 2 2 2 2 2 8 7 8" xfId="11322" xr:uid="{00000000-0005-0000-0000-0000372C0000}"/>
    <cellStyle name="Comma 2 2 2 2 2 2 8 8" xfId="11323" xr:uid="{00000000-0005-0000-0000-0000382C0000}"/>
    <cellStyle name="Comma 2 2 2 2 2 2 8 8 2" xfId="11324" xr:uid="{00000000-0005-0000-0000-0000392C0000}"/>
    <cellStyle name="Comma 2 2 2 2 2 2 8 8 3" xfId="11325" xr:uid="{00000000-0005-0000-0000-00003A2C0000}"/>
    <cellStyle name="Comma 2 2 2 2 2 2 8 8 4" xfId="11326" xr:uid="{00000000-0005-0000-0000-00003B2C0000}"/>
    <cellStyle name="Comma 2 2 2 2 2 2 8 8 5" xfId="11327" xr:uid="{00000000-0005-0000-0000-00003C2C0000}"/>
    <cellStyle name="Comma 2 2 2 2 2 2 8 8 6" xfId="11328" xr:uid="{00000000-0005-0000-0000-00003D2C0000}"/>
    <cellStyle name="Comma 2 2 2 2 2 2 8 8 7" xfId="11329" xr:uid="{00000000-0005-0000-0000-00003E2C0000}"/>
    <cellStyle name="Comma 2 2 2 2 2 2 8 8 8" xfId="11330" xr:uid="{00000000-0005-0000-0000-00003F2C0000}"/>
    <cellStyle name="Comma 2 2 2 2 2 2 8 9" xfId="11331" xr:uid="{00000000-0005-0000-0000-0000402C0000}"/>
    <cellStyle name="Comma 2 2 2 2 2 2 8 9 2" xfId="11332" xr:uid="{00000000-0005-0000-0000-0000412C0000}"/>
    <cellStyle name="Comma 2 2 2 2 2 2 8 9 3" xfId="11333" xr:uid="{00000000-0005-0000-0000-0000422C0000}"/>
    <cellStyle name="Comma 2 2 2 2 2 2 8 9 4" xfId="11334" xr:uid="{00000000-0005-0000-0000-0000432C0000}"/>
    <cellStyle name="Comma 2 2 2 2 2 2 8 9 5" xfId="11335" xr:uid="{00000000-0005-0000-0000-0000442C0000}"/>
    <cellStyle name="Comma 2 2 2 2 2 2 8 9 6" xfId="11336" xr:uid="{00000000-0005-0000-0000-0000452C0000}"/>
    <cellStyle name="Comma 2 2 2 2 2 2 8 9 7" xfId="11337" xr:uid="{00000000-0005-0000-0000-0000462C0000}"/>
    <cellStyle name="Comma 2 2 2 2 2 2 8 9 8" xfId="11338" xr:uid="{00000000-0005-0000-0000-0000472C0000}"/>
    <cellStyle name="Comma 2 2 2 2 2 2 9" xfId="11339" xr:uid="{00000000-0005-0000-0000-0000482C0000}"/>
    <cellStyle name="Comma 2 2 2 2 2 2 9 10" xfId="11340" xr:uid="{00000000-0005-0000-0000-0000492C0000}"/>
    <cellStyle name="Comma 2 2 2 2 2 2 9 10 2" xfId="11341" xr:uid="{00000000-0005-0000-0000-00004A2C0000}"/>
    <cellStyle name="Comma 2 2 2 2 2 2 9 10 3" xfId="11342" xr:uid="{00000000-0005-0000-0000-00004B2C0000}"/>
    <cellStyle name="Comma 2 2 2 2 2 2 9 10 4" xfId="11343" xr:uid="{00000000-0005-0000-0000-00004C2C0000}"/>
    <cellStyle name="Comma 2 2 2 2 2 2 9 10 5" xfId="11344" xr:uid="{00000000-0005-0000-0000-00004D2C0000}"/>
    <cellStyle name="Comma 2 2 2 2 2 2 9 10 6" xfId="11345" xr:uid="{00000000-0005-0000-0000-00004E2C0000}"/>
    <cellStyle name="Comma 2 2 2 2 2 2 9 10 7" xfId="11346" xr:uid="{00000000-0005-0000-0000-00004F2C0000}"/>
    <cellStyle name="Comma 2 2 2 2 2 2 9 10 8" xfId="11347" xr:uid="{00000000-0005-0000-0000-0000502C0000}"/>
    <cellStyle name="Comma 2 2 2 2 2 2 9 11" xfId="11348" xr:uid="{00000000-0005-0000-0000-0000512C0000}"/>
    <cellStyle name="Comma 2 2 2 2 2 2 9 11 2" xfId="11349" xr:uid="{00000000-0005-0000-0000-0000522C0000}"/>
    <cellStyle name="Comma 2 2 2 2 2 2 9 11 3" xfId="11350" xr:uid="{00000000-0005-0000-0000-0000532C0000}"/>
    <cellStyle name="Comma 2 2 2 2 2 2 9 11 4" xfId="11351" xr:uid="{00000000-0005-0000-0000-0000542C0000}"/>
    <cellStyle name="Comma 2 2 2 2 2 2 9 11 5" xfId="11352" xr:uid="{00000000-0005-0000-0000-0000552C0000}"/>
    <cellStyle name="Comma 2 2 2 2 2 2 9 11 6" xfId="11353" xr:uid="{00000000-0005-0000-0000-0000562C0000}"/>
    <cellStyle name="Comma 2 2 2 2 2 2 9 11 7" xfId="11354" xr:uid="{00000000-0005-0000-0000-0000572C0000}"/>
    <cellStyle name="Comma 2 2 2 2 2 2 9 11 8" xfId="11355" xr:uid="{00000000-0005-0000-0000-0000582C0000}"/>
    <cellStyle name="Comma 2 2 2 2 2 2 9 12" xfId="11356" xr:uid="{00000000-0005-0000-0000-0000592C0000}"/>
    <cellStyle name="Comma 2 2 2 2 2 2 9 12 2" xfId="11357" xr:uid="{00000000-0005-0000-0000-00005A2C0000}"/>
    <cellStyle name="Comma 2 2 2 2 2 2 9 12 3" xfId="11358" xr:uid="{00000000-0005-0000-0000-00005B2C0000}"/>
    <cellStyle name="Comma 2 2 2 2 2 2 9 12 4" xfId="11359" xr:uid="{00000000-0005-0000-0000-00005C2C0000}"/>
    <cellStyle name="Comma 2 2 2 2 2 2 9 12 5" xfId="11360" xr:uid="{00000000-0005-0000-0000-00005D2C0000}"/>
    <cellStyle name="Comma 2 2 2 2 2 2 9 12 6" xfId="11361" xr:uid="{00000000-0005-0000-0000-00005E2C0000}"/>
    <cellStyle name="Comma 2 2 2 2 2 2 9 12 7" xfId="11362" xr:uid="{00000000-0005-0000-0000-00005F2C0000}"/>
    <cellStyle name="Comma 2 2 2 2 2 2 9 12 8" xfId="11363" xr:uid="{00000000-0005-0000-0000-0000602C0000}"/>
    <cellStyle name="Comma 2 2 2 2 2 2 9 13" xfId="11364" xr:uid="{00000000-0005-0000-0000-0000612C0000}"/>
    <cellStyle name="Comma 2 2 2 2 2 2 9 13 2" xfId="11365" xr:uid="{00000000-0005-0000-0000-0000622C0000}"/>
    <cellStyle name="Comma 2 2 2 2 2 2 9 13 3" xfId="11366" xr:uid="{00000000-0005-0000-0000-0000632C0000}"/>
    <cellStyle name="Comma 2 2 2 2 2 2 9 13 4" xfId="11367" xr:uid="{00000000-0005-0000-0000-0000642C0000}"/>
    <cellStyle name="Comma 2 2 2 2 2 2 9 13 5" xfId="11368" xr:uid="{00000000-0005-0000-0000-0000652C0000}"/>
    <cellStyle name="Comma 2 2 2 2 2 2 9 13 6" xfId="11369" xr:uid="{00000000-0005-0000-0000-0000662C0000}"/>
    <cellStyle name="Comma 2 2 2 2 2 2 9 13 7" xfId="11370" xr:uid="{00000000-0005-0000-0000-0000672C0000}"/>
    <cellStyle name="Comma 2 2 2 2 2 2 9 13 8" xfId="11371" xr:uid="{00000000-0005-0000-0000-0000682C0000}"/>
    <cellStyle name="Comma 2 2 2 2 2 2 9 14" xfId="11372" xr:uid="{00000000-0005-0000-0000-0000692C0000}"/>
    <cellStyle name="Comma 2 2 2 2 2 2 9 14 2" xfId="11373" xr:uid="{00000000-0005-0000-0000-00006A2C0000}"/>
    <cellStyle name="Comma 2 2 2 2 2 2 9 14 3" xfId="11374" xr:uid="{00000000-0005-0000-0000-00006B2C0000}"/>
    <cellStyle name="Comma 2 2 2 2 2 2 9 15" xfId="11375" xr:uid="{00000000-0005-0000-0000-00006C2C0000}"/>
    <cellStyle name="Comma 2 2 2 2 2 2 9 16" xfId="11376" xr:uid="{00000000-0005-0000-0000-00006D2C0000}"/>
    <cellStyle name="Comma 2 2 2 2 2 2 9 16 2" xfId="11377" xr:uid="{00000000-0005-0000-0000-00006E2C0000}"/>
    <cellStyle name="Comma 2 2 2 2 2 2 9 17" xfId="11378" xr:uid="{00000000-0005-0000-0000-00006F2C0000}"/>
    <cellStyle name="Comma 2 2 2 2 2 2 9 17 2" xfId="11379" xr:uid="{00000000-0005-0000-0000-0000702C0000}"/>
    <cellStyle name="Comma 2 2 2 2 2 2 9 18" xfId="11380" xr:uid="{00000000-0005-0000-0000-0000712C0000}"/>
    <cellStyle name="Comma 2 2 2 2 2 2 9 19" xfId="11381" xr:uid="{00000000-0005-0000-0000-0000722C0000}"/>
    <cellStyle name="Comma 2 2 2 2 2 2 9 2" xfId="11382" xr:uid="{00000000-0005-0000-0000-0000732C0000}"/>
    <cellStyle name="Comma 2 2 2 2 2 2 9 2 2" xfId="11383" xr:uid="{00000000-0005-0000-0000-0000742C0000}"/>
    <cellStyle name="Comma 2 2 2 2 2 2 9 2 3" xfId="11384" xr:uid="{00000000-0005-0000-0000-0000752C0000}"/>
    <cellStyle name="Comma 2 2 2 2 2 2 9 2 4" xfId="11385" xr:uid="{00000000-0005-0000-0000-0000762C0000}"/>
    <cellStyle name="Comma 2 2 2 2 2 2 9 2 5" xfId="11386" xr:uid="{00000000-0005-0000-0000-0000772C0000}"/>
    <cellStyle name="Comma 2 2 2 2 2 2 9 20" xfId="11387" xr:uid="{00000000-0005-0000-0000-0000782C0000}"/>
    <cellStyle name="Comma 2 2 2 2 2 2 9 21" xfId="11388" xr:uid="{00000000-0005-0000-0000-0000792C0000}"/>
    <cellStyle name="Comma 2 2 2 2 2 2 9 22" xfId="11389" xr:uid="{00000000-0005-0000-0000-00007A2C0000}"/>
    <cellStyle name="Comma 2 2 2 2 2 2 9 23" xfId="11390" xr:uid="{00000000-0005-0000-0000-00007B2C0000}"/>
    <cellStyle name="Comma 2 2 2 2 2 2 9 24" xfId="11391" xr:uid="{00000000-0005-0000-0000-00007C2C0000}"/>
    <cellStyle name="Comma 2 2 2 2 2 2 9 25" xfId="11392" xr:uid="{00000000-0005-0000-0000-00007D2C0000}"/>
    <cellStyle name="Comma 2 2 2 2 2 2 9 3" xfId="11393" xr:uid="{00000000-0005-0000-0000-00007E2C0000}"/>
    <cellStyle name="Comma 2 2 2 2 2 2 9 3 2" xfId="11394" xr:uid="{00000000-0005-0000-0000-00007F2C0000}"/>
    <cellStyle name="Comma 2 2 2 2 2 2 9 3 3" xfId="11395" xr:uid="{00000000-0005-0000-0000-0000802C0000}"/>
    <cellStyle name="Comma 2 2 2 2 2 2 9 4" xfId="11396" xr:uid="{00000000-0005-0000-0000-0000812C0000}"/>
    <cellStyle name="Comma 2 2 2 2 2 2 9 4 2" xfId="11397" xr:uid="{00000000-0005-0000-0000-0000822C0000}"/>
    <cellStyle name="Comma 2 2 2 2 2 2 9 5" xfId="11398" xr:uid="{00000000-0005-0000-0000-0000832C0000}"/>
    <cellStyle name="Comma 2 2 2 2 2 2 9 5 2" xfId="11399" xr:uid="{00000000-0005-0000-0000-0000842C0000}"/>
    <cellStyle name="Comma 2 2 2 2 2 2 9 5 3" xfId="11400" xr:uid="{00000000-0005-0000-0000-0000852C0000}"/>
    <cellStyle name="Comma 2 2 2 2 2 2 9 5 4" xfId="11401" xr:uid="{00000000-0005-0000-0000-0000862C0000}"/>
    <cellStyle name="Comma 2 2 2 2 2 2 9 5 5" xfId="11402" xr:uid="{00000000-0005-0000-0000-0000872C0000}"/>
    <cellStyle name="Comma 2 2 2 2 2 2 9 5 6" xfId="11403" xr:uid="{00000000-0005-0000-0000-0000882C0000}"/>
    <cellStyle name="Comma 2 2 2 2 2 2 9 5 7" xfId="11404" xr:uid="{00000000-0005-0000-0000-0000892C0000}"/>
    <cellStyle name="Comma 2 2 2 2 2 2 9 5 8" xfId="11405" xr:uid="{00000000-0005-0000-0000-00008A2C0000}"/>
    <cellStyle name="Comma 2 2 2 2 2 2 9 6" xfId="11406" xr:uid="{00000000-0005-0000-0000-00008B2C0000}"/>
    <cellStyle name="Comma 2 2 2 2 2 2 9 6 2" xfId="11407" xr:uid="{00000000-0005-0000-0000-00008C2C0000}"/>
    <cellStyle name="Comma 2 2 2 2 2 2 9 7" xfId="11408" xr:uid="{00000000-0005-0000-0000-00008D2C0000}"/>
    <cellStyle name="Comma 2 2 2 2 2 2 9 7 2" xfId="11409" xr:uid="{00000000-0005-0000-0000-00008E2C0000}"/>
    <cellStyle name="Comma 2 2 2 2 2 2 9 7 3" xfId="11410" xr:uid="{00000000-0005-0000-0000-00008F2C0000}"/>
    <cellStyle name="Comma 2 2 2 2 2 2 9 7 4" xfId="11411" xr:uid="{00000000-0005-0000-0000-0000902C0000}"/>
    <cellStyle name="Comma 2 2 2 2 2 2 9 7 5" xfId="11412" xr:uid="{00000000-0005-0000-0000-0000912C0000}"/>
    <cellStyle name="Comma 2 2 2 2 2 2 9 7 6" xfId="11413" xr:uid="{00000000-0005-0000-0000-0000922C0000}"/>
    <cellStyle name="Comma 2 2 2 2 2 2 9 7 7" xfId="11414" xr:uid="{00000000-0005-0000-0000-0000932C0000}"/>
    <cellStyle name="Comma 2 2 2 2 2 2 9 7 8" xfId="11415" xr:uid="{00000000-0005-0000-0000-0000942C0000}"/>
    <cellStyle name="Comma 2 2 2 2 2 2 9 8" xfId="11416" xr:uid="{00000000-0005-0000-0000-0000952C0000}"/>
    <cellStyle name="Comma 2 2 2 2 2 2 9 8 2" xfId="11417" xr:uid="{00000000-0005-0000-0000-0000962C0000}"/>
    <cellStyle name="Comma 2 2 2 2 2 2 9 8 3" xfId="11418" xr:uid="{00000000-0005-0000-0000-0000972C0000}"/>
    <cellStyle name="Comma 2 2 2 2 2 2 9 8 4" xfId="11419" xr:uid="{00000000-0005-0000-0000-0000982C0000}"/>
    <cellStyle name="Comma 2 2 2 2 2 2 9 8 5" xfId="11420" xr:uid="{00000000-0005-0000-0000-0000992C0000}"/>
    <cellStyle name="Comma 2 2 2 2 2 2 9 8 6" xfId="11421" xr:uid="{00000000-0005-0000-0000-00009A2C0000}"/>
    <cellStyle name="Comma 2 2 2 2 2 2 9 8 7" xfId="11422" xr:uid="{00000000-0005-0000-0000-00009B2C0000}"/>
    <cellStyle name="Comma 2 2 2 2 2 2 9 8 8" xfId="11423" xr:uid="{00000000-0005-0000-0000-00009C2C0000}"/>
    <cellStyle name="Comma 2 2 2 2 2 2 9 9" xfId="11424" xr:uid="{00000000-0005-0000-0000-00009D2C0000}"/>
    <cellStyle name="Comma 2 2 2 2 2 2 9 9 2" xfId="11425" xr:uid="{00000000-0005-0000-0000-00009E2C0000}"/>
    <cellStyle name="Comma 2 2 2 2 2 2 9 9 3" xfId="11426" xr:uid="{00000000-0005-0000-0000-00009F2C0000}"/>
    <cellStyle name="Comma 2 2 2 2 2 2 9 9 4" xfId="11427" xr:uid="{00000000-0005-0000-0000-0000A02C0000}"/>
    <cellStyle name="Comma 2 2 2 2 2 2 9 9 5" xfId="11428" xr:uid="{00000000-0005-0000-0000-0000A12C0000}"/>
    <cellStyle name="Comma 2 2 2 2 2 2 9 9 6" xfId="11429" xr:uid="{00000000-0005-0000-0000-0000A22C0000}"/>
    <cellStyle name="Comma 2 2 2 2 2 2 9 9 7" xfId="11430" xr:uid="{00000000-0005-0000-0000-0000A32C0000}"/>
    <cellStyle name="Comma 2 2 2 2 2 2 9 9 8" xfId="11431" xr:uid="{00000000-0005-0000-0000-0000A42C0000}"/>
    <cellStyle name="Comma 2 2 2 2 2 20" xfId="11432" xr:uid="{00000000-0005-0000-0000-0000A52C0000}"/>
    <cellStyle name="Comma 2 2 2 2 2 21" xfId="11433" xr:uid="{00000000-0005-0000-0000-0000A62C0000}"/>
    <cellStyle name="Comma 2 2 2 2 2 22" xfId="11434" xr:uid="{00000000-0005-0000-0000-0000A72C0000}"/>
    <cellStyle name="Comma 2 2 2 2 2 23" xfId="11435" xr:uid="{00000000-0005-0000-0000-0000A82C0000}"/>
    <cellStyle name="Comma 2 2 2 2 2 24" xfId="11436" xr:uid="{00000000-0005-0000-0000-0000A92C0000}"/>
    <cellStyle name="Comma 2 2 2 2 2 25" xfId="11437" xr:uid="{00000000-0005-0000-0000-0000AA2C0000}"/>
    <cellStyle name="Comma 2 2 2 2 2 26" xfId="11438" xr:uid="{00000000-0005-0000-0000-0000AB2C0000}"/>
    <cellStyle name="Comma 2 2 2 2 2 27" xfId="11439" xr:uid="{00000000-0005-0000-0000-0000AC2C0000}"/>
    <cellStyle name="Comma 2 2 2 2 2 28" xfId="11440" xr:uid="{00000000-0005-0000-0000-0000AD2C0000}"/>
    <cellStyle name="Comma 2 2 2 2 2 29" xfId="11441" xr:uid="{00000000-0005-0000-0000-0000AE2C0000}"/>
    <cellStyle name="Comma 2 2 2 2 2 29 2" xfId="11442" xr:uid="{00000000-0005-0000-0000-0000AF2C0000}"/>
    <cellStyle name="Comma 2 2 2 2 2 29 3" xfId="11443" xr:uid="{00000000-0005-0000-0000-0000B02C0000}"/>
    <cellStyle name="Comma 2 2 2 2 2 3" xfId="11444" xr:uid="{00000000-0005-0000-0000-0000B12C0000}"/>
    <cellStyle name="Comma 2 2 2 2 2 3 2" xfId="11445" xr:uid="{00000000-0005-0000-0000-0000B22C0000}"/>
    <cellStyle name="Comma 2 2 2 2 2 3 2 10" xfId="11446" xr:uid="{00000000-0005-0000-0000-0000B32C0000}"/>
    <cellStyle name="Comma 2 2 2 2 2 3 2 10 2" xfId="11447" xr:uid="{00000000-0005-0000-0000-0000B42C0000}"/>
    <cellStyle name="Comma 2 2 2 2 2 3 2 10 3" xfId="11448" xr:uid="{00000000-0005-0000-0000-0000B52C0000}"/>
    <cellStyle name="Comma 2 2 2 2 2 3 2 10 4" xfId="11449" xr:uid="{00000000-0005-0000-0000-0000B62C0000}"/>
    <cellStyle name="Comma 2 2 2 2 2 3 2 10 5" xfId="11450" xr:uid="{00000000-0005-0000-0000-0000B72C0000}"/>
    <cellStyle name="Comma 2 2 2 2 2 3 2 10 6" xfId="11451" xr:uid="{00000000-0005-0000-0000-0000B82C0000}"/>
    <cellStyle name="Comma 2 2 2 2 2 3 2 10 7" xfId="11452" xr:uid="{00000000-0005-0000-0000-0000B92C0000}"/>
    <cellStyle name="Comma 2 2 2 2 2 3 2 10 8" xfId="11453" xr:uid="{00000000-0005-0000-0000-0000BA2C0000}"/>
    <cellStyle name="Comma 2 2 2 2 2 3 2 11" xfId="11454" xr:uid="{00000000-0005-0000-0000-0000BB2C0000}"/>
    <cellStyle name="Comma 2 2 2 2 2 3 2 11 2" xfId="11455" xr:uid="{00000000-0005-0000-0000-0000BC2C0000}"/>
    <cellStyle name="Comma 2 2 2 2 2 3 2 11 3" xfId="11456" xr:uid="{00000000-0005-0000-0000-0000BD2C0000}"/>
    <cellStyle name="Comma 2 2 2 2 2 3 2 11 4" xfId="11457" xr:uid="{00000000-0005-0000-0000-0000BE2C0000}"/>
    <cellStyle name="Comma 2 2 2 2 2 3 2 11 5" xfId="11458" xr:uid="{00000000-0005-0000-0000-0000BF2C0000}"/>
    <cellStyle name="Comma 2 2 2 2 2 3 2 11 6" xfId="11459" xr:uid="{00000000-0005-0000-0000-0000C02C0000}"/>
    <cellStyle name="Comma 2 2 2 2 2 3 2 11 7" xfId="11460" xr:uid="{00000000-0005-0000-0000-0000C12C0000}"/>
    <cellStyle name="Comma 2 2 2 2 2 3 2 11 8" xfId="11461" xr:uid="{00000000-0005-0000-0000-0000C22C0000}"/>
    <cellStyle name="Comma 2 2 2 2 2 3 2 12" xfId="11462" xr:uid="{00000000-0005-0000-0000-0000C32C0000}"/>
    <cellStyle name="Comma 2 2 2 2 2 3 2 12 2" xfId="11463" xr:uid="{00000000-0005-0000-0000-0000C42C0000}"/>
    <cellStyle name="Comma 2 2 2 2 2 3 2 12 3" xfId="11464" xr:uid="{00000000-0005-0000-0000-0000C52C0000}"/>
    <cellStyle name="Comma 2 2 2 2 2 3 2 12 4" xfId="11465" xr:uid="{00000000-0005-0000-0000-0000C62C0000}"/>
    <cellStyle name="Comma 2 2 2 2 2 3 2 12 5" xfId="11466" xr:uid="{00000000-0005-0000-0000-0000C72C0000}"/>
    <cellStyle name="Comma 2 2 2 2 2 3 2 12 6" xfId="11467" xr:uid="{00000000-0005-0000-0000-0000C82C0000}"/>
    <cellStyle name="Comma 2 2 2 2 2 3 2 12 7" xfId="11468" xr:uid="{00000000-0005-0000-0000-0000C92C0000}"/>
    <cellStyle name="Comma 2 2 2 2 2 3 2 12 8" xfId="11469" xr:uid="{00000000-0005-0000-0000-0000CA2C0000}"/>
    <cellStyle name="Comma 2 2 2 2 2 3 2 13" xfId="11470" xr:uid="{00000000-0005-0000-0000-0000CB2C0000}"/>
    <cellStyle name="Comma 2 2 2 2 2 3 2 13 2" xfId="11471" xr:uid="{00000000-0005-0000-0000-0000CC2C0000}"/>
    <cellStyle name="Comma 2 2 2 2 2 3 2 13 3" xfId="11472" xr:uid="{00000000-0005-0000-0000-0000CD2C0000}"/>
    <cellStyle name="Comma 2 2 2 2 2 3 2 13 4" xfId="11473" xr:uid="{00000000-0005-0000-0000-0000CE2C0000}"/>
    <cellStyle name="Comma 2 2 2 2 2 3 2 13 5" xfId="11474" xr:uid="{00000000-0005-0000-0000-0000CF2C0000}"/>
    <cellStyle name="Comma 2 2 2 2 2 3 2 13 6" xfId="11475" xr:uid="{00000000-0005-0000-0000-0000D02C0000}"/>
    <cellStyle name="Comma 2 2 2 2 2 3 2 13 7" xfId="11476" xr:uid="{00000000-0005-0000-0000-0000D12C0000}"/>
    <cellStyle name="Comma 2 2 2 2 2 3 2 13 8" xfId="11477" xr:uid="{00000000-0005-0000-0000-0000D22C0000}"/>
    <cellStyle name="Comma 2 2 2 2 2 3 2 14" xfId="11478" xr:uid="{00000000-0005-0000-0000-0000D32C0000}"/>
    <cellStyle name="Comma 2 2 2 2 2 3 2 14 2" xfId="11479" xr:uid="{00000000-0005-0000-0000-0000D42C0000}"/>
    <cellStyle name="Comma 2 2 2 2 2 3 2 14 3" xfId="11480" xr:uid="{00000000-0005-0000-0000-0000D52C0000}"/>
    <cellStyle name="Comma 2 2 2 2 2 3 2 14 4" xfId="11481" xr:uid="{00000000-0005-0000-0000-0000D62C0000}"/>
    <cellStyle name="Comma 2 2 2 2 2 3 2 14 5" xfId="11482" xr:uid="{00000000-0005-0000-0000-0000D72C0000}"/>
    <cellStyle name="Comma 2 2 2 2 2 3 2 14 6" xfId="11483" xr:uid="{00000000-0005-0000-0000-0000D82C0000}"/>
    <cellStyle name="Comma 2 2 2 2 2 3 2 14 7" xfId="11484" xr:uid="{00000000-0005-0000-0000-0000D92C0000}"/>
    <cellStyle name="Comma 2 2 2 2 2 3 2 14 8" xfId="11485" xr:uid="{00000000-0005-0000-0000-0000DA2C0000}"/>
    <cellStyle name="Comma 2 2 2 2 2 3 2 15" xfId="11486" xr:uid="{00000000-0005-0000-0000-0000DB2C0000}"/>
    <cellStyle name="Comma 2 2 2 2 2 3 2 15 2" xfId="11487" xr:uid="{00000000-0005-0000-0000-0000DC2C0000}"/>
    <cellStyle name="Comma 2 2 2 2 2 3 2 15 3" xfId="11488" xr:uid="{00000000-0005-0000-0000-0000DD2C0000}"/>
    <cellStyle name="Comma 2 2 2 2 2 3 2 16" xfId="11489" xr:uid="{00000000-0005-0000-0000-0000DE2C0000}"/>
    <cellStyle name="Comma 2 2 2 2 2 3 2 17" xfId="11490" xr:uid="{00000000-0005-0000-0000-0000DF2C0000}"/>
    <cellStyle name="Comma 2 2 2 2 2 3 2 17 2" xfId="11491" xr:uid="{00000000-0005-0000-0000-0000E02C0000}"/>
    <cellStyle name="Comma 2 2 2 2 2 3 2 18" xfId="11492" xr:uid="{00000000-0005-0000-0000-0000E12C0000}"/>
    <cellStyle name="Comma 2 2 2 2 2 3 2 18 2" xfId="11493" xr:uid="{00000000-0005-0000-0000-0000E22C0000}"/>
    <cellStyle name="Comma 2 2 2 2 2 3 2 19" xfId="11494" xr:uid="{00000000-0005-0000-0000-0000E32C0000}"/>
    <cellStyle name="Comma 2 2 2 2 2 3 2 2" xfId="11495" xr:uid="{00000000-0005-0000-0000-0000E42C0000}"/>
    <cellStyle name="Comma 2 2 2 2 2 3 2 20" xfId="11496" xr:uid="{00000000-0005-0000-0000-0000E52C0000}"/>
    <cellStyle name="Comma 2 2 2 2 2 3 2 21" xfId="11497" xr:uid="{00000000-0005-0000-0000-0000E62C0000}"/>
    <cellStyle name="Comma 2 2 2 2 2 3 2 22" xfId="11498" xr:uid="{00000000-0005-0000-0000-0000E72C0000}"/>
    <cellStyle name="Comma 2 2 2 2 2 3 2 23" xfId="11499" xr:uid="{00000000-0005-0000-0000-0000E82C0000}"/>
    <cellStyle name="Comma 2 2 2 2 2 3 2 24" xfId="11500" xr:uid="{00000000-0005-0000-0000-0000E92C0000}"/>
    <cellStyle name="Comma 2 2 2 2 2 3 2 25" xfId="11501" xr:uid="{00000000-0005-0000-0000-0000EA2C0000}"/>
    <cellStyle name="Comma 2 2 2 2 2 3 2 26" xfId="11502" xr:uid="{00000000-0005-0000-0000-0000EB2C0000}"/>
    <cellStyle name="Comma 2 2 2 2 2 3 2 3" xfId="11503" xr:uid="{00000000-0005-0000-0000-0000EC2C0000}"/>
    <cellStyle name="Comma 2 2 2 2 2 3 2 3 2" xfId="11504" xr:uid="{00000000-0005-0000-0000-0000ED2C0000}"/>
    <cellStyle name="Comma 2 2 2 2 2 3 2 3 3" xfId="11505" xr:uid="{00000000-0005-0000-0000-0000EE2C0000}"/>
    <cellStyle name="Comma 2 2 2 2 2 3 2 3 4" xfId="11506" xr:uid="{00000000-0005-0000-0000-0000EF2C0000}"/>
    <cellStyle name="Comma 2 2 2 2 2 3 2 3 5" xfId="11507" xr:uid="{00000000-0005-0000-0000-0000F02C0000}"/>
    <cellStyle name="Comma 2 2 2 2 2 3 2 4" xfId="11508" xr:uid="{00000000-0005-0000-0000-0000F12C0000}"/>
    <cellStyle name="Comma 2 2 2 2 2 3 2 4 2" xfId="11509" xr:uid="{00000000-0005-0000-0000-0000F22C0000}"/>
    <cellStyle name="Comma 2 2 2 2 2 3 2 4 3" xfId="11510" xr:uid="{00000000-0005-0000-0000-0000F32C0000}"/>
    <cellStyle name="Comma 2 2 2 2 2 3 2 5" xfId="11511" xr:uid="{00000000-0005-0000-0000-0000F42C0000}"/>
    <cellStyle name="Comma 2 2 2 2 2 3 2 5 2" xfId="11512" xr:uid="{00000000-0005-0000-0000-0000F52C0000}"/>
    <cellStyle name="Comma 2 2 2 2 2 3 2 6" xfId="11513" xr:uid="{00000000-0005-0000-0000-0000F62C0000}"/>
    <cellStyle name="Comma 2 2 2 2 2 3 2 6 2" xfId="11514" xr:uid="{00000000-0005-0000-0000-0000F72C0000}"/>
    <cellStyle name="Comma 2 2 2 2 2 3 2 6 3" xfId="11515" xr:uid="{00000000-0005-0000-0000-0000F82C0000}"/>
    <cellStyle name="Comma 2 2 2 2 2 3 2 6 4" xfId="11516" xr:uid="{00000000-0005-0000-0000-0000F92C0000}"/>
    <cellStyle name="Comma 2 2 2 2 2 3 2 6 5" xfId="11517" xr:uid="{00000000-0005-0000-0000-0000FA2C0000}"/>
    <cellStyle name="Comma 2 2 2 2 2 3 2 6 6" xfId="11518" xr:uid="{00000000-0005-0000-0000-0000FB2C0000}"/>
    <cellStyle name="Comma 2 2 2 2 2 3 2 6 7" xfId="11519" xr:uid="{00000000-0005-0000-0000-0000FC2C0000}"/>
    <cellStyle name="Comma 2 2 2 2 2 3 2 6 8" xfId="11520" xr:uid="{00000000-0005-0000-0000-0000FD2C0000}"/>
    <cellStyle name="Comma 2 2 2 2 2 3 2 7" xfId="11521" xr:uid="{00000000-0005-0000-0000-0000FE2C0000}"/>
    <cellStyle name="Comma 2 2 2 2 2 3 2 7 2" xfId="11522" xr:uid="{00000000-0005-0000-0000-0000FF2C0000}"/>
    <cellStyle name="Comma 2 2 2 2 2 3 2 8" xfId="11523" xr:uid="{00000000-0005-0000-0000-0000002D0000}"/>
    <cellStyle name="Comma 2 2 2 2 2 3 2 8 2" xfId="11524" xr:uid="{00000000-0005-0000-0000-0000012D0000}"/>
    <cellStyle name="Comma 2 2 2 2 2 3 2 8 3" xfId="11525" xr:uid="{00000000-0005-0000-0000-0000022D0000}"/>
    <cellStyle name="Comma 2 2 2 2 2 3 2 8 4" xfId="11526" xr:uid="{00000000-0005-0000-0000-0000032D0000}"/>
    <cellStyle name="Comma 2 2 2 2 2 3 2 8 5" xfId="11527" xr:uid="{00000000-0005-0000-0000-0000042D0000}"/>
    <cellStyle name="Comma 2 2 2 2 2 3 2 8 6" xfId="11528" xr:uid="{00000000-0005-0000-0000-0000052D0000}"/>
    <cellStyle name="Comma 2 2 2 2 2 3 2 8 7" xfId="11529" xr:uid="{00000000-0005-0000-0000-0000062D0000}"/>
    <cellStyle name="Comma 2 2 2 2 2 3 2 8 8" xfId="11530" xr:uid="{00000000-0005-0000-0000-0000072D0000}"/>
    <cellStyle name="Comma 2 2 2 2 2 3 2 9" xfId="11531" xr:uid="{00000000-0005-0000-0000-0000082D0000}"/>
    <cellStyle name="Comma 2 2 2 2 2 3 2 9 2" xfId="11532" xr:uid="{00000000-0005-0000-0000-0000092D0000}"/>
    <cellStyle name="Comma 2 2 2 2 2 3 2 9 3" xfId="11533" xr:uid="{00000000-0005-0000-0000-00000A2D0000}"/>
    <cellStyle name="Comma 2 2 2 2 2 3 2 9 4" xfId="11534" xr:uid="{00000000-0005-0000-0000-00000B2D0000}"/>
    <cellStyle name="Comma 2 2 2 2 2 3 2 9 5" xfId="11535" xr:uid="{00000000-0005-0000-0000-00000C2D0000}"/>
    <cellStyle name="Comma 2 2 2 2 2 3 2 9 6" xfId="11536" xr:uid="{00000000-0005-0000-0000-00000D2D0000}"/>
    <cellStyle name="Comma 2 2 2 2 2 3 2 9 7" xfId="11537" xr:uid="{00000000-0005-0000-0000-00000E2D0000}"/>
    <cellStyle name="Comma 2 2 2 2 2 3 2 9 8" xfId="11538" xr:uid="{00000000-0005-0000-0000-00000F2D0000}"/>
    <cellStyle name="Comma 2 2 2 2 2 3 3" xfId="11539" xr:uid="{00000000-0005-0000-0000-0000102D0000}"/>
    <cellStyle name="Comma 2 2 2 2 2 30" xfId="11540" xr:uid="{00000000-0005-0000-0000-0000112D0000}"/>
    <cellStyle name="Comma 2 2 2 2 2 31" xfId="11541" xr:uid="{00000000-0005-0000-0000-0000122D0000}"/>
    <cellStyle name="Comma 2 2 2 2 2 32" xfId="11542" xr:uid="{00000000-0005-0000-0000-0000132D0000}"/>
    <cellStyle name="Comma 2 2 2 2 2 32 2" xfId="11543" xr:uid="{00000000-0005-0000-0000-0000142D0000}"/>
    <cellStyle name="Comma 2 2 2 2 2 33" xfId="11544" xr:uid="{00000000-0005-0000-0000-0000152D0000}"/>
    <cellStyle name="Comma 2 2 2 2 2 34" xfId="11545" xr:uid="{00000000-0005-0000-0000-0000162D0000}"/>
    <cellStyle name="Comma 2 2 2 2 2 35" xfId="11546" xr:uid="{00000000-0005-0000-0000-0000172D0000}"/>
    <cellStyle name="Comma 2 2 2 2 2 36" xfId="11547" xr:uid="{00000000-0005-0000-0000-0000182D0000}"/>
    <cellStyle name="Comma 2 2 2 2 2 37" xfId="11548" xr:uid="{00000000-0005-0000-0000-0000192D0000}"/>
    <cellStyle name="Comma 2 2 2 2 2 38" xfId="11549" xr:uid="{00000000-0005-0000-0000-00001A2D0000}"/>
    <cellStyle name="Comma 2 2 2 2 2 39" xfId="11550" xr:uid="{00000000-0005-0000-0000-00001B2D0000}"/>
    <cellStyle name="Comma 2 2 2 2 2 4" xfId="11551" xr:uid="{00000000-0005-0000-0000-00001C2D0000}"/>
    <cellStyle name="Comma 2 2 2 2 2 4 2" xfId="11552" xr:uid="{00000000-0005-0000-0000-00001D2D0000}"/>
    <cellStyle name="Comma 2 2 2 2 2 40" xfId="11553" xr:uid="{00000000-0005-0000-0000-00001E2D0000}"/>
    <cellStyle name="Comma 2 2 2 2 2 5" xfId="11554" xr:uid="{00000000-0005-0000-0000-00001F2D0000}"/>
    <cellStyle name="Comma 2 2 2 2 2 5 2" xfId="11555" xr:uid="{00000000-0005-0000-0000-0000202D0000}"/>
    <cellStyle name="Comma 2 2 2 2 2 5 2 2" xfId="11556" xr:uid="{00000000-0005-0000-0000-0000212D0000}"/>
    <cellStyle name="Comma 2 2 2 2 2 5 2 2 2" xfId="11557" xr:uid="{00000000-0005-0000-0000-0000222D0000}"/>
    <cellStyle name="Comma 2 2 2 2 2 5 2 2 2 2" xfId="11558" xr:uid="{00000000-0005-0000-0000-0000232D0000}"/>
    <cellStyle name="Comma 2 2 2 2 2 5 2 2 2 2 2" xfId="11559" xr:uid="{00000000-0005-0000-0000-0000242D0000}"/>
    <cellStyle name="Comma 2 2 2 2 2 5 2 3" xfId="11560" xr:uid="{00000000-0005-0000-0000-0000252D0000}"/>
    <cellStyle name="Comma 2 2 2 2 2 5 3" xfId="11561" xr:uid="{00000000-0005-0000-0000-0000262D0000}"/>
    <cellStyle name="Comma 2 2 2 2 2 5 3 2" xfId="11562" xr:uid="{00000000-0005-0000-0000-0000272D0000}"/>
    <cellStyle name="Comma 2 2 2 2 2 6" xfId="11563" xr:uid="{00000000-0005-0000-0000-0000282D0000}"/>
    <cellStyle name="Comma 2 2 2 2 2 6 2" xfId="11564" xr:uid="{00000000-0005-0000-0000-0000292D0000}"/>
    <cellStyle name="Comma 2 2 2 2 2 6 2 2" xfId="11565" xr:uid="{00000000-0005-0000-0000-00002A2D0000}"/>
    <cellStyle name="Comma 2 2 2 2 2 6 2 2 2" xfId="11566" xr:uid="{00000000-0005-0000-0000-00002B2D0000}"/>
    <cellStyle name="Comma 2 2 2 2 2 7" xfId="11567" xr:uid="{00000000-0005-0000-0000-00002C2D0000}"/>
    <cellStyle name="Comma 2 2 2 2 2 7 2" xfId="11568" xr:uid="{00000000-0005-0000-0000-00002D2D0000}"/>
    <cellStyle name="Comma 2 2 2 2 2 8" xfId="11569" xr:uid="{00000000-0005-0000-0000-00002E2D0000}"/>
    <cellStyle name="Comma 2 2 2 2 2 9" xfId="11570" xr:uid="{00000000-0005-0000-0000-00002F2D0000}"/>
    <cellStyle name="Comma 2 2 2 2 20" xfId="11571" xr:uid="{00000000-0005-0000-0000-0000302D0000}"/>
    <cellStyle name="Comma 2 2 2 2 20 2" xfId="11572" xr:uid="{00000000-0005-0000-0000-0000312D0000}"/>
    <cellStyle name="Comma 2 2 2 2 20 3" xfId="11573" xr:uid="{00000000-0005-0000-0000-0000322D0000}"/>
    <cellStyle name="Comma 2 2 2 2 20 4" xfId="11574" xr:uid="{00000000-0005-0000-0000-0000332D0000}"/>
    <cellStyle name="Comma 2 2 2 2 20 5" xfId="11575" xr:uid="{00000000-0005-0000-0000-0000342D0000}"/>
    <cellStyle name="Comma 2 2 2 2 20 6" xfId="11576" xr:uid="{00000000-0005-0000-0000-0000352D0000}"/>
    <cellStyle name="Comma 2 2 2 2 20 7" xfId="11577" xr:uid="{00000000-0005-0000-0000-0000362D0000}"/>
    <cellStyle name="Comma 2 2 2 2 20 8" xfId="11578" xr:uid="{00000000-0005-0000-0000-0000372D0000}"/>
    <cellStyle name="Comma 2 2 2 2 21" xfId="11579" xr:uid="{00000000-0005-0000-0000-0000382D0000}"/>
    <cellStyle name="Comma 2 2 2 2 21 2" xfId="11580" xr:uid="{00000000-0005-0000-0000-0000392D0000}"/>
    <cellStyle name="Comma 2 2 2 2 21 3" xfId="11581" xr:uid="{00000000-0005-0000-0000-00003A2D0000}"/>
    <cellStyle name="Comma 2 2 2 2 21 4" xfId="11582" xr:uid="{00000000-0005-0000-0000-00003B2D0000}"/>
    <cellStyle name="Comma 2 2 2 2 21 5" xfId="11583" xr:uid="{00000000-0005-0000-0000-00003C2D0000}"/>
    <cellStyle name="Comma 2 2 2 2 21 6" xfId="11584" xr:uid="{00000000-0005-0000-0000-00003D2D0000}"/>
    <cellStyle name="Comma 2 2 2 2 21 7" xfId="11585" xr:uid="{00000000-0005-0000-0000-00003E2D0000}"/>
    <cellStyle name="Comma 2 2 2 2 21 8" xfId="11586" xr:uid="{00000000-0005-0000-0000-00003F2D0000}"/>
    <cellStyle name="Comma 2 2 2 2 22" xfId="11587" xr:uid="{00000000-0005-0000-0000-0000402D0000}"/>
    <cellStyle name="Comma 2 2 2 2 22 2" xfId="11588" xr:uid="{00000000-0005-0000-0000-0000412D0000}"/>
    <cellStyle name="Comma 2 2 2 2 22 3" xfId="11589" xr:uid="{00000000-0005-0000-0000-0000422D0000}"/>
    <cellStyle name="Comma 2 2 2 2 22 4" xfId="11590" xr:uid="{00000000-0005-0000-0000-0000432D0000}"/>
    <cellStyle name="Comma 2 2 2 2 22 5" xfId="11591" xr:uid="{00000000-0005-0000-0000-0000442D0000}"/>
    <cellStyle name="Comma 2 2 2 2 22 6" xfId="11592" xr:uid="{00000000-0005-0000-0000-0000452D0000}"/>
    <cellStyle name="Comma 2 2 2 2 22 7" xfId="11593" xr:uid="{00000000-0005-0000-0000-0000462D0000}"/>
    <cellStyle name="Comma 2 2 2 2 22 8" xfId="11594" xr:uid="{00000000-0005-0000-0000-0000472D0000}"/>
    <cellStyle name="Comma 2 2 2 2 23" xfId="11595" xr:uid="{00000000-0005-0000-0000-0000482D0000}"/>
    <cellStyle name="Comma 2 2 2 2 23 2" xfId="11596" xr:uid="{00000000-0005-0000-0000-0000492D0000}"/>
    <cellStyle name="Comma 2 2 2 2 23 3" xfId="11597" xr:uid="{00000000-0005-0000-0000-00004A2D0000}"/>
    <cellStyle name="Comma 2 2 2 2 23 4" xfId="11598" xr:uid="{00000000-0005-0000-0000-00004B2D0000}"/>
    <cellStyle name="Comma 2 2 2 2 23 5" xfId="11599" xr:uid="{00000000-0005-0000-0000-00004C2D0000}"/>
    <cellStyle name="Comma 2 2 2 2 23 6" xfId="11600" xr:uid="{00000000-0005-0000-0000-00004D2D0000}"/>
    <cellStyle name="Comma 2 2 2 2 23 7" xfId="11601" xr:uid="{00000000-0005-0000-0000-00004E2D0000}"/>
    <cellStyle name="Comma 2 2 2 2 23 8" xfId="11602" xr:uid="{00000000-0005-0000-0000-00004F2D0000}"/>
    <cellStyle name="Comma 2 2 2 2 24" xfId="11603" xr:uid="{00000000-0005-0000-0000-0000502D0000}"/>
    <cellStyle name="Comma 2 2 2 2 24 2" xfId="11604" xr:uid="{00000000-0005-0000-0000-0000512D0000}"/>
    <cellStyle name="Comma 2 2 2 2 24 3" xfId="11605" xr:uid="{00000000-0005-0000-0000-0000522D0000}"/>
    <cellStyle name="Comma 2 2 2 2 24 4" xfId="11606" xr:uid="{00000000-0005-0000-0000-0000532D0000}"/>
    <cellStyle name="Comma 2 2 2 2 24 5" xfId="11607" xr:uid="{00000000-0005-0000-0000-0000542D0000}"/>
    <cellStyle name="Comma 2 2 2 2 24 6" xfId="11608" xr:uid="{00000000-0005-0000-0000-0000552D0000}"/>
    <cellStyle name="Comma 2 2 2 2 24 7" xfId="11609" xr:uid="{00000000-0005-0000-0000-0000562D0000}"/>
    <cellStyle name="Comma 2 2 2 2 24 8" xfId="11610" xr:uid="{00000000-0005-0000-0000-0000572D0000}"/>
    <cellStyle name="Comma 2 2 2 2 3" xfId="11611" xr:uid="{00000000-0005-0000-0000-0000582D0000}"/>
    <cellStyle name="Comma 2 2 2 2 3 10" xfId="11612" xr:uid="{00000000-0005-0000-0000-0000592D0000}"/>
    <cellStyle name="Comma 2 2 2 2 3 10 2" xfId="11613" xr:uid="{00000000-0005-0000-0000-00005A2D0000}"/>
    <cellStyle name="Comma 2 2 2 2 3 10 3" xfId="11614" xr:uid="{00000000-0005-0000-0000-00005B2D0000}"/>
    <cellStyle name="Comma 2 2 2 2 3 10 4" xfId="11615" xr:uid="{00000000-0005-0000-0000-00005C2D0000}"/>
    <cellStyle name="Comma 2 2 2 2 3 10 5" xfId="11616" xr:uid="{00000000-0005-0000-0000-00005D2D0000}"/>
    <cellStyle name="Comma 2 2 2 2 3 10 6" xfId="11617" xr:uid="{00000000-0005-0000-0000-00005E2D0000}"/>
    <cellStyle name="Comma 2 2 2 2 3 10 7" xfId="11618" xr:uid="{00000000-0005-0000-0000-00005F2D0000}"/>
    <cellStyle name="Comma 2 2 2 2 3 10 8" xfId="11619" xr:uid="{00000000-0005-0000-0000-0000602D0000}"/>
    <cellStyle name="Comma 2 2 2 2 3 11" xfId="11620" xr:uid="{00000000-0005-0000-0000-0000612D0000}"/>
    <cellStyle name="Comma 2 2 2 2 3 11 2" xfId="11621" xr:uid="{00000000-0005-0000-0000-0000622D0000}"/>
    <cellStyle name="Comma 2 2 2 2 3 11 3" xfId="11622" xr:uid="{00000000-0005-0000-0000-0000632D0000}"/>
    <cellStyle name="Comma 2 2 2 2 3 11 4" xfId="11623" xr:uid="{00000000-0005-0000-0000-0000642D0000}"/>
    <cellStyle name="Comma 2 2 2 2 3 11 5" xfId="11624" xr:uid="{00000000-0005-0000-0000-0000652D0000}"/>
    <cellStyle name="Comma 2 2 2 2 3 11 6" xfId="11625" xr:uid="{00000000-0005-0000-0000-0000662D0000}"/>
    <cellStyle name="Comma 2 2 2 2 3 11 7" xfId="11626" xr:uid="{00000000-0005-0000-0000-0000672D0000}"/>
    <cellStyle name="Comma 2 2 2 2 3 11 8" xfId="11627" xr:uid="{00000000-0005-0000-0000-0000682D0000}"/>
    <cellStyle name="Comma 2 2 2 2 3 12" xfId="11628" xr:uid="{00000000-0005-0000-0000-0000692D0000}"/>
    <cellStyle name="Comma 2 2 2 2 3 12 2" xfId="11629" xr:uid="{00000000-0005-0000-0000-00006A2D0000}"/>
    <cellStyle name="Comma 2 2 2 2 3 12 3" xfId="11630" xr:uid="{00000000-0005-0000-0000-00006B2D0000}"/>
    <cellStyle name="Comma 2 2 2 2 3 12 4" xfId="11631" xr:uid="{00000000-0005-0000-0000-00006C2D0000}"/>
    <cellStyle name="Comma 2 2 2 2 3 12 5" xfId="11632" xr:uid="{00000000-0005-0000-0000-00006D2D0000}"/>
    <cellStyle name="Comma 2 2 2 2 3 12 6" xfId="11633" xr:uid="{00000000-0005-0000-0000-00006E2D0000}"/>
    <cellStyle name="Comma 2 2 2 2 3 12 7" xfId="11634" xr:uid="{00000000-0005-0000-0000-00006F2D0000}"/>
    <cellStyle name="Comma 2 2 2 2 3 12 8" xfId="11635" xr:uid="{00000000-0005-0000-0000-0000702D0000}"/>
    <cellStyle name="Comma 2 2 2 2 3 13" xfId="11636" xr:uid="{00000000-0005-0000-0000-0000712D0000}"/>
    <cellStyle name="Comma 2 2 2 2 3 13 2" xfId="11637" xr:uid="{00000000-0005-0000-0000-0000722D0000}"/>
    <cellStyle name="Comma 2 2 2 2 3 13 3" xfId="11638" xr:uid="{00000000-0005-0000-0000-0000732D0000}"/>
    <cellStyle name="Comma 2 2 2 2 3 13 4" xfId="11639" xr:uid="{00000000-0005-0000-0000-0000742D0000}"/>
    <cellStyle name="Comma 2 2 2 2 3 13 5" xfId="11640" xr:uid="{00000000-0005-0000-0000-0000752D0000}"/>
    <cellStyle name="Comma 2 2 2 2 3 13 6" xfId="11641" xr:uid="{00000000-0005-0000-0000-0000762D0000}"/>
    <cellStyle name="Comma 2 2 2 2 3 13 7" xfId="11642" xr:uid="{00000000-0005-0000-0000-0000772D0000}"/>
    <cellStyle name="Comma 2 2 2 2 3 13 8" xfId="11643" xr:uid="{00000000-0005-0000-0000-0000782D0000}"/>
    <cellStyle name="Comma 2 2 2 2 3 14" xfId="11644" xr:uid="{00000000-0005-0000-0000-0000792D0000}"/>
    <cellStyle name="Comma 2 2 2 2 3 14 2" xfId="11645" xr:uid="{00000000-0005-0000-0000-00007A2D0000}"/>
    <cellStyle name="Comma 2 2 2 2 3 14 3" xfId="11646" xr:uid="{00000000-0005-0000-0000-00007B2D0000}"/>
    <cellStyle name="Comma 2 2 2 2 3 14 4" xfId="11647" xr:uid="{00000000-0005-0000-0000-00007C2D0000}"/>
    <cellStyle name="Comma 2 2 2 2 3 14 5" xfId="11648" xr:uid="{00000000-0005-0000-0000-00007D2D0000}"/>
    <cellStyle name="Comma 2 2 2 2 3 14 6" xfId="11649" xr:uid="{00000000-0005-0000-0000-00007E2D0000}"/>
    <cellStyle name="Comma 2 2 2 2 3 14 7" xfId="11650" xr:uid="{00000000-0005-0000-0000-00007F2D0000}"/>
    <cellStyle name="Comma 2 2 2 2 3 14 8" xfId="11651" xr:uid="{00000000-0005-0000-0000-0000802D0000}"/>
    <cellStyle name="Comma 2 2 2 2 3 15" xfId="11652" xr:uid="{00000000-0005-0000-0000-0000812D0000}"/>
    <cellStyle name="Comma 2 2 2 2 3 15 2" xfId="11653" xr:uid="{00000000-0005-0000-0000-0000822D0000}"/>
    <cellStyle name="Comma 2 2 2 2 3 15 3" xfId="11654" xr:uid="{00000000-0005-0000-0000-0000832D0000}"/>
    <cellStyle name="Comma 2 2 2 2 3 16" xfId="11655" xr:uid="{00000000-0005-0000-0000-0000842D0000}"/>
    <cellStyle name="Comma 2 2 2 2 3 17" xfId="11656" xr:uid="{00000000-0005-0000-0000-0000852D0000}"/>
    <cellStyle name="Comma 2 2 2 2 3 18" xfId="11657" xr:uid="{00000000-0005-0000-0000-0000862D0000}"/>
    <cellStyle name="Comma 2 2 2 2 3 18 2" xfId="11658" xr:uid="{00000000-0005-0000-0000-0000872D0000}"/>
    <cellStyle name="Comma 2 2 2 2 3 19" xfId="11659" xr:uid="{00000000-0005-0000-0000-0000882D0000}"/>
    <cellStyle name="Comma 2 2 2 2 3 2" xfId="11660" xr:uid="{00000000-0005-0000-0000-0000892D0000}"/>
    <cellStyle name="Comma 2 2 2 2 3 2 2" xfId="11661" xr:uid="{00000000-0005-0000-0000-00008A2D0000}"/>
    <cellStyle name="Comma 2 2 2 2 3 2 2 10" xfId="11662" xr:uid="{00000000-0005-0000-0000-00008B2D0000}"/>
    <cellStyle name="Comma 2 2 2 2 3 2 2 10 2" xfId="11663" xr:uid="{00000000-0005-0000-0000-00008C2D0000}"/>
    <cellStyle name="Comma 2 2 2 2 3 2 2 10 3" xfId="11664" xr:uid="{00000000-0005-0000-0000-00008D2D0000}"/>
    <cellStyle name="Comma 2 2 2 2 3 2 2 10 4" xfId="11665" xr:uid="{00000000-0005-0000-0000-00008E2D0000}"/>
    <cellStyle name="Comma 2 2 2 2 3 2 2 10 5" xfId="11666" xr:uid="{00000000-0005-0000-0000-00008F2D0000}"/>
    <cellStyle name="Comma 2 2 2 2 3 2 2 10 6" xfId="11667" xr:uid="{00000000-0005-0000-0000-0000902D0000}"/>
    <cellStyle name="Comma 2 2 2 2 3 2 2 10 7" xfId="11668" xr:uid="{00000000-0005-0000-0000-0000912D0000}"/>
    <cellStyle name="Comma 2 2 2 2 3 2 2 10 8" xfId="11669" xr:uid="{00000000-0005-0000-0000-0000922D0000}"/>
    <cellStyle name="Comma 2 2 2 2 3 2 2 11" xfId="11670" xr:uid="{00000000-0005-0000-0000-0000932D0000}"/>
    <cellStyle name="Comma 2 2 2 2 3 2 2 11 2" xfId="11671" xr:uid="{00000000-0005-0000-0000-0000942D0000}"/>
    <cellStyle name="Comma 2 2 2 2 3 2 2 11 3" xfId="11672" xr:uid="{00000000-0005-0000-0000-0000952D0000}"/>
    <cellStyle name="Comma 2 2 2 2 3 2 2 11 4" xfId="11673" xr:uid="{00000000-0005-0000-0000-0000962D0000}"/>
    <cellStyle name="Comma 2 2 2 2 3 2 2 11 5" xfId="11674" xr:uid="{00000000-0005-0000-0000-0000972D0000}"/>
    <cellStyle name="Comma 2 2 2 2 3 2 2 11 6" xfId="11675" xr:uid="{00000000-0005-0000-0000-0000982D0000}"/>
    <cellStyle name="Comma 2 2 2 2 3 2 2 11 7" xfId="11676" xr:uid="{00000000-0005-0000-0000-0000992D0000}"/>
    <cellStyle name="Comma 2 2 2 2 3 2 2 11 8" xfId="11677" xr:uid="{00000000-0005-0000-0000-00009A2D0000}"/>
    <cellStyle name="Comma 2 2 2 2 3 2 2 12" xfId="11678" xr:uid="{00000000-0005-0000-0000-00009B2D0000}"/>
    <cellStyle name="Comma 2 2 2 2 3 2 2 12 2" xfId="11679" xr:uid="{00000000-0005-0000-0000-00009C2D0000}"/>
    <cellStyle name="Comma 2 2 2 2 3 2 2 12 3" xfId="11680" xr:uid="{00000000-0005-0000-0000-00009D2D0000}"/>
    <cellStyle name="Comma 2 2 2 2 3 2 2 12 4" xfId="11681" xr:uid="{00000000-0005-0000-0000-00009E2D0000}"/>
    <cellStyle name="Comma 2 2 2 2 3 2 2 12 5" xfId="11682" xr:uid="{00000000-0005-0000-0000-00009F2D0000}"/>
    <cellStyle name="Comma 2 2 2 2 3 2 2 12 6" xfId="11683" xr:uid="{00000000-0005-0000-0000-0000A02D0000}"/>
    <cellStyle name="Comma 2 2 2 2 3 2 2 12 7" xfId="11684" xr:uid="{00000000-0005-0000-0000-0000A12D0000}"/>
    <cellStyle name="Comma 2 2 2 2 3 2 2 12 8" xfId="11685" xr:uid="{00000000-0005-0000-0000-0000A22D0000}"/>
    <cellStyle name="Comma 2 2 2 2 3 2 2 13" xfId="11686" xr:uid="{00000000-0005-0000-0000-0000A32D0000}"/>
    <cellStyle name="Comma 2 2 2 2 3 2 2 13 2" xfId="11687" xr:uid="{00000000-0005-0000-0000-0000A42D0000}"/>
    <cellStyle name="Comma 2 2 2 2 3 2 2 13 3" xfId="11688" xr:uid="{00000000-0005-0000-0000-0000A52D0000}"/>
    <cellStyle name="Comma 2 2 2 2 3 2 2 13 4" xfId="11689" xr:uid="{00000000-0005-0000-0000-0000A62D0000}"/>
    <cellStyle name="Comma 2 2 2 2 3 2 2 13 5" xfId="11690" xr:uid="{00000000-0005-0000-0000-0000A72D0000}"/>
    <cellStyle name="Comma 2 2 2 2 3 2 2 13 6" xfId="11691" xr:uid="{00000000-0005-0000-0000-0000A82D0000}"/>
    <cellStyle name="Comma 2 2 2 2 3 2 2 13 7" xfId="11692" xr:uid="{00000000-0005-0000-0000-0000A92D0000}"/>
    <cellStyle name="Comma 2 2 2 2 3 2 2 13 8" xfId="11693" xr:uid="{00000000-0005-0000-0000-0000AA2D0000}"/>
    <cellStyle name="Comma 2 2 2 2 3 2 2 14" xfId="11694" xr:uid="{00000000-0005-0000-0000-0000AB2D0000}"/>
    <cellStyle name="Comma 2 2 2 2 3 2 2 14 2" xfId="11695" xr:uid="{00000000-0005-0000-0000-0000AC2D0000}"/>
    <cellStyle name="Comma 2 2 2 2 3 2 2 14 3" xfId="11696" xr:uid="{00000000-0005-0000-0000-0000AD2D0000}"/>
    <cellStyle name="Comma 2 2 2 2 3 2 2 15" xfId="11697" xr:uid="{00000000-0005-0000-0000-0000AE2D0000}"/>
    <cellStyle name="Comma 2 2 2 2 3 2 2 16" xfId="11698" xr:uid="{00000000-0005-0000-0000-0000AF2D0000}"/>
    <cellStyle name="Comma 2 2 2 2 3 2 2 17" xfId="11699" xr:uid="{00000000-0005-0000-0000-0000B02D0000}"/>
    <cellStyle name="Comma 2 2 2 2 3 2 2 17 2" xfId="11700" xr:uid="{00000000-0005-0000-0000-0000B12D0000}"/>
    <cellStyle name="Comma 2 2 2 2 3 2 2 18" xfId="11701" xr:uid="{00000000-0005-0000-0000-0000B22D0000}"/>
    <cellStyle name="Comma 2 2 2 2 3 2 2 19" xfId="11702" xr:uid="{00000000-0005-0000-0000-0000B32D0000}"/>
    <cellStyle name="Comma 2 2 2 2 3 2 2 2" xfId="11703" xr:uid="{00000000-0005-0000-0000-0000B42D0000}"/>
    <cellStyle name="Comma 2 2 2 2 3 2 2 2 2" xfId="11704" xr:uid="{00000000-0005-0000-0000-0000B52D0000}"/>
    <cellStyle name="Comma 2 2 2 2 3 2 2 2 2 2" xfId="11705" xr:uid="{00000000-0005-0000-0000-0000B62D0000}"/>
    <cellStyle name="Comma 2 2 2 2 3 2 2 2 3" xfId="11706" xr:uid="{00000000-0005-0000-0000-0000B72D0000}"/>
    <cellStyle name="Comma 2 2 2 2 3 2 2 2 4" xfId="11707" xr:uid="{00000000-0005-0000-0000-0000B82D0000}"/>
    <cellStyle name="Comma 2 2 2 2 3 2 2 2 5" xfId="11708" xr:uid="{00000000-0005-0000-0000-0000B92D0000}"/>
    <cellStyle name="Comma 2 2 2 2 3 2 2 20" xfId="11709" xr:uid="{00000000-0005-0000-0000-0000BA2D0000}"/>
    <cellStyle name="Comma 2 2 2 2 3 2 2 21" xfId="11710" xr:uid="{00000000-0005-0000-0000-0000BB2D0000}"/>
    <cellStyle name="Comma 2 2 2 2 3 2 2 22" xfId="11711" xr:uid="{00000000-0005-0000-0000-0000BC2D0000}"/>
    <cellStyle name="Comma 2 2 2 2 3 2 2 23" xfId="11712" xr:uid="{00000000-0005-0000-0000-0000BD2D0000}"/>
    <cellStyle name="Comma 2 2 2 2 3 2 2 24" xfId="11713" xr:uid="{00000000-0005-0000-0000-0000BE2D0000}"/>
    <cellStyle name="Comma 2 2 2 2 3 2 2 25" xfId="11714" xr:uid="{00000000-0005-0000-0000-0000BF2D0000}"/>
    <cellStyle name="Comma 2 2 2 2 3 2 2 3" xfId="11715" xr:uid="{00000000-0005-0000-0000-0000C02D0000}"/>
    <cellStyle name="Comma 2 2 2 2 3 2 2 3 2" xfId="11716" xr:uid="{00000000-0005-0000-0000-0000C12D0000}"/>
    <cellStyle name="Comma 2 2 2 2 3 2 2 3 2 2" xfId="11717" xr:uid="{00000000-0005-0000-0000-0000C22D0000}"/>
    <cellStyle name="Comma 2 2 2 2 3 2 2 3 3" xfId="11718" xr:uid="{00000000-0005-0000-0000-0000C32D0000}"/>
    <cellStyle name="Comma 2 2 2 2 3 2 2 4" xfId="11719" xr:uid="{00000000-0005-0000-0000-0000C42D0000}"/>
    <cellStyle name="Comma 2 2 2 2 3 2 2 4 2" xfId="11720" xr:uid="{00000000-0005-0000-0000-0000C52D0000}"/>
    <cellStyle name="Comma 2 2 2 2 3 2 2 5" xfId="11721" xr:uid="{00000000-0005-0000-0000-0000C62D0000}"/>
    <cellStyle name="Comma 2 2 2 2 3 2 2 5 2" xfId="11722" xr:uid="{00000000-0005-0000-0000-0000C72D0000}"/>
    <cellStyle name="Comma 2 2 2 2 3 2 2 5 3" xfId="11723" xr:uid="{00000000-0005-0000-0000-0000C82D0000}"/>
    <cellStyle name="Comma 2 2 2 2 3 2 2 5 4" xfId="11724" xr:uid="{00000000-0005-0000-0000-0000C92D0000}"/>
    <cellStyle name="Comma 2 2 2 2 3 2 2 5 5" xfId="11725" xr:uid="{00000000-0005-0000-0000-0000CA2D0000}"/>
    <cellStyle name="Comma 2 2 2 2 3 2 2 5 6" xfId="11726" xr:uid="{00000000-0005-0000-0000-0000CB2D0000}"/>
    <cellStyle name="Comma 2 2 2 2 3 2 2 5 7" xfId="11727" xr:uid="{00000000-0005-0000-0000-0000CC2D0000}"/>
    <cellStyle name="Comma 2 2 2 2 3 2 2 5 8" xfId="11728" xr:uid="{00000000-0005-0000-0000-0000CD2D0000}"/>
    <cellStyle name="Comma 2 2 2 2 3 2 2 6" xfId="11729" xr:uid="{00000000-0005-0000-0000-0000CE2D0000}"/>
    <cellStyle name="Comma 2 2 2 2 3 2 2 6 2" xfId="11730" xr:uid="{00000000-0005-0000-0000-0000CF2D0000}"/>
    <cellStyle name="Comma 2 2 2 2 3 2 2 7" xfId="11731" xr:uid="{00000000-0005-0000-0000-0000D02D0000}"/>
    <cellStyle name="Comma 2 2 2 2 3 2 2 7 2" xfId="11732" xr:uid="{00000000-0005-0000-0000-0000D12D0000}"/>
    <cellStyle name="Comma 2 2 2 2 3 2 2 7 3" xfId="11733" xr:uid="{00000000-0005-0000-0000-0000D22D0000}"/>
    <cellStyle name="Comma 2 2 2 2 3 2 2 7 4" xfId="11734" xr:uid="{00000000-0005-0000-0000-0000D32D0000}"/>
    <cellStyle name="Comma 2 2 2 2 3 2 2 7 5" xfId="11735" xr:uid="{00000000-0005-0000-0000-0000D42D0000}"/>
    <cellStyle name="Comma 2 2 2 2 3 2 2 7 6" xfId="11736" xr:uid="{00000000-0005-0000-0000-0000D52D0000}"/>
    <cellStyle name="Comma 2 2 2 2 3 2 2 7 7" xfId="11737" xr:uid="{00000000-0005-0000-0000-0000D62D0000}"/>
    <cellStyle name="Comma 2 2 2 2 3 2 2 7 8" xfId="11738" xr:uid="{00000000-0005-0000-0000-0000D72D0000}"/>
    <cellStyle name="Comma 2 2 2 2 3 2 2 8" xfId="11739" xr:uid="{00000000-0005-0000-0000-0000D82D0000}"/>
    <cellStyle name="Comma 2 2 2 2 3 2 2 8 2" xfId="11740" xr:uid="{00000000-0005-0000-0000-0000D92D0000}"/>
    <cellStyle name="Comma 2 2 2 2 3 2 2 8 3" xfId="11741" xr:uid="{00000000-0005-0000-0000-0000DA2D0000}"/>
    <cellStyle name="Comma 2 2 2 2 3 2 2 8 4" xfId="11742" xr:uid="{00000000-0005-0000-0000-0000DB2D0000}"/>
    <cellStyle name="Comma 2 2 2 2 3 2 2 8 5" xfId="11743" xr:uid="{00000000-0005-0000-0000-0000DC2D0000}"/>
    <cellStyle name="Comma 2 2 2 2 3 2 2 8 6" xfId="11744" xr:uid="{00000000-0005-0000-0000-0000DD2D0000}"/>
    <cellStyle name="Comma 2 2 2 2 3 2 2 8 7" xfId="11745" xr:uid="{00000000-0005-0000-0000-0000DE2D0000}"/>
    <cellStyle name="Comma 2 2 2 2 3 2 2 8 8" xfId="11746" xr:uid="{00000000-0005-0000-0000-0000DF2D0000}"/>
    <cellStyle name="Comma 2 2 2 2 3 2 2 9" xfId="11747" xr:uid="{00000000-0005-0000-0000-0000E02D0000}"/>
    <cellStyle name="Comma 2 2 2 2 3 2 2 9 2" xfId="11748" xr:uid="{00000000-0005-0000-0000-0000E12D0000}"/>
    <cellStyle name="Comma 2 2 2 2 3 2 2 9 3" xfId="11749" xr:uid="{00000000-0005-0000-0000-0000E22D0000}"/>
    <cellStyle name="Comma 2 2 2 2 3 2 2 9 4" xfId="11750" xr:uid="{00000000-0005-0000-0000-0000E32D0000}"/>
    <cellStyle name="Comma 2 2 2 2 3 2 2 9 5" xfId="11751" xr:uid="{00000000-0005-0000-0000-0000E42D0000}"/>
    <cellStyle name="Comma 2 2 2 2 3 2 2 9 6" xfId="11752" xr:uid="{00000000-0005-0000-0000-0000E52D0000}"/>
    <cellStyle name="Comma 2 2 2 2 3 2 2 9 7" xfId="11753" xr:uid="{00000000-0005-0000-0000-0000E62D0000}"/>
    <cellStyle name="Comma 2 2 2 2 3 2 2 9 8" xfId="11754" xr:uid="{00000000-0005-0000-0000-0000E72D0000}"/>
    <cellStyle name="Comma 2 2 2 2 3 2 3" xfId="11755" xr:uid="{00000000-0005-0000-0000-0000E82D0000}"/>
    <cellStyle name="Comma 2 2 2 2 3 2 3 2" xfId="11756" xr:uid="{00000000-0005-0000-0000-0000E92D0000}"/>
    <cellStyle name="Comma 2 2 2 2 3 2 3 3" xfId="11757" xr:uid="{00000000-0005-0000-0000-0000EA2D0000}"/>
    <cellStyle name="Comma 2 2 2 2 3 2 3 4" xfId="11758" xr:uid="{00000000-0005-0000-0000-0000EB2D0000}"/>
    <cellStyle name="Comma 2 2 2 2 3 2 3 5" xfId="11759" xr:uid="{00000000-0005-0000-0000-0000EC2D0000}"/>
    <cellStyle name="Comma 2 2 2 2 3 2 4" xfId="11760" xr:uid="{00000000-0005-0000-0000-0000ED2D0000}"/>
    <cellStyle name="Comma 2 2 2 2 3 20" xfId="11761" xr:uid="{00000000-0005-0000-0000-0000EE2D0000}"/>
    <cellStyle name="Comma 2 2 2 2 3 21" xfId="11762" xr:uid="{00000000-0005-0000-0000-0000EF2D0000}"/>
    <cellStyle name="Comma 2 2 2 2 3 22" xfId="11763" xr:uid="{00000000-0005-0000-0000-0000F02D0000}"/>
    <cellStyle name="Comma 2 2 2 2 3 23" xfId="11764" xr:uid="{00000000-0005-0000-0000-0000F12D0000}"/>
    <cellStyle name="Comma 2 2 2 2 3 24" xfId="11765" xr:uid="{00000000-0005-0000-0000-0000F22D0000}"/>
    <cellStyle name="Comma 2 2 2 2 3 25" xfId="11766" xr:uid="{00000000-0005-0000-0000-0000F32D0000}"/>
    <cellStyle name="Comma 2 2 2 2 3 26" xfId="11767" xr:uid="{00000000-0005-0000-0000-0000F42D0000}"/>
    <cellStyle name="Comma 2 2 2 2 3 3" xfId="11768" xr:uid="{00000000-0005-0000-0000-0000F52D0000}"/>
    <cellStyle name="Comma 2 2 2 2 3 3 2" xfId="11769" xr:uid="{00000000-0005-0000-0000-0000F62D0000}"/>
    <cellStyle name="Comma 2 2 2 2 3 3 2 2" xfId="11770" xr:uid="{00000000-0005-0000-0000-0000F72D0000}"/>
    <cellStyle name="Comma 2 2 2 2 3 3 2 3" xfId="11771" xr:uid="{00000000-0005-0000-0000-0000F82D0000}"/>
    <cellStyle name="Comma 2 2 2 2 3 3 2 4" xfId="11772" xr:uid="{00000000-0005-0000-0000-0000F92D0000}"/>
    <cellStyle name="Comma 2 2 2 2 3 3 3" xfId="11773" xr:uid="{00000000-0005-0000-0000-0000FA2D0000}"/>
    <cellStyle name="Comma 2 2 2 2 3 3 4" xfId="11774" xr:uid="{00000000-0005-0000-0000-0000FB2D0000}"/>
    <cellStyle name="Comma 2 2 2 2 3 3 5" xfId="11775" xr:uid="{00000000-0005-0000-0000-0000FC2D0000}"/>
    <cellStyle name="Comma 2 2 2 2 3 4" xfId="11776" xr:uid="{00000000-0005-0000-0000-0000FD2D0000}"/>
    <cellStyle name="Comma 2 2 2 2 3 4 2" xfId="11777" xr:uid="{00000000-0005-0000-0000-0000FE2D0000}"/>
    <cellStyle name="Comma 2 2 2 2 3 4 3" xfId="11778" xr:uid="{00000000-0005-0000-0000-0000FF2D0000}"/>
    <cellStyle name="Comma 2 2 2 2 3 5" xfId="11779" xr:uid="{00000000-0005-0000-0000-0000002E0000}"/>
    <cellStyle name="Comma 2 2 2 2 3 5 2" xfId="11780" xr:uid="{00000000-0005-0000-0000-0000012E0000}"/>
    <cellStyle name="Comma 2 2 2 2 3 6" xfId="11781" xr:uid="{00000000-0005-0000-0000-0000022E0000}"/>
    <cellStyle name="Comma 2 2 2 2 3 6 2" xfId="11782" xr:uid="{00000000-0005-0000-0000-0000032E0000}"/>
    <cellStyle name="Comma 2 2 2 2 3 6 3" xfId="11783" xr:uid="{00000000-0005-0000-0000-0000042E0000}"/>
    <cellStyle name="Comma 2 2 2 2 3 6 4" xfId="11784" xr:uid="{00000000-0005-0000-0000-0000052E0000}"/>
    <cellStyle name="Comma 2 2 2 2 3 6 5" xfId="11785" xr:uid="{00000000-0005-0000-0000-0000062E0000}"/>
    <cellStyle name="Comma 2 2 2 2 3 6 6" xfId="11786" xr:uid="{00000000-0005-0000-0000-0000072E0000}"/>
    <cellStyle name="Comma 2 2 2 2 3 6 7" xfId="11787" xr:uid="{00000000-0005-0000-0000-0000082E0000}"/>
    <cellStyle name="Comma 2 2 2 2 3 6 8" xfId="11788" xr:uid="{00000000-0005-0000-0000-0000092E0000}"/>
    <cellStyle name="Comma 2 2 2 2 3 7" xfId="11789" xr:uid="{00000000-0005-0000-0000-00000A2E0000}"/>
    <cellStyle name="Comma 2 2 2 2 3 7 2" xfId="11790" xr:uid="{00000000-0005-0000-0000-00000B2E0000}"/>
    <cellStyle name="Comma 2 2 2 2 3 8" xfId="11791" xr:uid="{00000000-0005-0000-0000-00000C2E0000}"/>
    <cellStyle name="Comma 2 2 2 2 3 8 2" xfId="11792" xr:uid="{00000000-0005-0000-0000-00000D2E0000}"/>
    <cellStyle name="Comma 2 2 2 2 3 8 3" xfId="11793" xr:uid="{00000000-0005-0000-0000-00000E2E0000}"/>
    <cellStyle name="Comma 2 2 2 2 3 8 4" xfId="11794" xr:uid="{00000000-0005-0000-0000-00000F2E0000}"/>
    <cellStyle name="Comma 2 2 2 2 3 8 5" xfId="11795" xr:uid="{00000000-0005-0000-0000-0000102E0000}"/>
    <cellStyle name="Comma 2 2 2 2 3 8 6" xfId="11796" xr:uid="{00000000-0005-0000-0000-0000112E0000}"/>
    <cellStyle name="Comma 2 2 2 2 3 8 7" xfId="11797" xr:uid="{00000000-0005-0000-0000-0000122E0000}"/>
    <cellStyle name="Comma 2 2 2 2 3 8 8" xfId="11798" xr:uid="{00000000-0005-0000-0000-0000132E0000}"/>
    <cellStyle name="Comma 2 2 2 2 3 9" xfId="11799" xr:uid="{00000000-0005-0000-0000-0000142E0000}"/>
    <cellStyle name="Comma 2 2 2 2 3 9 2" xfId="11800" xr:uid="{00000000-0005-0000-0000-0000152E0000}"/>
    <cellStyle name="Comma 2 2 2 2 3 9 3" xfId="11801" xr:uid="{00000000-0005-0000-0000-0000162E0000}"/>
    <cellStyle name="Comma 2 2 2 2 3 9 4" xfId="11802" xr:uid="{00000000-0005-0000-0000-0000172E0000}"/>
    <cellStyle name="Comma 2 2 2 2 3 9 5" xfId="11803" xr:uid="{00000000-0005-0000-0000-0000182E0000}"/>
    <cellStyle name="Comma 2 2 2 2 3 9 6" xfId="11804" xr:uid="{00000000-0005-0000-0000-0000192E0000}"/>
    <cellStyle name="Comma 2 2 2 2 3 9 7" xfId="11805" xr:uid="{00000000-0005-0000-0000-00001A2E0000}"/>
    <cellStyle name="Comma 2 2 2 2 3 9 8" xfId="11806" xr:uid="{00000000-0005-0000-0000-00001B2E0000}"/>
    <cellStyle name="Comma 2 2 2 2 4" xfId="11807" xr:uid="{00000000-0005-0000-0000-00001C2E0000}"/>
    <cellStyle name="Comma 2 2 2 2 4 10" xfId="11808" xr:uid="{00000000-0005-0000-0000-00001D2E0000}"/>
    <cellStyle name="Comma 2 2 2 2 4 10 2" xfId="11809" xr:uid="{00000000-0005-0000-0000-00001E2E0000}"/>
    <cellStyle name="Comma 2 2 2 2 4 10 3" xfId="11810" xr:uid="{00000000-0005-0000-0000-00001F2E0000}"/>
    <cellStyle name="Comma 2 2 2 2 4 10 4" xfId="11811" xr:uid="{00000000-0005-0000-0000-0000202E0000}"/>
    <cellStyle name="Comma 2 2 2 2 4 10 5" xfId="11812" xr:uid="{00000000-0005-0000-0000-0000212E0000}"/>
    <cellStyle name="Comma 2 2 2 2 4 10 6" xfId="11813" xr:uid="{00000000-0005-0000-0000-0000222E0000}"/>
    <cellStyle name="Comma 2 2 2 2 4 10 7" xfId="11814" xr:uid="{00000000-0005-0000-0000-0000232E0000}"/>
    <cellStyle name="Comma 2 2 2 2 4 10 8" xfId="11815" xr:uid="{00000000-0005-0000-0000-0000242E0000}"/>
    <cellStyle name="Comma 2 2 2 2 4 11" xfId="11816" xr:uid="{00000000-0005-0000-0000-0000252E0000}"/>
    <cellStyle name="Comma 2 2 2 2 4 11 2" xfId="11817" xr:uid="{00000000-0005-0000-0000-0000262E0000}"/>
    <cellStyle name="Comma 2 2 2 2 4 11 3" xfId="11818" xr:uid="{00000000-0005-0000-0000-0000272E0000}"/>
    <cellStyle name="Comma 2 2 2 2 4 11 4" xfId="11819" xr:uid="{00000000-0005-0000-0000-0000282E0000}"/>
    <cellStyle name="Comma 2 2 2 2 4 11 5" xfId="11820" xr:uid="{00000000-0005-0000-0000-0000292E0000}"/>
    <cellStyle name="Comma 2 2 2 2 4 11 6" xfId="11821" xr:uid="{00000000-0005-0000-0000-00002A2E0000}"/>
    <cellStyle name="Comma 2 2 2 2 4 11 7" xfId="11822" xr:uid="{00000000-0005-0000-0000-00002B2E0000}"/>
    <cellStyle name="Comma 2 2 2 2 4 11 8" xfId="11823" xr:uid="{00000000-0005-0000-0000-00002C2E0000}"/>
    <cellStyle name="Comma 2 2 2 2 4 12" xfId="11824" xr:uid="{00000000-0005-0000-0000-00002D2E0000}"/>
    <cellStyle name="Comma 2 2 2 2 4 12 2" xfId="11825" xr:uid="{00000000-0005-0000-0000-00002E2E0000}"/>
    <cellStyle name="Comma 2 2 2 2 4 12 3" xfId="11826" xr:uid="{00000000-0005-0000-0000-00002F2E0000}"/>
    <cellStyle name="Comma 2 2 2 2 4 12 4" xfId="11827" xr:uid="{00000000-0005-0000-0000-0000302E0000}"/>
    <cellStyle name="Comma 2 2 2 2 4 12 5" xfId="11828" xr:uid="{00000000-0005-0000-0000-0000312E0000}"/>
    <cellStyle name="Comma 2 2 2 2 4 12 6" xfId="11829" xr:uid="{00000000-0005-0000-0000-0000322E0000}"/>
    <cellStyle name="Comma 2 2 2 2 4 12 7" xfId="11830" xr:uid="{00000000-0005-0000-0000-0000332E0000}"/>
    <cellStyle name="Comma 2 2 2 2 4 12 8" xfId="11831" xr:uid="{00000000-0005-0000-0000-0000342E0000}"/>
    <cellStyle name="Comma 2 2 2 2 4 13" xfId="11832" xr:uid="{00000000-0005-0000-0000-0000352E0000}"/>
    <cellStyle name="Comma 2 2 2 2 4 13 2" xfId="11833" xr:uid="{00000000-0005-0000-0000-0000362E0000}"/>
    <cellStyle name="Comma 2 2 2 2 4 13 3" xfId="11834" xr:uid="{00000000-0005-0000-0000-0000372E0000}"/>
    <cellStyle name="Comma 2 2 2 2 4 13 4" xfId="11835" xr:uid="{00000000-0005-0000-0000-0000382E0000}"/>
    <cellStyle name="Comma 2 2 2 2 4 13 5" xfId="11836" xr:uid="{00000000-0005-0000-0000-0000392E0000}"/>
    <cellStyle name="Comma 2 2 2 2 4 13 6" xfId="11837" xr:uid="{00000000-0005-0000-0000-00003A2E0000}"/>
    <cellStyle name="Comma 2 2 2 2 4 13 7" xfId="11838" xr:uid="{00000000-0005-0000-0000-00003B2E0000}"/>
    <cellStyle name="Comma 2 2 2 2 4 13 8" xfId="11839" xr:uid="{00000000-0005-0000-0000-00003C2E0000}"/>
    <cellStyle name="Comma 2 2 2 2 4 14" xfId="11840" xr:uid="{00000000-0005-0000-0000-00003D2E0000}"/>
    <cellStyle name="Comma 2 2 2 2 4 14 2" xfId="11841" xr:uid="{00000000-0005-0000-0000-00003E2E0000}"/>
    <cellStyle name="Comma 2 2 2 2 4 14 3" xfId="11842" xr:uid="{00000000-0005-0000-0000-00003F2E0000}"/>
    <cellStyle name="Comma 2 2 2 2 4 15" xfId="11843" xr:uid="{00000000-0005-0000-0000-0000402E0000}"/>
    <cellStyle name="Comma 2 2 2 2 4 16" xfId="11844" xr:uid="{00000000-0005-0000-0000-0000412E0000}"/>
    <cellStyle name="Comma 2 2 2 2 4 17" xfId="11845" xr:uid="{00000000-0005-0000-0000-0000422E0000}"/>
    <cellStyle name="Comma 2 2 2 2 4 17 2" xfId="11846" xr:uid="{00000000-0005-0000-0000-0000432E0000}"/>
    <cellStyle name="Comma 2 2 2 2 4 18" xfId="11847" xr:uid="{00000000-0005-0000-0000-0000442E0000}"/>
    <cellStyle name="Comma 2 2 2 2 4 19" xfId="11848" xr:uid="{00000000-0005-0000-0000-0000452E0000}"/>
    <cellStyle name="Comma 2 2 2 2 4 2" xfId="11849" xr:uid="{00000000-0005-0000-0000-0000462E0000}"/>
    <cellStyle name="Comma 2 2 2 2 4 2 2" xfId="11850" xr:uid="{00000000-0005-0000-0000-0000472E0000}"/>
    <cellStyle name="Comma 2 2 2 2 4 2 2 2" xfId="11851" xr:uid="{00000000-0005-0000-0000-0000482E0000}"/>
    <cellStyle name="Comma 2 2 2 2 4 2 2 3" xfId="11852" xr:uid="{00000000-0005-0000-0000-0000492E0000}"/>
    <cellStyle name="Comma 2 2 2 2 4 2 2 4" xfId="11853" xr:uid="{00000000-0005-0000-0000-00004A2E0000}"/>
    <cellStyle name="Comma 2 2 2 2 4 2 3" xfId="11854" xr:uid="{00000000-0005-0000-0000-00004B2E0000}"/>
    <cellStyle name="Comma 2 2 2 2 4 2 4" xfId="11855" xr:uid="{00000000-0005-0000-0000-00004C2E0000}"/>
    <cellStyle name="Comma 2 2 2 2 4 2 5" xfId="11856" xr:uid="{00000000-0005-0000-0000-00004D2E0000}"/>
    <cellStyle name="Comma 2 2 2 2 4 20" xfId="11857" xr:uid="{00000000-0005-0000-0000-00004E2E0000}"/>
    <cellStyle name="Comma 2 2 2 2 4 21" xfId="11858" xr:uid="{00000000-0005-0000-0000-00004F2E0000}"/>
    <cellStyle name="Comma 2 2 2 2 4 22" xfId="11859" xr:uid="{00000000-0005-0000-0000-0000502E0000}"/>
    <cellStyle name="Comma 2 2 2 2 4 23" xfId="11860" xr:uid="{00000000-0005-0000-0000-0000512E0000}"/>
    <cellStyle name="Comma 2 2 2 2 4 24" xfId="11861" xr:uid="{00000000-0005-0000-0000-0000522E0000}"/>
    <cellStyle name="Comma 2 2 2 2 4 25" xfId="11862" xr:uid="{00000000-0005-0000-0000-0000532E0000}"/>
    <cellStyle name="Comma 2 2 2 2 4 3" xfId="11863" xr:uid="{00000000-0005-0000-0000-0000542E0000}"/>
    <cellStyle name="Comma 2 2 2 2 4 3 2" xfId="11864" xr:uid="{00000000-0005-0000-0000-0000552E0000}"/>
    <cellStyle name="Comma 2 2 2 2 4 3 2 2" xfId="11865" xr:uid="{00000000-0005-0000-0000-0000562E0000}"/>
    <cellStyle name="Comma 2 2 2 2 4 3 3" xfId="11866" xr:uid="{00000000-0005-0000-0000-0000572E0000}"/>
    <cellStyle name="Comma 2 2 2 2 4 4" xfId="11867" xr:uid="{00000000-0005-0000-0000-0000582E0000}"/>
    <cellStyle name="Comma 2 2 2 2 4 4 2" xfId="11868" xr:uid="{00000000-0005-0000-0000-0000592E0000}"/>
    <cellStyle name="Comma 2 2 2 2 4 5" xfId="11869" xr:uid="{00000000-0005-0000-0000-00005A2E0000}"/>
    <cellStyle name="Comma 2 2 2 2 4 5 2" xfId="11870" xr:uid="{00000000-0005-0000-0000-00005B2E0000}"/>
    <cellStyle name="Comma 2 2 2 2 4 5 3" xfId="11871" xr:uid="{00000000-0005-0000-0000-00005C2E0000}"/>
    <cellStyle name="Comma 2 2 2 2 4 5 4" xfId="11872" xr:uid="{00000000-0005-0000-0000-00005D2E0000}"/>
    <cellStyle name="Comma 2 2 2 2 4 5 5" xfId="11873" xr:uid="{00000000-0005-0000-0000-00005E2E0000}"/>
    <cellStyle name="Comma 2 2 2 2 4 5 6" xfId="11874" xr:uid="{00000000-0005-0000-0000-00005F2E0000}"/>
    <cellStyle name="Comma 2 2 2 2 4 5 7" xfId="11875" xr:uid="{00000000-0005-0000-0000-0000602E0000}"/>
    <cellStyle name="Comma 2 2 2 2 4 5 8" xfId="11876" xr:uid="{00000000-0005-0000-0000-0000612E0000}"/>
    <cellStyle name="Comma 2 2 2 2 4 6" xfId="11877" xr:uid="{00000000-0005-0000-0000-0000622E0000}"/>
    <cellStyle name="Comma 2 2 2 2 4 6 2" xfId="11878" xr:uid="{00000000-0005-0000-0000-0000632E0000}"/>
    <cellStyle name="Comma 2 2 2 2 4 7" xfId="11879" xr:uid="{00000000-0005-0000-0000-0000642E0000}"/>
    <cellStyle name="Comma 2 2 2 2 4 7 2" xfId="11880" xr:uid="{00000000-0005-0000-0000-0000652E0000}"/>
    <cellStyle name="Comma 2 2 2 2 4 7 3" xfId="11881" xr:uid="{00000000-0005-0000-0000-0000662E0000}"/>
    <cellStyle name="Comma 2 2 2 2 4 7 4" xfId="11882" xr:uid="{00000000-0005-0000-0000-0000672E0000}"/>
    <cellStyle name="Comma 2 2 2 2 4 7 5" xfId="11883" xr:uid="{00000000-0005-0000-0000-0000682E0000}"/>
    <cellStyle name="Comma 2 2 2 2 4 7 6" xfId="11884" xr:uid="{00000000-0005-0000-0000-0000692E0000}"/>
    <cellStyle name="Comma 2 2 2 2 4 7 7" xfId="11885" xr:uid="{00000000-0005-0000-0000-00006A2E0000}"/>
    <cellStyle name="Comma 2 2 2 2 4 7 8" xfId="11886" xr:uid="{00000000-0005-0000-0000-00006B2E0000}"/>
    <cellStyle name="Comma 2 2 2 2 4 8" xfId="11887" xr:uid="{00000000-0005-0000-0000-00006C2E0000}"/>
    <cellStyle name="Comma 2 2 2 2 4 8 2" xfId="11888" xr:uid="{00000000-0005-0000-0000-00006D2E0000}"/>
    <cellStyle name="Comma 2 2 2 2 4 8 3" xfId="11889" xr:uid="{00000000-0005-0000-0000-00006E2E0000}"/>
    <cellStyle name="Comma 2 2 2 2 4 8 4" xfId="11890" xr:uid="{00000000-0005-0000-0000-00006F2E0000}"/>
    <cellStyle name="Comma 2 2 2 2 4 8 5" xfId="11891" xr:uid="{00000000-0005-0000-0000-0000702E0000}"/>
    <cellStyle name="Comma 2 2 2 2 4 8 6" xfId="11892" xr:uid="{00000000-0005-0000-0000-0000712E0000}"/>
    <cellStyle name="Comma 2 2 2 2 4 8 7" xfId="11893" xr:uid="{00000000-0005-0000-0000-0000722E0000}"/>
    <cellStyle name="Comma 2 2 2 2 4 8 8" xfId="11894" xr:uid="{00000000-0005-0000-0000-0000732E0000}"/>
    <cellStyle name="Comma 2 2 2 2 4 9" xfId="11895" xr:uid="{00000000-0005-0000-0000-0000742E0000}"/>
    <cellStyle name="Comma 2 2 2 2 4 9 2" xfId="11896" xr:uid="{00000000-0005-0000-0000-0000752E0000}"/>
    <cellStyle name="Comma 2 2 2 2 4 9 3" xfId="11897" xr:uid="{00000000-0005-0000-0000-0000762E0000}"/>
    <cellStyle name="Comma 2 2 2 2 4 9 4" xfId="11898" xr:uid="{00000000-0005-0000-0000-0000772E0000}"/>
    <cellStyle name="Comma 2 2 2 2 4 9 5" xfId="11899" xr:uid="{00000000-0005-0000-0000-0000782E0000}"/>
    <cellStyle name="Comma 2 2 2 2 4 9 6" xfId="11900" xr:uid="{00000000-0005-0000-0000-0000792E0000}"/>
    <cellStyle name="Comma 2 2 2 2 4 9 7" xfId="11901" xr:uid="{00000000-0005-0000-0000-00007A2E0000}"/>
    <cellStyle name="Comma 2 2 2 2 4 9 8" xfId="11902" xr:uid="{00000000-0005-0000-0000-00007B2E0000}"/>
    <cellStyle name="Comma 2 2 2 2 5" xfId="11903" xr:uid="{00000000-0005-0000-0000-00007C2E0000}"/>
    <cellStyle name="Comma 2 2 2 2 5 10" xfId="11904" xr:uid="{00000000-0005-0000-0000-00007D2E0000}"/>
    <cellStyle name="Comma 2 2 2 2 5 10 2" xfId="11905" xr:uid="{00000000-0005-0000-0000-00007E2E0000}"/>
    <cellStyle name="Comma 2 2 2 2 5 10 3" xfId="11906" xr:uid="{00000000-0005-0000-0000-00007F2E0000}"/>
    <cellStyle name="Comma 2 2 2 2 5 10 4" xfId="11907" xr:uid="{00000000-0005-0000-0000-0000802E0000}"/>
    <cellStyle name="Comma 2 2 2 2 5 10 5" xfId="11908" xr:uid="{00000000-0005-0000-0000-0000812E0000}"/>
    <cellStyle name="Comma 2 2 2 2 5 10 6" xfId="11909" xr:uid="{00000000-0005-0000-0000-0000822E0000}"/>
    <cellStyle name="Comma 2 2 2 2 5 10 7" xfId="11910" xr:uid="{00000000-0005-0000-0000-0000832E0000}"/>
    <cellStyle name="Comma 2 2 2 2 5 10 8" xfId="11911" xr:uid="{00000000-0005-0000-0000-0000842E0000}"/>
    <cellStyle name="Comma 2 2 2 2 5 11" xfId="11912" xr:uid="{00000000-0005-0000-0000-0000852E0000}"/>
    <cellStyle name="Comma 2 2 2 2 5 11 2" xfId="11913" xr:uid="{00000000-0005-0000-0000-0000862E0000}"/>
    <cellStyle name="Comma 2 2 2 2 5 11 3" xfId="11914" xr:uid="{00000000-0005-0000-0000-0000872E0000}"/>
    <cellStyle name="Comma 2 2 2 2 5 11 4" xfId="11915" xr:uid="{00000000-0005-0000-0000-0000882E0000}"/>
    <cellStyle name="Comma 2 2 2 2 5 11 5" xfId="11916" xr:uid="{00000000-0005-0000-0000-0000892E0000}"/>
    <cellStyle name="Comma 2 2 2 2 5 11 6" xfId="11917" xr:uid="{00000000-0005-0000-0000-00008A2E0000}"/>
    <cellStyle name="Comma 2 2 2 2 5 11 7" xfId="11918" xr:uid="{00000000-0005-0000-0000-00008B2E0000}"/>
    <cellStyle name="Comma 2 2 2 2 5 11 8" xfId="11919" xr:uid="{00000000-0005-0000-0000-00008C2E0000}"/>
    <cellStyle name="Comma 2 2 2 2 5 12" xfId="11920" xr:uid="{00000000-0005-0000-0000-00008D2E0000}"/>
    <cellStyle name="Comma 2 2 2 2 5 12 2" xfId="11921" xr:uid="{00000000-0005-0000-0000-00008E2E0000}"/>
    <cellStyle name="Comma 2 2 2 2 5 12 3" xfId="11922" xr:uid="{00000000-0005-0000-0000-00008F2E0000}"/>
    <cellStyle name="Comma 2 2 2 2 5 12 4" xfId="11923" xr:uid="{00000000-0005-0000-0000-0000902E0000}"/>
    <cellStyle name="Comma 2 2 2 2 5 12 5" xfId="11924" xr:uid="{00000000-0005-0000-0000-0000912E0000}"/>
    <cellStyle name="Comma 2 2 2 2 5 12 6" xfId="11925" xr:uid="{00000000-0005-0000-0000-0000922E0000}"/>
    <cellStyle name="Comma 2 2 2 2 5 12 7" xfId="11926" xr:uid="{00000000-0005-0000-0000-0000932E0000}"/>
    <cellStyle name="Comma 2 2 2 2 5 12 8" xfId="11927" xr:uid="{00000000-0005-0000-0000-0000942E0000}"/>
    <cellStyle name="Comma 2 2 2 2 5 13" xfId="11928" xr:uid="{00000000-0005-0000-0000-0000952E0000}"/>
    <cellStyle name="Comma 2 2 2 2 5 13 2" xfId="11929" xr:uid="{00000000-0005-0000-0000-0000962E0000}"/>
    <cellStyle name="Comma 2 2 2 2 5 13 3" xfId="11930" xr:uid="{00000000-0005-0000-0000-0000972E0000}"/>
    <cellStyle name="Comma 2 2 2 2 5 13 4" xfId="11931" xr:uid="{00000000-0005-0000-0000-0000982E0000}"/>
    <cellStyle name="Comma 2 2 2 2 5 13 5" xfId="11932" xr:uid="{00000000-0005-0000-0000-0000992E0000}"/>
    <cellStyle name="Comma 2 2 2 2 5 13 6" xfId="11933" xr:uid="{00000000-0005-0000-0000-00009A2E0000}"/>
    <cellStyle name="Comma 2 2 2 2 5 13 7" xfId="11934" xr:uid="{00000000-0005-0000-0000-00009B2E0000}"/>
    <cellStyle name="Comma 2 2 2 2 5 13 8" xfId="11935" xr:uid="{00000000-0005-0000-0000-00009C2E0000}"/>
    <cellStyle name="Comma 2 2 2 2 5 14" xfId="11936" xr:uid="{00000000-0005-0000-0000-00009D2E0000}"/>
    <cellStyle name="Comma 2 2 2 2 5 14 2" xfId="11937" xr:uid="{00000000-0005-0000-0000-00009E2E0000}"/>
    <cellStyle name="Comma 2 2 2 2 5 14 3" xfId="11938" xr:uid="{00000000-0005-0000-0000-00009F2E0000}"/>
    <cellStyle name="Comma 2 2 2 2 5 15" xfId="11939" xr:uid="{00000000-0005-0000-0000-0000A02E0000}"/>
    <cellStyle name="Comma 2 2 2 2 5 16" xfId="11940" xr:uid="{00000000-0005-0000-0000-0000A12E0000}"/>
    <cellStyle name="Comma 2 2 2 2 5 16 2" xfId="11941" xr:uid="{00000000-0005-0000-0000-0000A22E0000}"/>
    <cellStyle name="Comma 2 2 2 2 5 17" xfId="11942" xr:uid="{00000000-0005-0000-0000-0000A32E0000}"/>
    <cellStyle name="Comma 2 2 2 2 5 17 2" xfId="11943" xr:uid="{00000000-0005-0000-0000-0000A42E0000}"/>
    <cellStyle name="Comma 2 2 2 2 5 18" xfId="11944" xr:uid="{00000000-0005-0000-0000-0000A52E0000}"/>
    <cellStyle name="Comma 2 2 2 2 5 19" xfId="11945" xr:uid="{00000000-0005-0000-0000-0000A62E0000}"/>
    <cellStyle name="Comma 2 2 2 2 5 2" xfId="11946" xr:uid="{00000000-0005-0000-0000-0000A72E0000}"/>
    <cellStyle name="Comma 2 2 2 2 5 2 2" xfId="11947" xr:uid="{00000000-0005-0000-0000-0000A82E0000}"/>
    <cellStyle name="Comma 2 2 2 2 5 2 2 2" xfId="11948" xr:uid="{00000000-0005-0000-0000-0000A92E0000}"/>
    <cellStyle name="Comma 2 2 2 2 5 2 2 2 2" xfId="11949" xr:uid="{00000000-0005-0000-0000-0000AA2E0000}"/>
    <cellStyle name="Comma 2 2 2 2 5 2 2 2 2 2" xfId="11950" xr:uid="{00000000-0005-0000-0000-0000AB2E0000}"/>
    <cellStyle name="Comma 2 2 2 2 5 2 2 2 2 2 2" xfId="11951" xr:uid="{00000000-0005-0000-0000-0000AC2E0000}"/>
    <cellStyle name="Comma 2 2 2 2 5 2 2 2 2 2 3" xfId="11952" xr:uid="{00000000-0005-0000-0000-0000AD2E0000}"/>
    <cellStyle name="Comma 2 2 2 2 5 2 2 2 2 3" xfId="11953" xr:uid="{00000000-0005-0000-0000-0000AE2E0000}"/>
    <cellStyle name="Comma 2 2 2 2 5 2 2 2 3" xfId="11954" xr:uid="{00000000-0005-0000-0000-0000AF2E0000}"/>
    <cellStyle name="Comma 2 2 2 2 5 2 2 3" xfId="11955" xr:uid="{00000000-0005-0000-0000-0000B02E0000}"/>
    <cellStyle name="Comma 2 2 2 2 5 2 3" xfId="11956" xr:uid="{00000000-0005-0000-0000-0000B12E0000}"/>
    <cellStyle name="Comma 2 2 2 2 5 2 4" xfId="11957" xr:uid="{00000000-0005-0000-0000-0000B22E0000}"/>
    <cellStyle name="Comma 2 2 2 2 5 2 5" xfId="11958" xr:uid="{00000000-0005-0000-0000-0000B32E0000}"/>
    <cellStyle name="Comma 2 2 2 2 5 20" xfId="11959" xr:uid="{00000000-0005-0000-0000-0000B42E0000}"/>
    <cellStyle name="Comma 2 2 2 2 5 21" xfId="11960" xr:uid="{00000000-0005-0000-0000-0000B52E0000}"/>
    <cellStyle name="Comma 2 2 2 2 5 22" xfId="11961" xr:uid="{00000000-0005-0000-0000-0000B62E0000}"/>
    <cellStyle name="Comma 2 2 2 2 5 23" xfId="11962" xr:uid="{00000000-0005-0000-0000-0000B72E0000}"/>
    <cellStyle name="Comma 2 2 2 2 5 24" xfId="11963" xr:uid="{00000000-0005-0000-0000-0000B82E0000}"/>
    <cellStyle name="Comma 2 2 2 2 5 25" xfId="11964" xr:uid="{00000000-0005-0000-0000-0000B92E0000}"/>
    <cellStyle name="Comma 2 2 2 2 5 3" xfId="11965" xr:uid="{00000000-0005-0000-0000-0000BA2E0000}"/>
    <cellStyle name="Comma 2 2 2 2 5 3 2" xfId="11966" xr:uid="{00000000-0005-0000-0000-0000BB2E0000}"/>
    <cellStyle name="Comma 2 2 2 2 5 3 2 2" xfId="11967" xr:uid="{00000000-0005-0000-0000-0000BC2E0000}"/>
    <cellStyle name="Comma 2 2 2 2 5 3 2 3" xfId="11968" xr:uid="{00000000-0005-0000-0000-0000BD2E0000}"/>
    <cellStyle name="Comma 2 2 2 2 5 3 3" xfId="11969" xr:uid="{00000000-0005-0000-0000-0000BE2E0000}"/>
    <cellStyle name="Comma 2 2 2 2 5 3 3 2" xfId="11970" xr:uid="{00000000-0005-0000-0000-0000BF2E0000}"/>
    <cellStyle name="Comma 2 2 2 2 5 3 4" xfId="11971" xr:uid="{00000000-0005-0000-0000-0000C02E0000}"/>
    <cellStyle name="Comma 2 2 2 2 5 4" xfId="11972" xr:uid="{00000000-0005-0000-0000-0000C12E0000}"/>
    <cellStyle name="Comma 2 2 2 2 5 4 2" xfId="11973" xr:uid="{00000000-0005-0000-0000-0000C22E0000}"/>
    <cellStyle name="Comma 2 2 2 2 5 5" xfId="11974" xr:uid="{00000000-0005-0000-0000-0000C32E0000}"/>
    <cellStyle name="Comma 2 2 2 2 5 5 2" xfId="11975" xr:uid="{00000000-0005-0000-0000-0000C42E0000}"/>
    <cellStyle name="Comma 2 2 2 2 5 5 2 2" xfId="11976" xr:uid="{00000000-0005-0000-0000-0000C52E0000}"/>
    <cellStyle name="Comma 2 2 2 2 5 5 3" xfId="11977" xr:uid="{00000000-0005-0000-0000-0000C62E0000}"/>
    <cellStyle name="Comma 2 2 2 2 5 5 4" xfId="11978" xr:uid="{00000000-0005-0000-0000-0000C72E0000}"/>
    <cellStyle name="Comma 2 2 2 2 5 5 5" xfId="11979" xr:uid="{00000000-0005-0000-0000-0000C82E0000}"/>
    <cellStyle name="Comma 2 2 2 2 5 5 6" xfId="11980" xr:uid="{00000000-0005-0000-0000-0000C92E0000}"/>
    <cellStyle name="Comma 2 2 2 2 5 5 7" xfId="11981" xr:uid="{00000000-0005-0000-0000-0000CA2E0000}"/>
    <cellStyle name="Comma 2 2 2 2 5 5 8" xfId="11982" xr:uid="{00000000-0005-0000-0000-0000CB2E0000}"/>
    <cellStyle name="Comma 2 2 2 2 5 6" xfId="11983" xr:uid="{00000000-0005-0000-0000-0000CC2E0000}"/>
    <cellStyle name="Comma 2 2 2 2 5 6 2" xfId="11984" xr:uid="{00000000-0005-0000-0000-0000CD2E0000}"/>
    <cellStyle name="Comma 2 2 2 2 5 7" xfId="11985" xr:uid="{00000000-0005-0000-0000-0000CE2E0000}"/>
    <cellStyle name="Comma 2 2 2 2 5 7 2" xfId="11986" xr:uid="{00000000-0005-0000-0000-0000CF2E0000}"/>
    <cellStyle name="Comma 2 2 2 2 5 7 2 2" xfId="11987" xr:uid="{00000000-0005-0000-0000-0000D02E0000}"/>
    <cellStyle name="Comma 2 2 2 2 5 7 3" xfId="11988" xr:uid="{00000000-0005-0000-0000-0000D12E0000}"/>
    <cellStyle name="Comma 2 2 2 2 5 7 4" xfId="11989" xr:uid="{00000000-0005-0000-0000-0000D22E0000}"/>
    <cellStyle name="Comma 2 2 2 2 5 7 5" xfId="11990" xr:uid="{00000000-0005-0000-0000-0000D32E0000}"/>
    <cellStyle name="Comma 2 2 2 2 5 7 6" xfId="11991" xr:uid="{00000000-0005-0000-0000-0000D42E0000}"/>
    <cellStyle name="Comma 2 2 2 2 5 7 7" xfId="11992" xr:uid="{00000000-0005-0000-0000-0000D52E0000}"/>
    <cellStyle name="Comma 2 2 2 2 5 7 8" xfId="11993" xr:uid="{00000000-0005-0000-0000-0000D62E0000}"/>
    <cellStyle name="Comma 2 2 2 2 5 8" xfId="11994" xr:uid="{00000000-0005-0000-0000-0000D72E0000}"/>
    <cellStyle name="Comma 2 2 2 2 5 8 2" xfId="11995" xr:uid="{00000000-0005-0000-0000-0000D82E0000}"/>
    <cellStyle name="Comma 2 2 2 2 5 8 2 2" xfId="11996" xr:uid="{00000000-0005-0000-0000-0000D92E0000}"/>
    <cellStyle name="Comma 2 2 2 2 5 8 3" xfId="11997" xr:uid="{00000000-0005-0000-0000-0000DA2E0000}"/>
    <cellStyle name="Comma 2 2 2 2 5 8 4" xfId="11998" xr:uid="{00000000-0005-0000-0000-0000DB2E0000}"/>
    <cellStyle name="Comma 2 2 2 2 5 8 5" xfId="11999" xr:uid="{00000000-0005-0000-0000-0000DC2E0000}"/>
    <cellStyle name="Comma 2 2 2 2 5 8 6" xfId="12000" xr:uid="{00000000-0005-0000-0000-0000DD2E0000}"/>
    <cellStyle name="Comma 2 2 2 2 5 8 7" xfId="12001" xr:uid="{00000000-0005-0000-0000-0000DE2E0000}"/>
    <cellStyle name="Comma 2 2 2 2 5 8 8" xfId="12002" xr:uid="{00000000-0005-0000-0000-0000DF2E0000}"/>
    <cellStyle name="Comma 2 2 2 2 5 9" xfId="12003" xr:uid="{00000000-0005-0000-0000-0000E02E0000}"/>
    <cellStyle name="Comma 2 2 2 2 5 9 2" xfId="12004" xr:uid="{00000000-0005-0000-0000-0000E12E0000}"/>
    <cellStyle name="Comma 2 2 2 2 5 9 2 2" xfId="12005" xr:uid="{00000000-0005-0000-0000-0000E22E0000}"/>
    <cellStyle name="Comma 2 2 2 2 5 9 3" xfId="12006" xr:uid="{00000000-0005-0000-0000-0000E32E0000}"/>
    <cellStyle name="Comma 2 2 2 2 5 9 4" xfId="12007" xr:uid="{00000000-0005-0000-0000-0000E42E0000}"/>
    <cellStyle name="Comma 2 2 2 2 5 9 5" xfId="12008" xr:uid="{00000000-0005-0000-0000-0000E52E0000}"/>
    <cellStyle name="Comma 2 2 2 2 5 9 6" xfId="12009" xr:uid="{00000000-0005-0000-0000-0000E62E0000}"/>
    <cellStyle name="Comma 2 2 2 2 5 9 7" xfId="12010" xr:uid="{00000000-0005-0000-0000-0000E72E0000}"/>
    <cellStyle name="Comma 2 2 2 2 5 9 8" xfId="12011" xr:uid="{00000000-0005-0000-0000-0000E82E0000}"/>
    <cellStyle name="Comma 2 2 2 2 6" xfId="12012" xr:uid="{00000000-0005-0000-0000-0000E92E0000}"/>
    <cellStyle name="Comma 2 2 2 2 6 10" xfId="12013" xr:uid="{00000000-0005-0000-0000-0000EA2E0000}"/>
    <cellStyle name="Comma 2 2 2 2 6 10 2" xfId="12014" xr:uid="{00000000-0005-0000-0000-0000EB2E0000}"/>
    <cellStyle name="Comma 2 2 2 2 6 10 2 2" xfId="12015" xr:uid="{00000000-0005-0000-0000-0000EC2E0000}"/>
    <cellStyle name="Comma 2 2 2 2 6 10 3" xfId="12016" xr:uid="{00000000-0005-0000-0000-0000ED2E0000}"/>
    <cellStyle name="Comma 2 2 2 2 6 10 4" xfId="12017" xr:uid="{00000000-0005-0000-0000-0000EE2E0000}"/>
    <cellStyle name="Comma 2 2 2 2 6 10 5" xfId="12018" xr:uid="{00000000-0005-0000-0000-0000EF2E0000}"/>
    <cellStyle name="Comma 2 2 2 2 6 10 6" xfId="12019" xr:uid="{00000000-0005-0000-0000-0000F02E0000}"/>
    <cellStyle name="Comma 2 2 2 2 6 10 7" xfId="12020" xr:uid="{00000000-0005-0000-0000-0000F12E0000}"/>
    <cellStyle name="Comma 2 2 2 2 6 10 8" xfId="12021" xr:uid="{00000000-0005-0000-0000-0000F22E0000}"/>
    <cellStyle name="Comma 2 2 2 2 6 11" xfId="12022" xr:uid="{00000000-0005-0000-0000-0000F32E0000}"/>
    <cellStyle name="Comma 2 2 2 2 6 11 2" xfId="12023" xr:uid="{00000000-0005-0000-0000-0000F42E0000}"/>
    <cellStyle name="Comma 2 2 2 2 6 11 2 2" xfId="12024" xr:uid="{00000000-0005-0000-0000-0000F52E0000}"/>
    <cellStyle name="Comma 2 2 2 2 6 11 3" xfId="12025" xr:uid="{00000000-0005-0000-0000-0000F62E0000}"/>
    <cellStyle name="Comma 2 2 2 2 6 11 4" xfId="12026" xr:uid="{00000000-0005-0000-0000-0000F72E0000}"/>
    <cellStyle name="Comma 2 2 2 2 6 11 5" xfId="12027" xr:uid="{00000000-0005-0000-0000-0000F82E0000}"/>
    <cellStyle name="Comma 2 2 2 2 6 11 6" xfId="12028" xr:uid="{00000000-0005-0000-0000-0000F92E0000}"/>
    <cellStyle name="Comma 2 2 2 2 6 11 7" xfId="12029" xr:uid="{00000000-0005-0000-0000-0000FA2E0000}"/>
    <cellStyle name="Comma 2 2 2 2 6 11 8" xfId="12030" xr:uid="{00000000-0005-0000-0000-0000FB2E0000}"/>
    <cellStyle name="Comma 2 2 2 2 6 12" xfId="12031" xr:uid="{00000000-0005-0000-0000-0000FC2E0000}"/>
    <cellStyle name="Comma 2 2 2 2 6 12 2" xfId="12032" xr:uid="{00000000-0005-0000-0000-0000FD2E0000}"/>
    <cellStyle name="Comma 2 2 2 2 6 12 2 2" xfId="12033" xr:uid="{00000000-0005-0000-0000-0000FE2E0000}"/>
    <cellStyle name="Comma 2 2 2 2 6 12 3" xfId="12034" xr:uid="{00000000-0005-0000-0000-0000FF2E0000}"/>
    <cellStyle name="Comma 2 2 2 2 6 12 4" xfId="12035" xr:uid="{00000000-0005-0000-0000-0000002F0000}"/>
    <cellStyle name="Comma 2 2 2 2 6 12 5" xfId="12036" xr:uid="{00000000-0005-0000-0000-0000012F0000}"/>
    <cellStyle name="Comma 2 2 2 2 6 12 6" xfId="12037" xr:uid="{00000000-0005-0000-0000-0000022F0000}"/>
    <cellStyle name="Comma 2 2 2 2 6 12 7" xfId="12038" xr:uid="{00000000-0005-0000-0000-0000032F0000}"/>
    <cellStyle name="Comma 2 2 2 2 6 12 8" xfId="12039" xr:uid="{00000000-0005-0000-0000-0000042F0000}"/>
    <cellStyle name="Comma 2 2 2 2 6 13" xfId="12040" xr:uid="{00000000-0005-0000-0000-0000052F0000}"/>
    <cellStyle name="Comma 2 2 2 2 6 13 2" xfId="12041" xr:uid="{00000000-0005-0000-0000-0000062F0000}"/>
    <cellStyle name="Comma 2 2 2 2 6 13 2 2" xfId="12042" xr:uid="{00000000-0005-0000-0000-0000072F0000}"/>
    <cellStyle name="Comma 2 2 2 2 6 13 3" xfId="12043" xr:uid="{00000000-0005-0000-0000-0000082F0000}"/>
    <cellStyle name="Comma 2 2 2 2 6 13 4" xfId="12044" xr:uid="{00000000-0005-0000-0000-0000092F0000}"/>
    <cellStyle name="Comma 2 2 2 2 6 13 5" xfId="12045" xr:uid="{00000000-0005-0000-0000-00000A2F0000}"/>
    <cellStyle name="Comma 2 2 2 2 6 13 6" xfId="12046" xr:uid="{00000000-0005-0000-0000-00000B2F0000}"/>
    <cellStyle name="Comma 2 2 2 2 6 13 7" xfId="12047" xr:uid="{00000000-0005-0000-0000-00000C2F0000}"/>
    <cellStyle name="Comma 2 2 2 2 6 13 8" xfId="12048" xr:uid="{00000000-0005-0000-0000-00000D2F0000}"/>
    <cellStyle name="Comma 2 2 2 2 6 14" xfId="12049" xr:uid="{00000000-0005-0000-0000-00000E2F0000}"/>
    <cellStyle name="Comma 2 2 2 2 6 14 2" xfId="12050" xr:uid="{00000000-0005-0000-0000-00000F2F0000}"/>
    <cellStyle name="Comma 2 2 2 2 6 14 3" xfId="12051" xr:uid="{00000000-0005-0000-0000-0000102F0000}"/>
    <cellStyle name="Comma 2 2 2 2 6 15" xfId="12052" xr:uid="{00000000-0005-0000-0000-0000112F0000}"/>
    <cellStyle name="Comma 2 2 2 2 6 15 2" xfId="12053" xr:uid="{00000000-0005-0000-0000-0000122F0000}"/>
    <cellStyle name="Comma 2 2 2 2 6 16" xfId="12054" xr:uid="{00000000-0005-0000-0000-0000132F0000}"/>
    <cellStyle name="Comma 2 2 2 2 6 16 2" xfId="12055" xr:uid="{00000000-0005-0000-0000-0000142F0000}"/>
    <cellStyle name="Comma 2 2 2 2 6 17" xfId="12056" xr:uid="{00000000-0005-0000-0000-0000152F0000}"/>
    <cellStyle name="Comma 2 2 2 2 6 17 2" xfId="12057" xr:uid="{00000000-0005-0000-0000-0000162F0000}"/>
    <cellStyle name="Comma 2 2 2 2 6 18" xfId="12058" xr:uid="{00000000-0005-0000-0000-0000172F0000}"/>
    <cellStyle name="Comma 2 2 2 2 6 19" xfId="12059" xr:uid="{00000000-0005-0000-0000-0000182F0000}"/>
    <cellStyle name="Comma 2 2 2 2 6 2" xfId="12060" xr:uid="{00000000-0005-0000-0000-0000192F0000}"/>
    <cellStyle name="Comma 2 2 2 2 6 2 2" xfId="12061" xr:uid="{00000000-0005-0000-0000-00001A2F0000}"/>
    <cellStyle name="Comma 2 2 2 2 6 2 2 2" xfId="12062" xr:uid="{00000000-0005-0000-0000-00001B2F0000}"/>
    <cellStyle name="Comma 2 2 2 2 6 2 2 2 2" xfId="12063" xr:uid="{00000000-0005-0000-0000-00001C2F0000}"/>
    <cellStyle name="Comma 2 2 2 2 6 2 2 2 3" xfId="12064" xr:uid="{00000000-0005-0000-0000-00001D2F0000}"/>
    <cellStyle name="Comma 2 2 2 2 6 2 2 3" xfId="12065" xr:uid="{00000000-0005-0000-0000-00001E2F0000}"/>
    <cellStyle name="Comma 2 2 2 2 6 2 3" xfId="12066" xr:uid="{00000000-0005-0000-0000-00001F2F0000}"/>
    <cellStyle name="Comma 2 2 2 2 6 2 3 2" xfId="12067" xr:uid="{00000000-0005-0000-0000-0000202F0000}"/>
    <cellStyle name="Comma 2 2 2 2 6 2 4" xfId="12068" xr:uid="{00000000-0005-0000-0000-0000212F0000}"/>
    <cellStyle name="Comma 2 2 2 2 6 2 5" xfId="12069" xr:uid="{00000000-0005-0000-0000-0000222F0000}"/>
    <cellStyle name="Comma 2 2 2 2 6 20" xfId="12070" xr:uid="{00000000-0005-0000-0000-0000232F0000}"/>
    <cellStyle name="Comma 2 2 2 2 6 21" xfId="12071" xr:uid="{00000000-0005-0000-0000-0000242F0000}"/>
    <cellStyle name="Comma 2 2 2 2 6 22" xfId="12072" xr:uid="{00000000-0005-0000-0000-0000252F0000}"/>
    <cellStyle name="Comma 2 2 2 2 6 23" xfId="12073" xr:uid="{00000000-0005-0000-0000-0000262F0000}"/>
    <cellStyle name="Comma 2 2 2 2 6 24" xfId="12074" xr:uid="{00000000-0005-0000-0000-0000272F0000}"/>
    <cellStyle name="Comma 2 2 2 2 6 25" xfId="12075" xr:uid="{00000000-0005-0000-0000-0000282F0000}"/>
    <cellStyle name="Comma 2 2 2 2 6 3" xfId="12076" xr:uid="{00000000-0005-0000-0000-0000292F0000}"/>
    <cellStyle name="Comma 2 2 2 2 6 3 2" xfId="12077" xr:uid="{00000000-0005-0000-0000-00002A2F0000}"/>
    <cellStyle name="Comma 2 2 2 2 6 3 3" xfId="12078" xr:uid="{00000000-0005-0000-0000-00002B2F0000}"/>
    <cellStyle name="Comma 2 2 2 2 6 4" xfId="12079" xr:uid="{00000000-0005-0000-0000-00002C2F0000}"/>
    <cellStyle name="Comma 2 2 2 2 6 4 2" xfId="12080" xr:uid="{00000000-0005-0000-0000-00002D2F0000}"/>
    <cellStyle name="Comma 2 2 2 2 6 5" xfId="12081" xr:uid="{00000000-0005-0000-0000-00002E2F0000}"/>
    <cellStyle name="Comma 2 2 2 2 6 5 2" xfId="12082" xr:uid="{00000000-0005-0000-0000-00002F2F0000}"/>
    <cellStyle name="Comma 2 2 2 2 6 5 2 2" xfId="12083" xr:uid="{00000000-0005-0000-0000-0000302F0000}"/>
    <cellStyle name="Comma 2 2 2 2 6 5 3" xfId="12084" xr:uid="{00000000-0005-0000-0000-0000312F0000}"/>
    <cellStyle name="Comma 2 2 2 2 6 5 4" xfId="12085" xr:uid="{00000000-0005-0000-0000-0000322F0000}"/>
    <cellStyle name="Comma 2 2 2 2 6 5 5" xfId="12086" xr:uid="{00000000-0005-0000-0000-0000332F0000}"/>
    <cellStyle name="Comma 2 2 2 2 6 5 6" xfId="12087" xr:uid="{00000000-0005-0000-0000-0000342F0000}"/>
    <cellStyle name="Comma 2 2 2 2 6 5 7" xfId="12088" xr:uid="{00000000-0005-0000-0000-0000352F0000}"/>
    <cellStyle name="Comma 2 2 2 2 6 5 8" xfId="12089" xr:uid="{00000000-0005-0000-0000-0000362F0000}"/>
    <cellStyle name="Comma 2 2 2 2 6 6" xfId="12090" xr:uid="{00000000-0005-0000-0000-0000372F0000}"/>
    <cellStyle name="Comma 2 2 2 2 6 6 2" xfId="12091" xr:uid="{00000000-0005-0000-0000-0000382F0000}"/>
    <cellStyle name="Comma 2 2 2 2 6 7" xfId="12092" xr:uid="{00000000-0005-0000-0000-0000392F0000}"/>
    <cellStyle name="Comma 2 2 2 2 6 7 2" xfId="12093" xr:uid="{00000000-0005-0000-0000-00003A2F0000}"/>
    <cellStyle name="Comma 2 2 2 2 6 7 2 2" xfId="12094" xr:uid="{00000000-0005-0000-0000-00003B2F0000}"/>
    <cellStyle name="Comma 2 2 2 2 6 7 3" xfId="12095" xr:uid="{00000000-0005-0000-0000-00003C2F0000}"/>
    <cellStyle name="Comma 2 2 2 2 6 7 4" xfId="12096" xr:uid="{00000000-0005-0000-0000-00003D2F0000}"/>
    <cellStyle name="Comma 2 2 2 2 6 7 5" xfId="12097" xr:uid="{00000000-0005-0000-0000-00003E2F0000}"/>
    <cellStyle name="Comma 2 2 2 2 6 7 6" xfId="12098" xr:uid="{00000000-0005-0000-0000-00003F2F0000}"/>
    <cellStyle name="Comma 2 2 2 2 6 7 7" xfId="12099" xr:uid="{00000000-0005-0000-0000-0000402F0000}"/>
    <cellStyle name="Comma 2 2 2 2 6 7 8" xfId="12100" xr:uid="{00000000-0005-0000-0000-0000412F0000}"/>
    <cellStyle name="Comma 2 2 2 2 6 8" xfId="12101" xr:uid="{00000000-0005-0000-0000-0000422F0000}"/>
    <cellStyle name="Comma 2 2 2 2 6 8 2" xfId="12102" xr:uid="{00000000-0005-0000-0000-0000432F0000}"/>
    <cellStyle name="Comma 2 2 2 2 6 8 2 2" xfId="12103" xr:uid="{00000000-0005-0000-0000-0000442F0000}"/>
    <cellStyle name="Comma 2 2 2 2 6 8 3" xfId="12104" xr:uid="{00000000-0005-0000-0000-0000452F0000}"/>
    <cellStyle name="Comma 2 2 2 2 6 8 4" xfId="12105" xr:uid="{00000000-0005-0000-0000-0000462F0000}"/>
    <cellStyle name="Comma 2 2 2 2 6 8 5" xfId="12106" xr:uid="{00000000-0005-0000-0000-0000472F0000}"/>
    <cellStyle name="Comma 2 2 2 2 6 8 6" xfId="12107" xr:uid="{00000000-0005-0000-0000-0000482F0000}"/>
    <cellStyle name="Comma 2 2 2 2 6 8 7" xfId="12108" xr:uid="{00000000-0005-0000-0000-0000492F0000}"/>
    <cellStyle name="Comma 2 2 2 2 6 8 8" xfId="12109" xr:uid="{00000000-0005-0000-0000-00004A2F0000}"/>
    <cellStyle name="Comma 2 2 2 2 6 9" xfId="12110" xr:uid="{00000000-0005-0000-0000-00004B2F0000}"/>
    <cellStyle name="Comma 2 2 2 2 6 9 2" xfId="12111" xr:uid="{00000000-0005-0000-0000-00004C2F0000}"/>
    <cellStyle name="Comma 2 2 2 2 6 9 2 2" xfId="12112" xr:uid="{00000000-0005-0000-0000-00004D2F0000}"/>
    <cellStyle name="Comma 2 2 2 2 6 9 3" xfId="12113" xr:uid="{00000000-0005-0000-0000-00004E2F0000}"/>
    <cellStyle name="Comma 2 2 2 2 6 9 4" xfId="12114" xr:uid="{00000000-0005-0000-0000-00004F2F0000}"/>
    <cellStyle name="Comma 2 2 2 2 6 9 5" xfId="12115" xr:uid="{00000000-0005-0000-0000-0000502F0000}"/>
    <cellStyle name="Comma 2 2 2 2 6 9 6" xfId="12116" xr:uid="{00000000-0005-0000-0000-0000512F0000}"/>
    <cellStyle name="Comma 2 2 2 2 6 9 7" xfId="12117" xr:uid="{00000000-0005-0000-0000-0000522F0000}"/>
    <cellStyle name="Comma 2 2 2 2 6 9 8" xfId="12118" xr:uid="{00000000-0005-0000-0000-0000532F0000}"/>
    <cellStyle name="Comma 2 2 2 2 7" xfId="12119" xr:uid="{00000000-0005-0000-0000-0000542F0000}"/>
    <cellStyle name="Comma 2 2 2 2 7 10" xfId="12120" xr:uid="{00000000-0005-0000-0000-0000552F0000}"/>
    <cellStyle name="Comma 2 2 2 2 7 10 2" xfId="12121" xr:uid="{00000000-0005-0000-0000-0000562F0000}"/>
    <cellStyle name="Comma 2 2 2 2 7 10 2 2" xfId="12122" xr:uid="{00000000-0005-0000-0000-0000572F0000}"/>
    <cellStyle name="Comma 2 2 2 2 7 10 3" xfId="12123" xr:uid="{00000000-0005-0000-0000-0000582F0000}"/>
    <cellStyle name="Comma 2 2 2 2 7 10 4" xfId="12124" xr:uid="{00000000-0005-0000-0000-0000592F0000}"/>
    <cellStyle name="Comma 2 2 2 2 7 10 5" xfId="12125" xr:uid="{00000000-0005-0000-0000-00005A2F0000}"/>
    <cellStyle name="Comma 2 2 2 2 7 10 6" xfId="12126" xr:uid="{00000000-0005-0000-0000-00005B2F0000}"/>
    <cellStyle name="Comma 2 2 2 2 7 10 7" xfId="12127" xr:uid="{00000000-0005-0000-0000-00005C2F0000}"/>
    <cellStyle name="Comma 2 2 2 2 7 10 8" xfId="12128" xr:uid="{00000000-0005-0000-0000-00005D2F0000}"/>
    <cellStyle name="Comma 2 2 2 2 7 11" xfId="12129" xr:uid="{00000000-0005-0000-0000-00005E2F0000}"/>
    <cellStyle name="Comma 2 2 2 2 7 11 2" xfId="12130" xr:uid="{00000000-0005-0000-0000-00005F2F0000}"/>
    <cellStyle name="Comma 2 2 2 2 7 11 2 2" xfId="12131" xr:uid="{00000000-0005-0000-0000-0000602F0000}"/>
    <cellStyle name="Comma 2 2 2 2 7 11 3" xfId="12132" xr:uid="{00000000-0005-0000-0000-0000612F0000}"/>
    <cellStyle name="Comma 2 2 2 2 7 11 4" xfId="12133" xr:uid="{00000000-0005-0000-0000-0000622F0000}"/>
    <cellStyle name="Comma 2 2 2 2 7 11 5" xfId="12134" xr:uid="{00000000-0005-0000-0000-0000632F0000}"/>
    <cellStyle name="Comma 2 2 2 2 7 11 6" xfId="12135" xr:uid="{00000000-0005-0000-0000-0000642F0000}"/>
    <cellStyle name="Comma 2 2 2 2 7 11 7" xfId="12136" xr:uid="{00000000-0005-0000-0000-0000652F0000}"/>
    <cellStyle name="Comma 2 2 2 2 7 11 8" xfId="12137" xr:uid="{00000000-0005-0000-0000-0000662F0000}"/>
    <cellStyle name="Comma 2 2 2 2 7 12" xfId="12138" xr:uid="{00000000-0005-0000-0000-0000672F0000}"/>
    <cellStyle name="Comma 2 2 2 2 7 12 2" xfId="12139" xr:uid="{00000000-0005-0000-0000-0000682F0000}"/>
    <cellStyle name="Comma 2 2 2 2 7 12 2 2" xfId="12140" xr:uid="{00000000-0005-0000-0000-0000692F0000}"/>
    <cellStyle name="Comma 2 2 2 2 7 12 3" xfId="12141" xr:uid="{00000000-0005-0000-0000-00006A2F0000}"/>
    <cellStyle name="Comma 2 2 2 2 7 12 4" xfId="12142" xr:uid="{00000000-0005-0000-0000-00006B2F0000}"/>
    <cellStyle name="Comma 2 2 2 2 7 12 5" xfId="12143" xr:uid="{00000000-0005-0000-0000-00006C2F0000}"/>
    <cellStyle name="Comma 2 2 2 2 7 12 6" xfId="12144" xr:uid="{00000000-0005-0000-0000-00006D2F0000}"/>
    <cellStyle name="Comma 2 2 2 2 7 12 7" xfId="12145" xr:uid="{00000000-0005-0000-0000-00006E2F0000}"/>
    <cellStyle name="Comma 2 2 2 2 7 12 8" xfId="12146" xr:uid="{00000000-0005-0000-0000-00006F2F0000}"/>
    <cellStyle name="Comma 2 2 2 2 7 13" xfId="12147" xr:uid="{00000000-0005-0000-0000-0000702F0000}"/>
    <cellStyle name="Comma 2 2 2 2 7 13 2" xfId="12148" xr:uid="{00000000-0005-0000-0000-0000712F0000}"/>
    <cellStyle name="Comma 2 2 2 2 7 13 2 2" xfId="12149" xr:uid="{00000000-0005-0000-0000-0000722F0000}"/>
    <cellStyle name="Comma 2 2 2 2 7 13 3" xfId="12150" xr:uid="{00000000-0005-0000-0000-0000732F0000}"/>
    <cellStyle name="Comma 2 2 2 2 7 13 4" xfId="12151" xr:uid="{00000000-0005-0000-0000-0000742F0000}"/>
    <cellStyle name="Comma 2 2 2 2 7 13 5" xfId="12152" xr:uid="{00000000-0005-0000-0000-0000752F0000}"/>
    <cellStyle name="Comma 2 2 2 2 7 13 6" xfId="12153" xr:uid="{00000000-0005-0000-0000-0000762F0000}"/>
    <cellStyle name="Comma 2 2 2 2 7 13 7" xfId="12154" xr:uid="{00000000-0005-0000-0000-0000772F0000}"/>
    <cellStyle name="Comma 2 2 2 2 7 13 8" xfId="12155" xr:uid="{00000000-0005-0000-0000-0000782F0000}"/>
    <cellStyle name="Comma 2 2 2 2 7 14" xfId="12156" xr:uid="{00000000-0005-0000-0000-0000792F0000}"/>
    <cellStyle name="Comma 2 2 2 2 7 14 2" xfId="12157" xr:uid="{00000000-0005-0000-0000-00007A2F0000}"/>
    <cellStyle name="Comma 2 2 2 2 7 14 3" xfId="12158" xr:uid="{00000000-0005-0000-0000-00007B2F0000}"/>
    <cellStyle name="Comma 2 2 2 2 7 15" xfId="12159" xr:uid="{00000000-0005-0000-0000-00007C2F0000}"/>
    <cellStyle name="Comma 2 2 2 2 7 15 2" xfId="12160" xr:uid="{00000000-0005-0000-0000-00007D2F0000}"/>
    <cellStyle name="Comma 2 2 2 2 7 16" xfId="12161" xr:uid="{00000000-0005-0000-0000-00007E2F0000}"/>
    <cellStyle name="Comma 2 2 2 2 7 16 2" xfId="12162" xr:uid="{00000000-0005-0000-0000-00007F2F0000}"/>
    <cellStyle name="Comma 2 2 2 2 7 17" xfId="12163" xr:uid="{00000000-0005-0000-0000-0000802F0000}"/>
    <cellStyle name="Comma 2 2 2 2 7 17 2" xfId="12164" xr:uid="{00000000-0005-0000-0000-0000812F0000}"/>
    <cellStyle name="Comma 2 2 2 2 7 18" xfId="12165" xr:uid="{00000000-0005-0000-0000-0000822F0000}"/>
    <cellStyle name="Comma 2 2 2 2 7 19" xfId="12166" xr:uid="{00000000-0005-0000-0000-0000832F0000}"/>
    <cellStyle name="Comma 2 2 2 2 7 2" xfId="12167" xr:uid="{00000000-0005-0000-0000-0000842F0000}"/>
    <cellStyle name="Comma 2 2 2 2 7 2 2" xfId="12168" xr:uid="{00000000-0005-0000-0000-0000852F0000}"/>
    <cellStyle name="Comma 2 2 2 2 7 2 2 2" xfId="12169" xr:uid="{00000000-0005-0000-0000-0000862F0000}"/>
    <cellStyle name="Comma 2 2 2 2 7 2 2 3" xfId="12170" xr:uid="{00000000-0005-0000-0000-0000872F0000}"/>
    <cellStyle name="Comma 2 2 2 2 7 2 3" xfId="12171" xr:uid="{00000000-0005-0000-0000-0000882F0000}"/>
    <cellStyle name="Comma 2 2 2 2 7 2 4" xfId="12172" xr:uid="{00000000-0005-0000-0000-0000892F0000}"/>
    <cellStyle name="Comma 2 2 2 2 7 2 5" xfId="12173" xr:uid="{00000000-0005-0000-0000-00008A2F0000}"/>
    <cellStyle name="Comma 2 2 2 2 7 20" xfId="12174" xr:uid="{00000000-0005-0000-0000-00008B2F0000}"/>
    <cellStyle name="Comma 2 2 2 2 7 21" xfId="12175" xr:uid="{00000000-0005-0000-0000-00008C2F0000}"/>
    <cellStyle name="Comma 2 2 2 2 7 22" xfId="12176" xr:uid="{00000000-0005-0000-0000-00008D2F0000}"/>
    <cellStyle name="Comma 2 2 2 2 7 23" xfId="12177" xr:uid="{00000000-0005-0000-0000-00008E2F0000}"/>
    <cellStyle name="Comma 2 2 2 2 7 24" xfId="12178" xr:uid="{00000000-0005-0000-0000-00008F2F0000}"/>
    <cellStyle name="Comma 2 2 2 2 7 25" xfId="12179" xr:uid="{00000000-0005-0000-0000-0000902F0000}"/>
    <cellStyle name="Comma 2 2 2 2 7 3" xfId="12180" xr:uid="{00000000-0005-0000-0000-0000912F0000}"/>
    <cellStyle name="Comma 2 2 2 2 7 3 2" xfId="12181" xr:uid="{00000000-0005-0000-0000-0000922F0000}"/>
    <cellStyle name="Comma 2 2 2 2 7 3 3" xfId="12182" xr:uid="{00000000-0005-0000-0000-0000932F0000}"/>
    <cellStyle name="Comma 2 2 2 2 7 4" xfId="12183" xr:uid="{00000000-0005-0000-0000-0000942F0000}"/>
    <cellStyle name="Comma 2 2 2 2 7 4 2" xfId="12184" xr:uid="{00000000-0005-0000-0000-0000952F0000}"/>
    <cellStyle name="Comma 2 2 2 2 7 5" xfId="12185" xr:uid="{00000000-0005-0000-0000-0000962F0000}"/>
    <cellStyle name="Comma 2 2 2 2 7 5 2" xfId="12186" xr:uid="{00000000-0005-0000-0000-0000972F0000}"/>
    <cellStyle name="Comma 2 2 2 2 7 5 2 2" xfId="12187" xr:uid="{00000000-0005-0000-0000-0000982F0000}"/>
    <cellStyle name="Comma 2 2 2 2 7 5 3" xfId="12188" xr:uid="{00000000-0005-0000-0000-0000992F0000}"/>
    <cellStyle name="Comma 2 2 2 2 7 5 4" xfId="12189" xr:uid="{00000000-0005-0000-0000-00009A2F0000}"/>
    <cellStyle name="Comma 2 2 2 2 7 5 5" xfId="12190" xr:uid="{00000000-0005-0000-0000-00009B2F0000}"/>
    <cellStyle name="Comma 2 2 2 2 7 5 6" xfId="12191" xr:uid="{00000000-0005-0000-0000-00009C2F0000}"/>
    <cellStyle name="Comma 2 2 2 2 7 5 7" xfId="12192" xr:uid="{00000000-0005-0000-0000-00009D2F0000}"/>
    <cellStyle name="Comma 2 2 2 2 7 5 8" xfId="12193" xr:uid="{00000000-0005-0000-0000-00009E2F0000}"/>
    <cellStyle name="Comma 2 2 2 2 7 6" xfId="12194" xr:uid="{00000000-0005-0000-0000-00009F2F0000}"/>
    <cellStyle name="Comma 2 2 2 2 7 6 2" xfId="12195" xr:uid="{00000000-0005-0000-0000-0000A02F0000}"/>
    <cellStyle name="Comma 2 2 2 2 7 7" xfId="12196" xr:uid="{00000000-0005-0000-0000-0000A12F0000}"/>
    <cellStyle name="Comma 2 2 2 2 7 7 2" xfId="12197" xr:uid="{00000000-0005-0000-0000-0000A22F0000}"/>
    <cellStyle name="Comma 2 2 2 2 7 7 2 2" xfId="12198" xr:uid="{00000000-0005-0000-0000-0000A32F0000}"/>
    <cellStyle name="Comma 2 2 2 2 7 7 3" xfId="12199" xr:uid="{00000000-0005-0000-0000-0000A42F0000}"/>
    <cellStyle name="Comma 2 2 2 2 7 7 4" xfId="12200" xr:uid="{00000000-0005-0000-0000-0000A52F0000}"/>
    <cellStyle name="Comma 2 2 2 2 7 7 5" xfId="12201" xr:uid="{00000000-0005-0000-0000-0000A62F0000}"/>
    <cellStyle name="Comma 2 2 2 2 7 7 6" xfId="12202" xr:uid="{00000000-0005-0000-0000-0000A72F0000}"/>
    <cellStyle name="Comma 2 2 2 2 7 7 7" xfId="12203" xr:uid="{00000000-0005-0000-0000-0000A82F0000}"/>
    <cellStyle name="Comma 2 2 2 2 7 7 8" xfId="12204" xr:uid="{00000000-0005-0000-0000-0000A92F0000}"/>
    <cellStyle name="Comma 2 2 2 2 7 8" xfId="12205" xr:uid="{00000000-0005-0000-0000-0000AA2F0000}"/>
    <cellStyle name="Comma 2 2 2 2 7 8 2" xfId="12206" xr:uid="{00000000-0005-0000-0000-0000AB2F0000}"/>
    <cellStyle name="Comma 2 2 2 2 7 8 2 2" xfId="12207" xr:uid="{00000000-0005-0000-0000-0000AC2F0000}"/>
    <cellStyle name="Comma 2 2 2 2 7 8 3" xfId="12208" xr:uid="{00000000-0005-0000-0000-0000AD2F0000}"/>
    <cellStyle name="Comma 2 2 2 2 7 8 4" xfId="12209" xr:uid="{00000000-0005-0000-0000-0000AE2F0000}"/>
    <cellStyle name="Comma 2 2 2 2 7 8 5" xfId="12210" xr:uid="{00000000-0005-0000-0000-0000AF2F0000}"/>
    <cellStyle name="Comma 2 2 2 2 7 8 6" xfId="12211" xr:uid="{00000000-0005-0000-0000-0000B02F0000}"/>
    <cellStyle name="Comma 2 2 2 2 7 8 7" xfId="12212" xr:uid="{00000000-0005-0000-0000-0000B12F0000}"/>
    <cellStyle name="Comma 2 2 2 2 7 8 8" xfId="12213" xr:uid="{00000000-0005-0000-0000-0000B22F0000}"/>
    <cellStyle name="Comma 2 2 2 2 7 9" xfId="12214" xr:uid="{00000000-0005-0000-0000-0000B32F0000}"/>
    <cellStyle name="Comma 2 2 2 2 7 9 2" xfId="12215" xr:uid="{00000000-0005-0000-0000-0000B42F0000}"/>
    <cellStyle name="Comma 2 2 2 2 7 9 2 2" xfId="12216" xr:uid="{00000000-0005-0000-0000-0000B52F0000}"/>
    <cellStyle name="Comma 2 2 2 2 7 9 3" xfId="12217" xr:uid="{00000000-0005-0000-0000-0000B62F0000}"/>
    <cellStyle name="Comma 2 2 2 2 7 9 4" xfId="12218" xr:uid="{00000000-0005-0000-0000-0000B72F0000}"/>
    <cellStyle name="Comma 2 2 2 2 7 9 5" xfId="12219" xr:uid="{00000000-0005-0000-0000-0000B82F0000}"/>
    <cellStyle name="Comma 2 2 2 2 7 9 6" xfId="12220" xr:uid="{00000000-0005-0000-0000-0000B92F0000}"/>
    <cellStyle name="Comma 2 2 2 2 7 9 7" xfId="12221" xr:uid="{00000000-0005-0000-0000-0000BA2F0000}"/>
    <cellStyle name="Comma 2 2 2 2 7 9 8" xfId="12222" xr:uid="{00000000-0005-0000-0000-0000BB2F0000}"/>
    <cellStyle name="Comma 2 2 2 2 8" xfId="12223" xr:uid="{00000000-0005-0000-0000-0000BC2F0000}"/>
    <cellStyle name="Comma 2 2 2 2 8 10" xfId="12224" xr:uid="{00000000-0005-0000-0000-0000BD2F0000}"/>
    <cellStyle name="Comma 2 2 2 2 8 10 2" xfId="12225" xr:uid="{00000000-0005-0000-0000-0000BE2F0000}"/>
    <cellStyle name="Comma 2 2 2 2 8 10 2 2" xfId="12226" xr:uid="{00000000-0005-0000-0000-0000BF2F0000}"/>
    <cellStyle name="Comma 2 2 2 2 8 10 3" xfId="12227" xr:uid="{00000000-0005-0000-0000-0000C02F0000}"/>
    <cellStyle name="Comma 2 2 2 2 8 10 4" xfId="12228" xr:uid="{00000000-0005-0000-0000-0000C12F0000}"/>
    <cellStyle name="Comma 2 2 2 2 8 10 5" xfId="12229" xr:uid="{00000000-0005-0000-0000-0000C22F0000}"/>
    <cellStyle name="Comma 2 2 2 2 8 10 6" xfId="12230" xr:uid="{00000000-0005-0000-0000-0000C32F0000}"/>
    <cellStyle name="Comma 2 2 2 2 8 10 7" xfId="12231" xr:uid="{00000000-0005-0000-0000-0000C42F0000}"/>
    <cellStyle name="Comma 2 2 2 2 8 10 8" xfId="12232" xr:uid="{00000000-0005-0000-0000-0000C52F0000}"/>
    <cellStyle name="Comma 2 2 2 2 8 11" xfId="12233" xr:uid="{00000000-0005-0000-0000-0000C62F0000}"/>
    <cellStyle name="Comma 2 2 2 2 8 11 2" xfId="12234" xr:uid="{00000000-0005-0000-0000-0000C72F0000}"/>
    <cellStyle name="Comma 2 2 2 2 8 11 2 2" xfId="12235" xr:uid="{00000000-0005-0000-0000-0000C82F0000}"/>
    <cellStyle name="Comma 2 2 2 2 8 11 3" xfId="12236" xr:uid="{00000000-0005-0000-0000-0000C92F0000}"/>
    <cellStyle name="Comma 2 2 2 2 8 11 4" xfId="12237" xr:uid="{00000000-0005-0000-0000-0000CA2F0000}"/>
    <cellStyle name="Comma 2 2 2 2 8 11 5" xfId="12238" xr:uid="{00000000-0005-0000-0000-0000CB2F0000}"/>
    <cellStyle name="Comma 2 2 2 2 8 11 6" xfId="12239" xr:uid="{00000000-0005-0000-0000-0000CC2F0000}"/>
    <cellStyle name="Comma 2 2 2 2 8 11 7" xfId="12240" xr:uid="{00000000-0005-0000-0000-0000CD2F0000}"/>
    <cellStyle name="Comma 2 2 2 2 8 11 8" xfId="12241" xr:uid="{00000000-0005-0000-0000-0000CE2F0000}"/>
    <cellStyle name="Comma 2 2 2 2 8 12" xfId="12242" xr:uid="{00000000-0005-0000-0000-0000CF2F0000}"/>
    <cellStyle name="Comma 2 2 2 2 8 12 2" xfId="12243" xr:uid="{00000000-0005-0000-0000-0000D02F0000}"/>
    <cellStyle name="Comma 2 2 2 2 8 12 2 2" xfId="12244" xr:uid="{00000000-0005-0000-0000-0000D12F0000}"/>
    <cellStyle name="Comma 2 2 2 2 8 12 3" xfId="12245" xr:uid="{00000000-0005-0000-0000-0000D22F0000}"/>
    <cellStyle name="Comma 2 2 2 2 8 12 4" xfId="12246" xr:uid="{00000000-0005-0000-0000-0000D32F0000}"/>
    <cellStyle name="Comma 2 2 2 2 8 12 5" xfId="12247" xr:uid="{00000000-0005-0000-0000-0000D42F0000}"/>
    <cellStyle name="Comma 2 2 2 2 8 12 6" xfId="12248" xr:uid="{00000000-0005-0000-0000-0000D52F0000}"/>
    <cellStyle name="Comma 2 2 2 2 8 12 7" xfId="12249" xr:uid="{00000000-0005-0000-0000-0000D62F0000}"/>
    <cellStyle name="Comma 2 2 2 2 8 12 8" xfId="12250" xr:uid="{00000000-0005-0000-0000-0000D72F0000}"/>
    <cellStyle name="Comma 2 2 2 2 8 13" xfId="12251" xr:uid="{00000000-0005-0000-0000-0000D82F0000}"/>
    <cellStyle name="Comma 2 2 2 2 8 13 2" xfId="12252" xr:uid="{00000000-0005-0000-0000-0000D92F0000}"/>
    <cellStyle name="Comma 2 2 2 2 8 13 2 2" xfId="12253" xr:uid="{00000000-0005-0000-0000-0000DA2F0000}"/>
    <cellStyle name="Comma 2 2 2 2 8 13 3" xfId="12254" xr:uid="{00000000-0005-0000-0000-0000DB2F0000}"/>
    <cellStyle name="Comma 2 2 2 2 8 13 4" xfId="12255" xr:uid="{00000000-0005-0000-0000-0000DC2F0000}"/>
    <cellStyle name="Comma 2 2 2 2 8 13 5" xfId="12256" xr:uid="{00000000-0005-0000-0000-0000DD2F0000}"/>
    <cellStyle name="Comma 2 2 2 2 8 13 6" xfId="12257" xr:uid="{00000000-0005-0000-0000-0000DE2F0000}"/>
    <cellStyle name="Comma 2 2 2 2 8 13 7" xfId="12258" xr:uid="{00000000-0005-0000-0000-0000DF2F0000}"/>
    <cellStyle name="Comma 2 2 2 2 8 13 8" xfId="12259" xr:uid="{00000000-0005-0000-0000-0000E02F0000}"/>
    <cellStyle name="Comma 2 2 2 2 8 14" xfId="12260" xr:uid="{00000000-0005-0000-0000-0000E12F0000}"/>
    <cellStyle name="Comma 2 2 2 2 8 14 2" xfId="12261" xr:uid="{00000000-0005-0000-0000-0000E22F0000}"/>
    <cellStyle name="Comma 2 2 2 2 8 14 3" xfId="12262" xr:uid="{00000000-0005-0000-0000-0000E32F0000}"/>
    <cellStyle name="Comma 2 2 2 2 8 15" xfId="12263" xr:uid="{00000000-0005-0000-0000-0000E42F0000}"/>
    <cellStyle name="Comma 2 2 2 2 8 15 2" xfId="12264" xr:uid="{00000000-0005-0000-0000-0000E52F0000}"/>
    <cellStyle name="Comma 2 2 2 2 8 16" xfId="12265" xr:uid="{00000000-0005-0000-0000-0000E62F0000}"/>
    <cellStyle name="Comma 2 2 2 2 8 16 2" xfId="12266" xr:uid="{00000000-0005-0000-0000-0000E72F0000}"/>
    <cellStyle name="Comma 2 2 2 2 8 17" xfId="12267" xr:uid="{00000000-0005-0000-0000-0000E82F0000}"/>
    <cellStyle name="Comma 2 2 2 2 8 17 2" xfId="12268" xr:uid="{00000000-0005-0000-0000-0000E92F0000}"/>
    <cellStyle name="Comma 2 2 2 2 8 18" xfId="12269" xr:uid="{00000000-0005-0000-0000-0000EA2F0000}"/>
    <cellStyle name="Comma 2 2 2 2 8 19" xfId="12270" xr:uid="{00000000-0005-0000-0000-0000EB2F0000}"/>
    <cellStyle name="Comma 2 2 2 2 8 2" xfId="12271" xr:uid="{00000000-0005-0000-0000-0000EC2F0000}"/>
    <cellStyle name="Comma 2 2 2 2 8 2 2" xfId="12272" xr:uid="{00000000-0005-0000-0000-0000ED2F0000}"/>
    <cellStyle name="Comma 2 2 2 2 8 2 3" xfId="12273" xr:uid="{00000000-0005-0000-0000-0000EE2F0000}"/>
    <cellStyle name="Comma 2 2 2 2 8 2 4" xfId="12274" xr:uid="{00000000-0005-0000-0000-0000EF2F0000}"/>
    <cellStyle name="Comma 2 2 2 2 8 2 5" xfId="12275" xr:uid="{00000000-0005-0000-0000-0000F02F0000}"/>
    <cellStyle name="Comma 2 2 2 2 8 20" xfId="12276" xr:uid="{00000000-0005-0000-0000-0000F12F0000}"/>
    <cellStyle name="Comma 2 2 2 2 8 21" xfId="12277" xr:uid="{00000000-0005-0000-0000-0000F22F0000}"/>
    <cellStyle name="Comma 2 2 2 2 8 22" xfId="12278" xr:uid="{00000000-0005-0000-0000-0000F32F0000}"/>
    <cellStyle name="Comma 2 2 2 2 8 23" xfId="12279" xr:uid="{00000000-0005-0000-0000-0000F42F0000}"/>
    <cellStyle name="Comma 2 2 2 2 8 24" xfId="12280" xr:uid="{00000000-0005-0000-0000-0000F52F0000}"/>
    <cellStyle name="Comma 2 2 2 2 8 25" xfId="12281" xr:uid="{00000000-0005-0000-0000-0000F62F0000}"/>
    <cellStyle name="Comma 2 2 2 2 8 3" xfId="12282" xr:uid="{00000000-0005-0000-0000-0000F72F0000}"/>
    <cellStyle name="Comma 2 2 2 2 8 3 2" xfId="12283" xr:uid="{00000000-0005-0000-0000-0000F82F0000}"/>
    <cellStyle name="Comma 2 2 2 2 8 3 3" xfId="12284" xr:uid="{00000000-0005-0000-0000-0000F92F0000}"/>
    <cellStyle name="Comma 2 2 2 2 8 4" xfId="12285" xr:uid="{00000000-0005-0000-0000-0000FA2F0000}"/>
    <cellStyle name="Comma 2 2 2 2 8 4 2" xfId="12286" xr:uid="{00000000-0005-0000-0000-0000FB2F0000}"/>
    <cellStyle name="Comma 2 2 2 2 8 5" xfId="12287" xr:uid="{00000000-0005-0000-0000-0000FC2F0000}"/>
    <cellStyle name="Comma 2 2 2 2 8 5 2" xfId="12288" xr:uid="{00000000-0005-0000-0000-0000FD2F0000}"/>
    <cellStyle name="Comma 2 2 2 2 8 5 2 2" xfId="12289" xr:uid="{00000000-0005-0000-0000-0000FE2F0000}"/>
    <cellStyle name="Comma 2 2 2 2 8 5 3" xfId="12290" xr:uid="{00000000-0005-0000-0000-0000FF2F0000}"/>
    <cellStyle name="Comma 2 2 2 2 8 5 4" xfId="12291" xr:uid="{00000000-0005-0000-0000-000000300000}"/>
    <cellStyle name="Comma 2 2 2 2 8 5 5" xfId="12292" xr:uid="{00000000-0005-0000-0000-000001300000}"/>
    <cellStyle name="Comma 2 2 2 2 8 5 6" xfId="12293" xr:uid="{00000000-0005-0000-0000-000002300000}"/>
    <cellStyle name="Comma 2 2 2 2 8 5 7" xfId="12294" xr:uid="{00000000-0005-0000-0000-000003300000}"/>
    <cellStyle name="Comma 2 2 2 2 8 5 8" xfId="12295" xr:uid="{00000000-0005-0000-0000-000004300000}"/>
    <cellStyle name="Comma 2 2 2 2 8 6" xfId="12296" xr:uid="{00000000-0005-0000-0000-000005300000}"/>
    <cellStyle name="Comma 2 2 2 2 8 6 2" xfId="12297" xr:uid="{00000000-0005-0000-0000-000006300000}"/>
    <cellStyle name="Comma 2 2 2 2 8 7" xfId="12298" xr:uid="{00000000-0005-0000-0000-000007300000}"/>
    <cellStyle name="Comma 2 2 2 2 8 7 2" xfId="12299" xr:uid="{00000000-0005-0000-0000-000008300000}"/>
    <cellStyle name="Comma 2 2 2 2 8 7 2 2" xfId="12300" xr:uid="{00000000-0005-0000-0000-000009300000}"/>
    <cellStyle name="Comma 2 2 2 2 8 7 3" xfId="12301" xr:uid="{00000000-0005-0000-0000-00000A300000}"/>
    <cellStyle name="Comma 2 2 2 2 8 7 4" xfId="12302" xr:uid="{00000000-0005-0000-0000-00000B300000}"/>
    <cellStyle name="Comma 2 2 2 2 8 7 5" xfId="12303" xr:uid="{00000000-0005-0000-0000-00000C300000}"/>
    <cellStyle name="Comma 2 2 2 2 8 7 6" xfId="12304" xr:uid="{00000000-0005-0000-0000-00000D300000}"/>
    <cellStyle name="Comma 2 2 2 2 8 7 7" xfId="12305" xr:uid="{00000000-0005-0000-0000-00000E300000}"/>
    <cellStyle name="Comma 2 2 2 2 8 7 8" xfId="12306" xr:uid="{00000000-0005-0000-0000-00000F300000}"/>
    <cellStyle name="Comma 2 2 2 2 8 8" xfId="12307" xr:uid="{00000000-0005-0000-0000-000010300000}"/>
    <cellStyle name="Comma 2 2 2 2 8 8 2" xfId="12308" xr:uid="{00000000-0005-0000-0000-000011300000}"/>
    <cellStyle name="Comma 2 2 2 2 8 8 2 2" xfId="12309" xr:uid="{00000000-0005-0000-0000-000012300000}"/>
    <cellStyle name="Comma 2 2 2 2 8 8 3" xfId="12310" xr:uid="{00000000-0005-0000-0000-000013300000}"/>
    <cellStyle name="Comma 2 2 2 2 8 8 4" xfId="12311" xr:uid="{00000000-0005-0000-0000-000014300000}"/>
    <cellStyle name="Comma 2 2 2 2 8 8 5" xfId="12312" xr:uid="{00000000-0005-0000-0000-000015300000}"/>
    <cellStyle name="Comma 2 2 2 2 8 8 6" xfId="12313" xr:uid="{00000000-0005-0000-0000-000016300000}"/>
    <cellStyle name="Comma 2 2 2 2 8 8 7" xfId="12314" xr:uid="{00000000-0005-0000-0000-000017300000}"/>
    <cellStyle name="Comma 2 2 2 2 8 8 8" xfId="12315" xr:uid="{00000000-0005-0000-0000-000018300000}"/>
    <cellStyle name="Comma 2 2 2 2 8 9" xfId="12316" xr:uid="{00000000-0005-0000-0000-000019300000}"/>
    <cellStyle name="Comma 2 2 2 2 8 9 2" xfId="12317" xr:uid="{00000000-0005-0000-0000-00001A300000}"/>
    <cellStyle name="Comma 2 2 2 2 8 9 2 2" xfId="12318" xr:uid="{00000000-0005-0000-0000-00001B300000}"/>
    <cellStyle name="Comma 2 2 2 2 8 9 3" xfId="12319" xr:uid="{00000000-0005-0000-0000-00001C300000}"/>
    <cellStyle name="Comma 2 2 2 2 8 9 4" xfId="12320" xr:uid="{00000000-0005-0000-0000-00001D300000}"/>
    <cellStyle name="Comma 2 2 2 2 8 9 5" xfId="12321" xr:uid="{00000000-0005-0000-0000-00001E300000}"/>
    <cellStyle name="Comma 2 2 2 2 8 9 6" xfId="12322" xr:uid="{00000000-0005-0000-0000-00001F300000}"/>
    <cellStyle name="Comma 2 2 2 2 8 9 7" xfId="12323" xr:uid="{00000000-0005-0000-0000-000020300000}"/>
    <cellStyle name="Comma 2 2 2 2 8 9 8" xfId="12324" xr:uid="{00000000-0005-0000-0000-000021300000}"/>
    <cellStyle name="Comma 2 2 2 2 9" xfId="12325" xr:uid="{00000000-0005-0000-0000-000022300000}"/>
    <cellStyle name="Comma 2 2 2 2 9 10" xfId="12326" xr:uid="{00000000-0005-0000-0000-000023300000}"/>
    <cellStyle name="Comma 2 2 2 2 9 10 2" xfId="12327" xr:uid="{00000000-0005-0000-0000-000024300000}"/>
    <cellStyle name="Comma 2 2 2 2 9 10 2 2" xfId="12328" xr:uid="{00000000-0005-0000-0000-000025300000}"/>
    <cellStyle name="Comma 2 2 2 2 9 10 3" xfId="12329" xr:uid="{00000000-0005-0000-0000-000026300000}"/>
    <cellStyle name="Comma 2 2 2 2 9 10 4" xfId="12330" xr:uid="{00000000-0005-0000-0000-000027300000}"/>
    <cellStyle name="Comma 2 2 2 2 9 10 5" xfId="12331" xr:uid="{00000000-0005-0000-0000-000028300000}"/>
    <cellStyle name="Comma 2 2 2 2 9 10 6" xfId="12332" xr:uid="{00000000-0005-0000-0000-000029300000}"/>
    <cellStyle name="Comma 2 2 2 2 9 10 7" xfId="12333" xr:uid="{00000000-0005-0000-0000-00002A300000}"/>
    <cellStyle name="Comma 2 2 2 2 9 10 8" xfId="12334" xr:uid="{00000000-0005-0000-0000-00002B300000}"/>
    <cellStyle name="Comma 2 2 2 2 9 11" xfId="12335" xr:uid="{00000000-0005-0000-0000-00002C300000}"/>
    <cellStyle name="Comma 2 2 2 2 9 11 2" xfId="12336" xr:uid="{00000000-0005-0000-0000-00002D300000}"/>
    <cellStyle name="Comma 2 2 2 2 9 11 2 2" xfId="12337" xr:uid="{00000000-0005-0000-0000-00002E300000}"/>
    <cellStyle name="Comma 2 2 2 2 9 11 3" xfId="12338" xr:uid="{00000000-0005-0000-0000-00002F300000}"/>
    <cellStyle name="Comma 2 2 2 2 9 11 4" xfId="12339" xr:uid="{00000000-0005-0000-0000-000030300000}"/>
    <cellStyle name="Comma 2 2 2 2 9 11 5" xfId="12340" xr:uid="{00000000-0005-0000-0000-000031300000}"/>
    <cellStyle name="Comma 2 2 2 2 9 11 6" xfId="12341" xr:uid="{00000000-0005-0000-0000-000032300000}"/>
    <cellStyle name="Comma 2 2 2 2 9 11 7" xfId="12342" xr:uid="{00000000-0005-0000-0000-000033300000}"/>
    <cellStyle name="Comma 2 2 2 2 9 11 8" xfId="12343" xr:uid="{00000000-0005-0000-0000-000034300000}"/>
    <cellStyle name="Comma 2 2 2 2 9 12" xfId="12344" xr:uid="{00000000-0005-0000-0000-000035300000}"/>
    <cellStyle name="Comma 2 2 2 2 9 12 2" xfId="12345" xr:uid="{00000000-0005-0000-0000-000036300000}"/>
    <cellStyle name="Comma 2 2 2 2 9 12 2 2" xfId="12346" xr:uid="{00000000-0005-0000-0000-000037300000}"/>
    <cellStyle name="Comma 2 2 2 2 9 12 3" xfId="12347" xr:uid="{00000000-0005-0000-0000-000038300000}"/>
    <cellStyle name="Comma 2 2 2 2 9 12 4" xfId="12348" xr:uid="{00000000-0005-0000-0000-000039300000}"/>
    <cellStyle name="Comma 2 2 2 2 9 12 5" xfId="12349" xr:uid="{00000000-0005-0000-0000-00003A300000}"/>
    <cellStyle name="Comma 2 2 2 2 9 12 6" xfId="12350" xr:uid="{00000000-0005-0000-0000-00003B300000}"/>
    <cellStyle name="Comma 2 2 2 2 9 12 7" xfId="12351" xr:uid="{00000000-0005-0000-0000-00003C300000}"/>
    <cellStyle name="Comma 2 2 2 2 9 12 8" xfId="12352" xr:uid="{00000000-0005-0000-0000-00003D300000}"/>
    <cellStyle name="Comma 2 2 2 2 9 13" xfId="12353" xr:uid="{00000000-0005-0000-0000-00003E300000}"/>
    <cellStyle name="Comma 2 2 2 2 9 13 2" xfId="12354" xr:uid="{00000000-0005-0000-0000-00003F300000}"/>
    <cellStyle name="Comma 2 2 2 2 9 13 2 2" xfId="12355" xr:uid="{00000000-0005-0000-0000-000040300000}"/>
    <cellStyle name="Comma 2 2 2 2 9 13 3" xfId="12356" xr:uid="{00000000-0005-0000-0000-000041300000}"/>
    <cellStyle name="Comma 2 2 2 2 9 13 4" xfId="12357" xr:uid="{00000000-0005-0000-0000-000042300000}"/>
    <cellStyle name="Comma 2 2 2 2 9 13 5" xfId="12358" xr:uid="{00000000-0005-0000-0000-000043300000}"/>
    <cellStyle name="Comma 2 2 2 2 9 13 6" xfId="12359" xr:uid="{00000000-0005-0000-0000-000044300000}"/>
    <cellStyle name="Comma 2 2 2 2 9 13 7" xfId="12360" xr:uid="{00000000-0005-0000-0000-000045300000}"/>
    <cellStyle name="Comma 2 2 2 2 9 13 8" xfId="12361" xr:uid="{00000000-0005-0000-0000-000046300000}"/>
    <cellStyle name="Comma 2 2 2 2 9 14" xfId="12362" xr:uid="{00000000-0005-0000-0000-000047300000}"/>
    <cellStyle name="Comma 2 2 2 2 9 14 2" xfId="12363" xr:uid="{00000000-0005-0000-0000-000048300000}"/>
    <cellStyle name="Comma 2 2 2 2 9 14 3" xfId="12364" xr:uid="{00000000-0005-0000-0000-000049300000}"/>
    <cellStyle name="Comma 2 2 2 2 9 15" xfId="12365" xr:uid="{00000000-0005-0000-0000-00004A300000}"/>
    <cellStyle name="Comma 2 2 2 2 9 15 2" xfId="12366" xr:uid="{00000000-0005-0000-0000-00004B300000}"/>
    <cellStyle name="Comma 2 2 2 2 9 16" xfId="12367" xr:uid="{00000000-0005-0000-0000-00004C300000}"/>
    <cellStyle name="Comma 2 2 2 2 9 16 2" xfId="12368" xr:uid="{00000000-0005-0000-0000-00004D300000}"/>
    <cellStyle name="Comma 2 2 2 2 9 17" xfId="12369" xr:uid="{00000000-0005-0000-0000-00004E300000}"/>
    <cellStyle name="Comma 2 2 2 2 9 17 2" xfId="12370" xr:uid="{00000000-0005-0000-0000-00004F300000}"/>
    <cellStyle name="Comma 2 2 2 2 9 18" xfId="12371" xr:uid="{00000000-0005-0000-0000-000050300000}"/>
    <cellStyle name="Comma 2 2 2 2 9 19" xfId="12372" xr:uid="{00000000-0005-0000-0000-000051300000}"/>
    <cellStyle name="Comma 2 2 2 2 9 2" xfId="12373" xr:uid="{00000000-0005-0000-0000-000052300000}"/>
    <cellStyle name="Comma 2 2 2 2 9 2 2" xfId="12374" xr:uid="{00000000-0005-0000-0000-000053300000}"/>
    <cellStyle name="Comma 2 2 2 2 9 2 3" xfId="12375" xr:uid="{00000000-0005-0000-0000-000054300000}"/>
    <cellStyle name="Comma 2 2 2 2 9 2 4" xfId="12376" xr:uid="{00000000-0005-0000-0000-000055300000}"/>
    <cellStyle name="Comma 2 2 2 2 9 2 5" xfId="12377" xr:uid="{00000000-0005-0000-0000-000056300000}"/>
    <cellStyle name="Comma 2 2 2 2 9 20" xfId="12378" xr:uid="{00000000-0005-0000-0000-000057300000}"/>
    <cellStyle name="Comma 2 2 2 2 9 21" xfId="12379" xr:uid="{00000000-0005-0000-0000-000058300000}"/>
    <cellStyle name="Comma 2 2 2 2 9 22" xfId="12380" xr:uid="{00000000-0005-0000-0000-000059300000}"/>
    <cellStyle name="Comma 2 2 2 2 9 23" xfId="12381" xr:uid="{00000000-0005-0000-0000-00005A300000}"/>
    <cellStyle name="Comma 2 2 2 2 9 24" xfId="12382" xr:uid="{00000000-0005-0000-0000-00005B300000}"/>
    <cellStyle name="Comma 2 2 2 2 9 25" xfId="12383" xr:uid="{00000000-0005-0000-0000-00005C300000}"/>
    <cellStyle name="Comma 2 2 2 2 9 3" xfId="12384" xr:uid="{00000000-0005-0000-0000-00005D300000}"/>
    <cellStyle name="Comma 2 2 2 2 9 3 2" xfId="12385" xr:uid="{00000000-0005-0000-0000-00005E300000}"/>
    <cellStyle name="Comma 2 2 2 2 9 3 3" xfId="12386" xr:uid="{00000000-0005-0000-0000-00005F300000}"/>
    <cellStyle name="Comma 2 2 2 2 9 4" xfId="12387" xr:uid="{00000000-0005-0000-0000-000060300000}"/>
    <cellStyle name="Comma 2 2 2 2 9 4 2" xfId="12388" xr:uid="{00000000-0005-0000-0000-000061300000}"/>
    <cellStyle name="Comma 2 2 2 2 9 5" xfId="12389" xr:uid="{00000000-0005-0000-0000-000062300000}"/>
    <cellStyle name="Comma 2 2 2 2 9 5 2" xfId="12390" xr:uid="{00000000-0005-0000-0000-000063300000}"/>
    <cellStyle name="Comma 2 2 2 2 9 5 2 2" xfId="12391" xr:uid="{00000000-0005-0000-0000-000064300000}"/>
    <cellStyle name="Comma 2 2 2 2 9 5 3" xfId="12392" xr:uid="{00000000-0005-0000-0000-000065300000}"/>
    <cellStyle name="Comma 2 2 2 2 9 5 4" xfId="12393" xr:uid="{00000000-0005-0000-0000-000066300000}"/>
    <cellStyle name="Comma 2 2 2 2 9 5 5" xfId="12394" xr:uid="{00000000-0005-0000-0000-000067300000}"/>
    <cellStyle name="Comma 2 2 2 2 9 5 6" xfId="12395" xr:uid="{00000000-0005-0000-0000-000068300000}"/>
    <cellStyle name="Comma 2 2 2 2 9 5 7" xfId="12396" xr:uid="{00000000-0005-0000-0000-000069300000}"/>
    <cellStyle name="Comma 2 2 2 2 9 5 8" xfId="12397" xr:uid="{00000000-0005-0000-0000-00006A300000}"/>
    <cellStyle name="Comma 2 2 2 2 9 6" xfId="12398" xr:uid="{00000000-0005-0000-0000-00006B300000}"/>
    <cellStyle name="Comma 2 2 2 2 9 6 2" xfId="12399" xr:uid="{00000000-0005-0000-0000-00006C300000}"/>
    <cellStyle name="Comma 2 2 2 2 9 7" xfId="12400" xr:uid="{00000000-0005-0000-0000-00006D300000}"/>
    <cellStyle name="Comma 2 2 2 2 9 7 2" xfId="12401" xr:uid="{00000000-0005-0000-0000-00006E300000}"/>
    <cellStyle name="Comma 2 2 2 2 9 7 2 2" xfId="12402" xr:uid="{00000000-0005-0000-0000-00006F300000}"/>
    <cellStyle name="Comma 2 2 2 2 9 7 3" xfId="12403" xr:uid="{00000000-0005-0000-0000-000070300000}"/>
    <cellStyle name="Comma 2 2 2 2 9 7 4" xfId="12404" xr:uid="{00000000-0005-0000-0000-000071300000}"/>
    <cellStyle name="Comma 2 2 2 2 9 7 5" xfId="12405" xr:uid="{00000000-0005-0000-0000-000072300000}"/>
    <cellStyle name="Comma 2 2 2 2 9 7 6" xfId="12406" xr:uid="{00000000-0005-0000-0000-000073300000}"/>
    <cellStyle name="Comma 2 2 2 2 9 7 7" xfId="12407" xr:uid="{00000000-0005-0000-0000-000074300000}"/>
    <cellStyle name="Comma 2 2 2 2 9 7 8" xfId="12408" xr:uid="{00000000-0005-0000-0000-000075300000}"/>
    <cellStyle name="Comma 2 2 2 2 9 8" xfId="12409" xr:uid="{00000000-0005-0000-0000-000076300000}"/>
    <cellStyle name="Comma 2 2 2 2 9 8 2" xfId="12410" xr:uid="{00000000-0005-0000-0000-000077300000}"/>
    <cellStyle name="Comma 2 2 2 2 9 8 2 2" xfId="12411" xr:uid="{00000000-0005-0000-0000-000078300000}"/>
    <cellStyle name="Comma 2 2 2 2 9 8 3" xfId="12412" xr:uid="{00000000-0005-0000-0000-000079300000}"/>
    <cellStyle name="Comma 2 2 2 2 9 8 4" xfId="12413" xr:uid="{00000000-0005-0000-0000-00007A300000}"/>
    <cellStyle name="Comma 2 2 2 2 9 8 5" xfId="12414" xr:uid="{00000000-0005-0000-0000-00007B300000}"/>
    <cellStyle name="Comma 2 2 2 2 9 8 6" xfId="12415" xr:uid="{00000000-0005-0000-0000-00007C300000}"/>
    <cellStyle name="Comma 2 2 2 2 9 8 7" xfId="12416" xr:uid="{00000000-0005-0000-0000-00007D300000}"/>
    <cellStyle name="Comma 2 2 2 2 9 8 8" xfId="12417" xr:uid="{00000000-0005-0000-0000-00007E300000}"/>
    <cellStyle name="Comma 2 2 2 2 9 9" xfId="12418" xr:uid="{00000000-0005-0000-0000-00007F300000}"/>
    <cellStyle name="Comma 2 2 2 2 9 9 2" xfId="12419" xr:uid="{00000000-0005-0000-0000-000080300000}"/>
    <cellStyle name="Comma 2 2 2 2 9 9 2 2" xfId="12420" xr:uid="{00000000-0005-0000-0000-000081300000}"/>
    <cellStyle name="Comma 2 2 2 2 9 9 3" xfId="12421" xr:uid="{00000000-0005-0000-0000-000082300000}"/>
    <cellStyle name="Comma 2 2 2 2 9 9 4" xfId="12422" xr:uid="{00000000-0005-0000-0000-000083300000}"/>
    <cellStyle name="Comma 2 2 2 2 9 9 5" xfId="12423" xr:uid="{00000000-0005-0000-0000-000084300000}"/>
    <cellStyle name="Comma 2 2 2 2 9 9 6" xfId="12424" xr:uid="{00000000-0005-0000-0000-000085300000}"/>
    <cellStyle name="Comma 2 2 2 2 9 9 7" xfId="12425" xr:uid="{00000000-0005-0000-0000-000086300000}"/>
    <cellStyle name="Comma 2 2 2 2 9 9 8" xfId="12426" xr:uid="{00000000-0005-0000-0000-000087300000}"/>
    <cellStyle name="Comma 2 2 2 20" xfId="12427" xr:uid="{00000000-0005-0000-0000-000088300000}"/>
    <cellStyle name="Comma 2 2 2 20 2" xfId="12428" xr:uid="{00000000-0005-0000-0000-000089300000}"/>
    <cellStyle name="Comma 2 2 2 21" xfId="12429" xr:uid="{00000000-0005-0000-0000-00008A300000}"/>
    <cellStyle name="Comma 2 2 2 21 2" xfId="12430" xr:uid="{00000000-0005-0000-0000-00008B300000}"/>
    <cellStyle name="Comma 2 2 2 22" xfId="12431" xr:uid="{00000000-0005-0000-0000-00008C300000}"/>
    <cellStyle name="Comma 2 2 2 22 2" xfId="12432" xr:uid="{00000000-0005-0000-0000-00008D300000}"/>
    <cellStyle name="Comma 2 2 2 23" xfId="12433" xr:uid="{00000000-0005-0000-0000-00008E300000}"/>
    <cellStyle name="Comma 2 2 2 23 2" xfId="12434" xr:uid="{00000000-0005-0000-0000-00008F300000}"/>
    <cellStyle name="Comma 2 2 2 24" xfId="12435" xr:uid="{00000000-0005-0000-0000-000090300000}"/>
    <cellStyle name="Comma 2 2 2 24 2" xfId="12436" xr:uid="{00000000-0005-0000-0000-000091300000}"/>
    <cellStyle name="Comma 2 2 2 25" xfId="12437" xr:uid="{00000000-0005-0000-0000-000092300000}"/>
    <cellStyle name="Comma 2 2 2 25 2" xfId="12438" xr:uid="{00000000-0005-0000-0000-000093300000}"/>
    <cellStyle name="Comma 2 2 2 26" xfId="12439" xr:uid="{00000000-0005-0000-0000-000094300000}"/>
    <cellStyle name="Comma 2 2 2 26 2" xfId="12440" xr:uid="{00000000-0005-0000-0000-000095300000}"/>
    <cellStyle name="Comma 2 2 2 27" xfId="12441" xr:uid="{00000000-0005-0000-0000-000096300000}"/>
    <cellStyle name="Comma 2 2 2 27 2" xfId="12442" xr:uid="{00000000-0005-0000-0000-000097300000}"/>
    <cellStyle name="Comma 2 2 2 3" xfId="12443" xr:uid="{00000000-0005-0000-0000-000098300000}"/>
    <cellStyle name="Comma 2 2 2 3 2" xfId="12444" xr:uid="{00000000-0005-0000-0000-000099300000}"/>
    <cellStyle name="Comma 2 2 2 3 2 2" xfId="12445" xr:uid="{00000000-0005-0000-0000-00009A300000}"/>
    <cellStyle name="Comma 2 2 2 3 2 2 2" xfId="12446" xr:uid="{00000000-0005-0000-0000-00009B300000}"/>
    <cellStyle name="Comma 2 2 2 3 2 2 3" xfId="12447" xr:uid="{00000000-0005-0000-0000-00009C300000}"/>
    <cellStyle name="Comma 2 2 2 3 2 3" xfId="12448" xr:uid="{00000000-0005-0000-0000-00009D300000}"/>
    <cellStyle name="Comma 2 2 2 3 2 4" xfId="12449" xr:uid="{00000000-0005-0000-0000-00009E300000}"/>
    <cellStyle name="Comma 2 2 2 3 3" xfId="12450" xr:uid="{00000000-0005-0000-0000-00009F300000}"/>
    <cellStyle name="Comma 2 2 2 3 4" xfId="12451" xr:uid="{00000000-0005-0000-0000-0000A0300000}"/>
    <cellStyle name="Comma 2 2 2 3 5" xfId="12452" xr:uid="{00000000-0005-0000-0000-0000A1300000}"/>
    <cellStyle name="Comma 2 2 2 3 6" xfId="12453" xr:uid="{00000000-0005-0000-0000-0000A2300000}"/>
    <cellStyle name="Comma 2 2 2 4" xfId="12454" xr:uid="{00000000-0005-0000-0000-0000A3300000}"/>
    <cellStyle name="Comma 2 2 2 4 2" xfId="12455" xr:uid="{00000000-0005-0000-0000-0000A4300000}"/>
    <cellStyle name="Comma 2 2 2 4 2 10" xfId="12456" xr:uid="{00000000-0005-0000-0000-0000A5300000}"/>
    <cellStyle name="Comma 2 2 2 4 2 10 2" xfId="12457" xr:uid="{00000000-0005-0000-0000-0000A6300000}"/>
    <cellStyle name="Comma 2 2 2 4 2 10 2 2" xfId="12458" xr:uid="{00000000-0005-0000-0000-0000A7300000}"/>
    <cellStyle name="Comma 2 2 2 4 2 10 3" xfId="12459" xr:uid="{00000000-0005-0000-0000-0000A8300000}"/>
    <cellStyle name="Comma 2 2 2 4 2 10 4" xfId="12460" xr:uid="{00000000-0005-0000-0000-0000A9300000}"/>
    <cellStyle name="Comma 2 2 2 4 2 10 5" xfId="12461" xr:uid="{00000000-0005-0000-0000-0000AA300000}"/>
    <cellStyle name="Comma 2 2 2 4 2 10 6" xfId="12462" xr:uid="{00000000-0005-0000-0000-0000AB300000}"/>
    <cellStyle name="Comma 2 2 2 4 2 10 7" xfId="12463" xr:uid="{00000000-0005-0000-0000-0000AC300000}"/>
    <cellStyle name="Comma 2 2 2 4 2 10 8" xfId="12464" xr:uid="{00000000-0005-0000-0000-0000AD300000}"/>
    <cellStyle name="Comma 2 2 2 4 2 11" xfId="12465" xr:uid="{00000000-0005-0000-0000-0000AE300000}"/>
    <cellStyle name="Comma 2 2 2 4 2 11 2" xfId="12466" xr:uid="{00000000-0005-0000-0000-0000AF300000}"/>
    <cellStyle name="Comma 2 2 2 4 2 11 2 2" xfId="12467" xr:uid="{00000000-0005-0000-0000-0000B0300000}"/>
    <cellStyle name="Comma 2 2 2 4 2 11 3" xfId="12468" xr:uid="{00000000-0005-0000-0000-0000B1300000}"/>
    <cellStyle name="Comma 2 2 2 4 2 11 4" xfId="12469" xr:uid="{00000000-0005-0000-0000-0000B2300000}"/>
    <cellStyle name="Comma 2 2 2 4 2 11 5" xfId="12470" xr:uid="{00000000-0005-0000-0000-0000B3300000}"/>
    <cellStyle name="Comma 2 2 2 4 2 11 6" xfId="12471" xr:uid="{00000000-0005-0000-0000-0000B4300000}"/>
    <cellStyle name="Comma 2 2 2 4 2 11 7" xfId="12472" xr:uid="{00000000-0005-0000-0000-0000B5300000}"/>
    <cellStyle name="Comma 2 2 2 4 2 11 8" xfId="12473" xr:uid="{00000000-0005-0000-0000-0000B6300000}"/>
    <cellStyle name="Comma 2 2 2 4 2 12" xfId="12474" xr:uid="{00000000-0005-0000-0000-0000B7300000}"/>
    <cellStyle name="Comma 2 2 2 4 2 12 2" xfId="12475" xr:uid="{00000000-0005-0000-0000-0000B8300000}"/>
    <cellStyle name="Comma 2 2 2 4 2 12 2 2" xfId="12476" xr:uid="{00000000-0005-0000-0000-0000B9300000}"/>
    <cellStyle name="Comma 2 2 2 4 2 12 3" xfId="12477" xr:uid="{00000000-0005-0000-0000-0000BA300000}"/>
    <cellStyle name="Comma 2 2 2 4 2 12 4" xfId="12478" xr:uid="{00000000-0005-0000-0000-0000BB300000}"/>
    <cellStyle name="Comma 2 2 2 4 2 12 5" xfId="12479" xr:uid="{00000000-0005-0000-0000-0000BC300000}"/>
    <cellStyle name="Comma 2 2 2 4 2 12 6" xfId="12480" xr:uid="{00000000-0005-0000-0000-0000BD300000}"/>
    <cellStyle name="Comma 2 2 2 4 2 12 7" xfId="12481" xr:uid="{00000000-0005-0000-0000-0000BE300000}"/>
    <cellStyle name="Comma 2 2 2 4 2 12 8" xfId="12482" xr:uid="{00000000-0005-0000-0000-0000BF300000}"/>
    <cellStyle name="Comma 2 2 2 4 2 13" xfId="12483" xr:uid="{00000000-0005-0000-0000-0000C0300000}"/>
    <cellStyle name="Comma 2 2 2 4 2 13 2" xfId="12484" xr:uid="{00000000-0005-0000-0000-0000C1300000}"/>
    <cellStyle name="Comma 2 2 2 4 2 13 2 2" xfId="12485" xr:uid="{00000000-0005-0000-0000-0000C2300000}"/>
    <cellStyle name="Comma 2 2 2 4 2 13 3" xfId="12486" xr:uid="{00000000-0005-0000-0000-0000C3300000}"/>
    <cellStyle name="Comma 2 2 2 4 2 13 4" xfId="12487" xr:uid="{00000000-0005-0000-0000-0000C4300000}"/>
    <cellStyle name="Comma 2 2 2 4 2 13 5" xfId="12488" xr:uid="{00000000-0005-0000-0000-0000C5300000}"/>
    <cellStyle name="Comma 2 2 2 4 2 13 6" xfId="12489" xr:uid="{00000000-0005-0000-0000-0000C6300000}"/>
    <cellStyle name="Comma 2 2 2 4 2 13 7" xfId="12490" xr:uid="{00000000-0005-0000-0000-0000C7300000}"/>
    <cellStyle name="Comma 2 2 2 4 2 13 8" xfId="12491" xr:uid="{00000000-0005-0000-0000-0000C8300000}"/>
    <cellStyle name="Comma 2 2 2 4 2 14" xfId="12492" xr:uid="{00000000-0005-0000-0000-0000C9300000}"/>
    <cellStyle name="Comma 2 2 2 4 2 14 2" xfId="12493" xr:uid="{00000000-0005-0000-0000-0000CA300000}"/>
    <cellStyle name="Comma 2 2 2 4 2 14 2 2" xfId="12494" xr:uid="{00000000-0005-0000-0000-0000CB300000}"/>
    <cellStyle name="Comma 2 2 2 4 2 14 3" xfId="12495" xr:uid="{00000000-0005-0000-0000-0000CC300000}"/>
    <cellStyle name="Comma 2 2 2 4 2 14 4" xfId="12496" xr:uid="{00000000-0005-0000-0000-0000CD300000}"/>
    <cellStyle name="Comma 2 2 2 4 2 14 5" xfId="12497" xr:uid="{00000000-0005-0000-0000-0000CE300000}"/>
    <cellStyle name="Comma 2 2 2 4 2 14 6" xfId="12498" xr:uid="{00000000-0005-0000-0000-0000CF300000}"/>
    <cellStyle name="Comma 2 2 2 4 2 14 7" xfId="12499" xr:uid="{00000000-0005-0000-0000-0000D0300000}"/>
    <cellStyle name="Comma 2 2 2 4 2 14 8" xfId="12500" xr:uid="{00000000-0005-0000-0000-0000D1300000}"/>
    <cellStyle name="Comma 2 2 2 4 2 15" xfId="12501" xr:uid="{00000000-0005-0000-0000-0000D2300000}"/>
    <cellStyle name="Comma 2 2 2 4 2 15 2" xfId="12502" xr:uid="{00000000-0005-0000-0000-0000D3300000}"/>
    <cellStyle name="Comma 2 2 2 4 2 15 3" xfId="12503" xr:uid="{00000000-0005-0000-0000-0000D4300000}"/>
    <cellStyle name="Comma 2 2 2 4 2 16" xfId="12504" xr:uid="{00000000-0005-0000-0000-0000D5300000}"/>
    <cellStyle name="Comma 2 2 2 4 2 16 2" xfId="12505" xr:uid="{00000000-0005-0000-0000-0000D6300000}"/>
    <cellStyle name="Comma 2 2 2 4 2 17" xfId="12506" xr:uid="{00000000-0005-0000-0000-0000D7300000}"/>
    <cellStyle name="Comma 2 2 2 4 2 17 2" xfId="12507" xr:uid="{00000000-0005-0000-0000-0000D8300000}"/>
    <cellStyle name="Comma 2 2 2 4 2 18" xfId="12508" xr:uid="{00000000-0005-0000-0000-0000D9300000}"/>
    <cellStyle name="Comma 2 2 2 4 2 18 2" xfId="12509" xr:uid="{00000000-0005-0000-0000-0000DA300000}"/>
    <cellStyle name="Comma 2 2 2 4 2 19" xfId="12510" xr:uid="{00000000-0005-0000-0000-0000DB300000}"/>
    <cellStyle name="Comma 2 2 2 4 2 2" xfId="12511" xr:uid="{00000000-0005-0000-0000-0000DC300000}"/>
    <cellStyle name="Comma 2 2 2 4 2 20" xfId="12512" xr:uid="{00000000-0005-0000-0000-0000DD300000}"/>
    <cellStyle name="Comma 2 2 2 4 2 21" xfId="12513" xr:uid="{00000000-0005-0000-0000-0000DE300000}"/>
    <cellStyle name="Comma 2 2 2 4 2 22" xfId="12514" xr:uid="{00000000-0005-0000-0000-0000DF300000}"/>
    <cellStyle name="Comma 2 2 2 4 2 23" xfId="12515" xr:uid="{00000000-0005-0000-0000-0000E0300000}"/>
    <cellStyle name="Comma 2 2 2 4 2 24" xfId="12516" xr:uid="{00000000-0005-0000-0000-0000E1300000}"/>
    <cellStyle name="Comma 2 2 2 4 2 25" xfId="12517" xr:uid="{00000000-0005-0000-0000-0000E2300000}"/>
    <cellStyle name="Comma 2 2 2 4 2 26" xfId="12518" xr:uid="{00000000-0005-0000-0000-0000E3300000}"/>
    <cellStyle name="Comma 2 2 2 4 2 3" xfId="12519" xr:uid="{00000000-0005-0000-0000-0000E4300000}"/>
    <cellStyle name="Comma 2 2 2 4 2 3 2" xfId="12520" xr:uid="{00000000-0005-0000-0000-0000E5300000}"/>
    <cellStyle name="Comma 2 2 2 4 2 3 3" xfId="12521" xr:uid="{00000000-0005-0000-0000-0000E6300000}"/>
    <cellStyle name="Comma 2 2 2 4 2 3 4" xfId="12522" xr:uid="{00000000-0005-0000-0000-0000E7300000}"/>
    <cellStyle name="Comma 2 2 2 4 2 3 5" xfId="12523" xr:uid="{00000000-0005-0000-0000-0000E8300000}"/>
    <cellStyle name="Comma 2 2 2 4 2 4" xfId="12524" xr:uid="{00000000-0005-0000-0000-0000E9300000}"/>
    <cellStyle name="Comma 2 2 2 4 2 4 2" xfId="12525" xr:uid="{00000000-0005-0000-0000-0000EA300000}"/>
    <cellStyle name="Comma 2 2 2 4 2 4 3" xfId="12526" xr:uid="{00000000-0005-0000-0000-0000EB300000}"/>
    <cellStyle name="Comma 2 2 2 4 2 5" xfId="12527" xr:uid="{00000000-0005-0000-0000-0000EC300000}"/>
    <cellStyle name="Comma 2 2 2 4 2 5 2" xfId="12528" xr:uid="{00000000-0005-0000-0000-0000ED300000}"/>
    <cellStyle name="Comma 2 2 2 4 2 6" xfId="12529" xr:uid="{00000000-0005-0000-0000-0000EE300000}"/>
    <cellStyle name="Comma 2 2 2 4 2 6 2" xfId="12530" xr:uid="{00000000-0005-0000-0000-0000EF300000}"/>
    <cellStyle name="Comma 2 2 2 4 2 6 2 2" xfId="12531" xr:uid="{00000000-0005-0000-0000-0000F0300000}"/>
    <cellStyle name="Comma 2 2 2 4 2 6 3" xfId="12532" xr:uid="{00000000-0005-0000-0000-0000F1300000}"/>
    <cellStyle name="Comma 2 2 2 4 2 6 4" xfId="12533" xr:uid="{00000000-0005-0000-0000-0000F2300000}"/>
    <cellStyle name="Comma 2 2 2 4 2 6 5" xfId="12534" xr:uid="{00000000-0005-0000-0000-0000F3300000}"/>
    <cellStyle name="Comma 2 2 2 4 2 6 6" xfId="12535" xr:uid="{00000000-0005-0000-0000-0000F4300000}"/>
    <cellStyle name="Comma 2 2 2 4 2 6 7" xfId="12536" xr:uid="{00000000-0005-0000-0000-0000F5300000}"/>
    <cellStyle name="Comma 2 2 2 4 2 6 8" xfId="12537" xr:uid="{00000000-0005-0000-0000-0000F6300000}"/>
    <cellStyle name="Comma 2 2 2 4 2 7" xfId="12538" xr:uid="{00000000-0005-0000-0000-0000F7300000}"/>
    <cellStyle name="Comma 2 2 2 4 2 7 2" xfId="12539" xr:uid="{00000000-0005-0000-0000-0000F8300000}"/>
    <cellStyle name="Comma 2 2 2 4 2 8" xfId="12540" xr:uid="{00000000-0005-0000-0000-0000F9300000}"/>
    <cellStyle name="Comma 2 2 2 4 2 8 2" xfId="12541" xr:uid="{00000000-0005-0000-0000-0000FA300000}"/>
    <cellStyle name="Comma 2 2 2 4 2 8 2 2" xfId="12542" xr:uid="{00000000-0005-0000-0000-0000FB300000}"/>
    <cellStyle name="Comma 2 2 2 4 2 8 3" xfId="12543" xr:uid="{00000000-0005-0000-0000-0000FC300000}"/>
    <cellStyle name="Comma 2 2 2 4 2 8 4" xfId="12544" xr:uid="{00000000-0005-0000-0000-0000FD300000}"/>
    <cellStyle name="Comma 2 2 2 4 2 8 5" xfId="12545" xr:uid="{00000000-0005-0000-0000-0000FE300000}"/>
    <cellStyle name="Comma 2 2 2 4 2 8 6" xfId="12546" xr:uid="{00000000-0005-0000-0000-0000FF300000}"/>
    <cellStyle name="Comma 2 2 2 4 2 8 7" xfId="12547" xr:uid="{00000000-0005-0000-0000-000000310000}"/>
    <cellStyle name="Comma 2 2 2 4 2 8 8" xfId="12548" xr:uid="{00000000-0005-0000-0000-000001310000}"/>
    <cellStyle name="Comma 2 2 2 4 2 9" xfId="12549" xr:uid="{00000000-0005-0000-0000-000002310000}"/>
    <cellStyle name="Comma 2 2 2 4 2 9 2" xfId="12550" xr:uid="{00000000-0005-0000-0000-000003310000}"/>
    <cellStyle name="Comma 2 2 2 4 2 9 2 2" xfId="12551" xr:uid="{00000000-0005-0000-0000-000004310000}"/>
    <cellStyle name="Comma 2 2 2 4 2 9 3" xfId="12552" xr:uid="{00000000-0005-0000-0000-000005310000}"/>
    <cellStyle name="Comma 2 2 2 4 2 9 4" xfId="12553" xr:uid="{00000000-0005-0000-0000-000006310000}"/>
    <cellStyle name="Comma 2 2 2 4 2 9 5" xfId="12554" xr:uid="{00000000-0005-0000-0000-000007310000}"/>
    <cellStyle name="Comma 2 2 2 4 2 9 6" xfId="12555" xr:uid="{00000000-0005-0000-0000-000008310000}"/>
    <cellStyle name="Comma 2 2 2 4 2 9 7" xfId="12556" xr:uid="{00000000-0005-0000-0000-000009310000}"/>
    <cellStyle name="Comma 2 2 2 4 2 9 8" xfId="12557" xr:uid="{00000000-0005-0000-0000-00000A310000}"/>
    <cellStyle name="Comma 2 2 2 4 3" xfId="12558" xr:uid="{00000000-0005-0000-0000-00000B310000}"/>
    <cellStyle name="Comma 2 2 2 4 3 2" xfId="12559" xr:uid="{00000000-0005-0000-0000-00000C310000}"/>
    <cellStyle name="Comma 2 2 2 5" xfId="12560" xr:uid="{00000000-0005-0000-0000-00000D310000}"/>
    <cellStyle name="Comma 2 2 2 5 2" xfId="12561" xr:uid="{00000000-0005-0000-0000-00000E310000}"/>
    <cellStyle name="Comma 2 2 2 5 2 2" xfId="12562" xr:uid="{00000000-0005-0000-0000-00000F310000}"/>
    <cellStyle name="Comma 2 2 2 5 2 2 2" xfId="12563" xr:uid="{00000000-0005-0000-0000-000010310000}"/>
    <cellStyle name="Comma 2 2 2 5 2 2 2 2" xfId="12564" xr:uid="{00000000-0005-0000-0000-000011310000}"/>
    <cellStyle name="Comma 2 2 2 5 2 2 2 2 2" xfId="12565" xr:uid="{00000000-0005-0000-0000-000012310000}"/>
    <cellStyle name="Comma 2 2 2 5 2 2 2 2 2 2" xfId="12566" xr:uid="{00000000-0005-0000-0000-000013310000}"/>
    <cellStyle name="Comma 2 2 2 5 2 2 2 2 3" xfId="12567" xr:uid="{00000000-0005-0000-0000-000014310000}"/>
    <cellStyle name="Comma 2 2 2 5 2 2 2 3" xfId="12568" xr:uid="{00000000-0005-0000-0000-000015310000}"/>
    <cellStyle name="Comma 2 2 2 5 2 2 3" xfId="12569" xr:uid="{00000000-0005-0000-0000-000016310000}"/>
    <cellStyle name="Comma 2 2 2 5 2 3" xfId="12570" xr:uid="{00000000-0005-0000-0000-000017310000}"/>
    <cellStyle name="Comma 2 2 2 5 2 3 2" xfId="12571" xr:uid="{00000000-0005-0000-0000-000018310000}"/>
    <cellStyle name="Comma 2 2 2 5 2 4" xfId="12572" xr:uid="{00000000-0005-0000-0000-000019310000}"/>
    <cellStyle name="Comma 2 2 2 5 3" xfId="12573" xr:uid="{00000000-0005-0000-0000-00001A310000}"/>
    <cellStyle name="Comma 2 2 2 5 3 2" xfId="12574" xr:uid="{00000000-0005-0000-0000-00001B310000}"/>
    <cellStyle name="Comma 2 2 2 5 3 2 2" xfId="12575" xr:uid="{00000000-0005-0000-0000-00001C310000}"/>
    <cellStyle name="Comma 2 2 2 5 3 3" xfId="12576" xr:uid="{00000000-0005-0000-0000-00001D310000}"/>
    <cellStyle name="Comma 2 2 2 6" xfId="12577" xr:uid="{00000000-0005-0000-0000-00001E310000}"/>
    <cellStyle name="Comma 2 2 2 6 2" xfId="12578" xr:uid="{00000000-0005-0000-0000-00001F310000}"/>
    <cellStyle name="Comma 2 2 2 6 2 2" xfId="12579" xr:uid="{00000000-0005-0000-0000-000020310000}"/>
    <cellStyle name="Comma 2 2 2 6 2 2 2" xfId="12580" xr:uid="{00000000-0005-0000-0000-000021310000}"/>
    <cellStyle name="Comma 2 2 2 6 2 2 2 2" xfId="12581" xr:uid="{00000000-0005-0000-0000-000022310000}"/>
    <cellStyle name="Comma 2 2 2 6 2 2 3" xfId="12582" xr:uid="{00000000-0005-0000-0000-000023310000}"/>
    <cellStyle name="Comma 2 2 2 6 2 3" xfId="12583" xr:uid="{00000000-0005-0000-0000-000024310000}"/>
    <cellStyle name="Comma 2 2 2 7" xfId="12584" xr:uid="{00000000-0005-0000-0000-000025310000}"/>
    <cellStyle name="Comma 2 2 2 7 2" xfId="12585" xr:uid="{00000000-0005-0000-0000-000026310000}"/>
    <cellStyle name="Comma 2 2 2 7 2 2" xfId="12586" xr:uid="{00000000-0005-0000-0000-000027310000}"/>
    <cellStyle name="Comma 2 2 2 8" xfId="12587" xr:uid="{00000000-0005-0000-0000-000028310000}"/>
    <cellStyle name="Comma 2 2 2 9" xfId="12588" xr:uid="{00000000-0005-0000-0000-000029310000}"/>
    <cellStyle name="Comma 2 2 20" xfId="12589" xr:uid="{00000000-0005-0000-0000-00002A310000}"/>
    <cellStyle name="Comma 2 2 20 2" xfId="12590" xr:uid="{00000000-0005-0000-0000-00002B310000}"/>
    <cellStyle name="Comma 2 2 20 3" xfId="12591" xr:uid="{00000000-0005-0000-0000-00002C310000}"/>
    <cellStyle name="Comma 2 2 21" xfId="12592" xr:uid="{00000000-0005-0000-0000-00002D310000}"/>
    <cellStyle name="Comma 2 2 21 2" xfId="12593" xr:uid="{00000000-0005-0000-0000-00002E310000}"/>
    <cellStyle name="Comma 2 2 22" xfId="12594" xr:uid="{00000000-0005-0000-0000-00002F310000}"/>
    <cellStyle name="Comma 2 2 22 2" xfId="12595" xr:uid="{00000000-0005-0000-0000-000030310000}"/>
    <cellStyle name="Comma 2 2 22 2 2" xfId="12596" xr:uid="{00000000-0005-0000-0000-000031310000}"/>
    <cellStyle name="Comma 2 2 22 3" xfId="12597" xr:uid="{00000000-0005-0000-0000-000032310000}"/>
    <cellStyle name="Comma 2 2 22 3 2" xfId="12598" xr:uid="{00000000-0005-0000-0000-000033310000}"/>
    <cellStyle name="Comma 2 2 22 4" xfId="12599" xr:uid="{00000000-0005-0000-0000-000034310000}"/>
    <cellStyle name="Comma 2 2 23" xfId="12600" xr:uid="{00000000-0005-0000-0000-000035310000}"/>
    <cellStyle name="Comma 2 2 23 2" xfId="12601" xr:uid="{00000000-0005-0000-0000-000036310000}"/>
    <cellStyle name="Comma 2 2 23 2 2" xfId="12602" xr:uid="{00000000-0005-0000-0000-000037310000}"/>
    <cellStyle name="Comma 2 2 23 3" xfId="12603" xr:uid="{00000000-0005-0000-0000-000038310000}"/>
    <cellStyle name="Comma 2 2 24" xfId="12604" xr:uid="{00000000-0005-0000-0000-000039310000}"/>
    <cellStyle name="Comma 2 2 24 2" xfId="12605" xr:uid="{00000000-0005-0000-0000-00003A310000}"/>
    <cellStyle name="Comma 2 2 25" xfId="12606" xr:uid="{00000000-0005-0000-0000-00003B310000}"/>
    <cellStyle name="Comma 2 2 25 2" xfId="12607" xr:uid="{00000000-0005-0000-0000-00003C310000}"/>
    <cellStyle name="Comma 2 2 26" xfId="12608" xr:uid="{00000000-0005-0000-0000-00003D310000}"/>
    <cellStyle name="Comma 2 2 26 2" xfId="12609" xr:uid="{00000000-0005-0000-0000-00003E310000}"/>
    <cellStyle name="Comma 2 2 27" xfId="12610" xr:uid="{00000000-0005-0000-0000-00003F310000}"/>
    <cellStyle name="Comma 2 2 27 2" xfId="12611" xr:uid="{00000000-0005-0000-0000-000040310000}"/>
    <cellStyle name="Comma 2 2 28" xfId="12612" xr:uid="{00000000-0005-0000-0000-000041310000}"/>
    <cellStyle name="Comma 2 2 28 2" xfId="12613" xr:uid="{00000000-0005-0000-0000-000042310000}"/>
    <cellStyle name="Comma 2 2 29" xfId="12614" xr:uid="{00000000-0005-0000-0000-000043310000}"/>
    <cellStyle name="Comma 2 2 29 2" xfId="12615" xr:uid="{00000000-0005-0000-0000-000044310000}"/>
    <cellStyle name="Comma 2 2 3" xfId="12616" xr:uid="{00000000-0005-0000-0000-000045310000}"/>
    <cellStyle name="Comma 2 2 3 10" xfId="12617" xr:uid="{00000000-0005-0000-0000-000046310000}"/>
    <cellStyle name="Comma 2 2 3 10 2" xfId="12618" xr:uid="{00000000-0005-0000-0000-000047310000}"/>
    <cellStyle name="Comma 2 2 3 10 2 2" xfId="12619" xr:uid="{00000000-0005-0000-0000-000048310000}"/>
    <cellStyle name="Comma 2 2 3 10 3" xfId="12620" xr:uid="{00000000-0005-0000-0000-000049310000}"/>
    <cellStyle name="Comma 2 2 3 10 4" xfId="12621" xr:uid="{00000000-0005-0000-0000-00004A310000}"/>
    <cellStyle name="Comma 2 2 3 10 5" xfId="12622" xr:uid="{00000000-0005-0000-0000-00004B310000}"/>
    <cellStyle name="Comma 2 2 3 10 6" xfId="12623" xr:uid="{00000000-0005-0000-0000-00004C310000}"/>
    <cellStyle name="Comma 2 2 3 10 7" xfId="12624" xr:uid="{00000000-0005-0000-0000-00004D310000}"/>
    <cellStyle name="Comma 2 2 3 10 8" xfId="12625" xr:uid="{00000000-0005-0000-0000-00004E310000}"/>
    <cellStyle name="Comma 2 2 3 11" xfId="12626" xr:uid="{00000000-0005-0000-0000-00004F310000}"/>
    <cellStyle name="Comma 2 2 3 11 2" xfId="12627" xr:uid="{00000000-0005-0000-0000-000050310000}"/>
    <cellStyle name="Comma 2 2 3 11 2 2" xfId="12628" xr:uid="{00000000-0005-0000-0000-000051310000}"/>
    <cellStyle name="Comma 2 2 3 11 3" xfId="12629" xr:uid="{00000000-0005-0000-0000-000052310000}"/>
    <cellStyle name="Comma 2 2 3 11 4" xfId="12630" xr:uid="{00000000-0005-0000-0000-000053310000}"/>
    <cellStyle name="Comma 2 2 3 11 5" xfId="12631" xr:uid="{00000000-0005-0000-0000-000054310000}"/>
    <cellStyle name="Comma 2 2 3 11 6" xfId="12632" xr:uid="{00000000-0005-0000-0000-000055310000}"/>
    <cellStyle name="Comma 2 2 3 11 7" xfId="12633" xr:uid="{00000000-0005-0000-0000-000056310000}"/>
    <cellStyle name="Comma 2 2 3 11 8" xfId="12634" xr:uid="{00000000-0005-0000-0000-000057310000}"/>
    <cellStyle name="Comma 2 2 3 12" xfId="12635" xr:uid="{00000000-0005-0000-0000-000058310000}"/>
    <cellStyle name="Comma 2 2 3 12 2" xfId="12636" xr:uid="{00000000-0005-0000-0000-000059310000}"/>
    <cellStyle name="Comma 2 2 3 12 2 2" xfId="12637" xr:uid="{00000000-0005-0000-0000-00005A310000}"/>
    <cellStyle name="Comma 2 2 3 12 3" xfId="12638" xr:uid="{00000000-0005-0000-0000-00005B310000}"/>
    <cellStyle name="Comma 2 2 3 12 4" xfId="12639" xr:uid="{00000000-0005-0000-0000-00005C310000}"/>
    <cellStyle name="Comma 2 2 3 12 5" xfId="12640" xr:uid="{00000000-0005-0000-0000-00005D310000}"/>
    <cellStyle name="Comma 2 2 3 12 6" xfId="12641" xr:uid="{00000000-0005-0000-0000-00005E310000}"/>
    <cellStyle name="Comma 2 2 3 12 7" xfId="12642" xr:uid="{00000000-0005-0000-0000-00005F310000}"/>
    <cellStyle name="Comma 2 2 3 12 8" xfId="12643" xr:uid="{00000000-0005-0000-0000-000060310000}"/>
    <cellStyle name="Comma 2 2 3 13" xfId="12644" xr:uid="{00000000-0005-0000-0000-000061310000}"/>
    <cellStyle name="Comma 2 2 3 13 2" xfId="12645" xr:uid="{00000000-0005-0000-0000-000062310000}"/>
    <cellStyle name="Comma 2 2 3 13 2 2" xfId="12646" xr:uid="{00000000-0005-0000-0000-000063310000}"/>
    <cellStyle name="Comma 2 2 3 13 3" xfId="12647" xr:uid="{00000000-0005-0000-0000-000064310000}"/>
    <cellStyle name="Comma 2 2 3 13 4" xfId="12648" xr:uid="{00000000-0005-0000-0000-000065310000}"/>
    <cellStyle name="Comma 2 2 3 13 5" xfId="12649" xr:uid="{00000000-0005-0000-0000-000066310000}"/>
    <cellStyle name="Comma 2 2 3 13 6" xfId="12650" xr:uid="{00000000-0005-0000-0000-000067310000}"/>
    <cellStyle name="Comma 2 2 3 13 7" xfId="12651" xr:uid="{00000000-0005-0000-0000-000068310000}"/>
    <cellStyle name="Comma 2 2 3 13 8" xfId="12652" xr:uid="{00000000-0005-0000-0000-000069310000}"/>
    <cellStyle name="Comma 2 2 3 14" xfId="12653" xr:uid="{00000000-0005-0000-0000-00006A310000}"/>
    <cellStyle name="Comma 2 2 3 14 2" xfId="12654" xr:uid="{00000000-0005-0000-0000-00006B310000}"/>
    <cellStyle name="Comma 2 2 3 14 2 2" xfId="12655" xr:uid="{00000000-0005-0000-0000-00006C310000}"/>
    <cellStyle name="Comma 2 2 3 14 3" xfId="12656" xr:uid="{00000000-0005-0000-0000-00006D310000}"/>
    <cellStyle name="Comma 2 2 3 14 4" xfId="12657" xr:uid="{00000000-0005-0000-0000-00006E310000}"/>
    <cellStyle name="Comma 2 2 3 14 5" xfId="12658" xr:uid="{00000000-0005-0000-0000-00006F310000}"/>
    <cellStyle name="Comma 2 2 3 14 6" xfId="12659" xr:uid="{00000000-0005-0000-0000-000070310000}"/>
    <cellStyle name="Comma 2 2 3 14 7" xfId="12660" xr:uid="{00000000-0005-0000-0000-000071310000}"/>
    <cellStyle name="Comma 2 2 3 14 8" xfId="12661" xr:uid="{00000000-0005-0000-0000-000072310000}"/>
    <cellStyle name="Comma 2 2 3 15" xfId="12662" xr:uid="{00000000-0005-0000-0000-000073310000}"/>
    <cellStyle name="Comma 2 2 3 15 2" xfId="12663" xr:uid="{00000000-0005-0000-0000-000074310000}"/>
    <cellStyle name="Comma 2 2 3 15 3" xfId="12664" xr:uid="{00000000-0005-0000-0000-000075310000}"/>
    <cellStyle name="Comma 2 2 3 16" xfId="12665" xr:uid="{00000000-0005-0000-0000-000076310000}"/>
    <cellStyle name="Comma 2 2 3 16 2" xfId="12666" xr:uid="{00000000-0005-0000-0000-000077310000}"/>
    <cellStyle name="Comma 2 2 3 17" xfId="12667" xr:uid="{00000000-0005-0000-0000-000078310000}"/>
    <cellStyle name="Comma 2 2 3 18" xfId="12668" xr:uid="{00000000-0005-0000-0000-000079310000}"/>
    <cellStyle name="Comma 2 2 3 18 2" xfId="12669" xr:uid="{00000000-0005-0000-0000-00007A310000}"/>
    <cellStyle name="Comma 2 2 3 19" xfId="12670" xr:uid="{00000000-0005-0000-0000-00007B310000}"/>
    <cellStyle name="Comma 2 2 3 2" xfId="12671" xr:uid="{00000000-0005-0000-0000-00007C310000}"/>
    <cellStyle name="Comma 2 2 3 2 2" xfId="12672" xr:uid="{00000000-0005-0000-0000-00007D310000}"/>
    <cellStyle name="Comma 2 2 3 2 3" xfId="12673" xr:uid="{00000000-0005-0000-0000-00007E310000}"/>
    <cellStyle name="Comma 2 2 3 2 3 2" xfId="12674" xr:uid="{00000000-0005-0000-0000-00007F310000}"/>
    <cellStyle name="Comma 2 2 3 2 3 3" xfId="12675" xr:uid="{00000000-0005-0000-0000-000080310000}"/>
    <cellStyle name="Comma 2 2 3 2 3 4" xfId="12676" xr:uid="{00000000-0005-0000-0000-000081310000}"/>
    <cellStyle name="Comma 2 2 3 2 4" xfId="12677" xr:uid="{00000000-0005-0000-0000-000082310000}"/>
    <cellStyle name="Comma 2 2 3 2 5" xfId="12678" xr:uid="{00000000-0005-0000-0000-000083310000}"/>
    <cellStyle name="Comma 2 2 3 2 6" xfId="12679" xr:uid="{00000000-0005-0000-0000-000084310000}"/>
    <cellStyle name="Comma 2 2 3 20" xfId="12680" xr:uid="{00000000-0005-0000-0000-000085310000}"/>
    <cellStyle name="Comma 2 2 3 21" xfId="12681" xr:uid="{00000000-0005-0000-0000-000086310000}"/>
    <cellStyle name="Comma 2 2 3 22" xfId="12682" xr:uid="{00000000-0005-0000-0000-000087310000}"/>
    <cellStyle name="Comma 2 2 3 23" xfId="12683" xr:uid="{00000000-0005-0000-0000-000088310000}"/>
    <cellStyle name="Comma 2 2 3 24" xfId="12684" xr:uid="{00000000-0005-0000-0000-000089310000}"/>
    <cellStyle name="Comma 2 2 3 25" xfId="12685" xr:uid="{00000000-0005-0000-0000-00008A310000}"/>
    <cellStyle name="Comma 2 2 3 26" xfId="12686" xr:uid="{00000000-0005-0000-0000-00008B310000}"/>
    <cellStyle name="Comma 2 2 3 3" xfId="12687" xr:uid="{00000000-0005-0000-0000-00008C310000}"/>
    <cellStyle name="Comma 2 2 3 3 2" xfId="12688" xr:uid="{00000000-0005-0000-0000-00008D310000}"/>
    <cellStyle name="Comma 2 2 3 3 2 2" xfId="12689" xr:uid="{00000000-0005-0000-0000-00008E310000}"/>
    <cellStyle name="Comma 2 2 3 3 2 3" xfId="12690" xr:uid="{00000000-0005-0000-0000-00008F310000}"/>
    <cellStyle name="Comma 2 2 3 3 2 4" xfId="12691" xr:uid="{00000000-0005-0000-0000-000090310000}"/>
    <cellStyle name="Comma 2 2 3 3 3" xfId="12692" xr:uid="{00000000-0005-0000-0000-000091310000}"/>
    <cellStyle name="Comma 2 2 3 3 4" xfId="12693" xr:uid="{00000000-0005-0000-0000-000092310000}"/>
    <cellStyle name="Comma 2 2 3 3 5" xfId="12694" xr:uid="{00000000-0005-0000-0000-000093310000}"/>
    <cellStyle name="Comma 2 2 3 4" xfId="12695" xr:uid="{00000000-0005-0000-0000-000094310000}"/>
    <cellStyle name="Comma 2 2 3 4 2" xfId="12696" xr:uid="{00000000-0005-0000-0000-000095310000}"/>
    <cellStyle name="Comma 2 2 3 4 2 2" xfId="12697" xr:uid="{00000000-0005-0000-0000-000096310000}"/>
    <cellStyle name="Comma 2 2 3 4 3" xfId="12698" xr:uid="{00000000-0005-0000-0000-000097310000}"/>
    <cellStyle name="Comma 2 2 3 5" xfId="12699" xr:uid="{00000000-0005-0000-0000-000098310000}"/>
    <cellStyle name="Comma 2 2 3 5 2" xfId="12700" xr:uid="{00000000-0005-0000-0000-000099310000}"/>
    <cellStyle name="Comma 2 2 3 5 2 2" xfId="12701" xr:uid="{00000000-0005-0000-0000-00009A310000}"/>
    <cellStyle name="Comma 2 2 3 6" xfId="12702" xr:uid="{00000000-0005-0000-0000-00009B310000}"/>
    <cellStyle name="Comma 2 2 3 6 2" xfId="12703" xr:uid="{00000000-0005-0000-0000-00009C310000}"/>
    <cellStyle name="Comma 2 2 3 6 2 2" xfId="12704" xr:uid="{00000000-0005-0000-0000-00009D310000}"/>
    <cellStyle name="Comma 2 2 3 6 3" xfId="12705" xr:uid="{00000000-0005-0000-0000-00009E310000}"/>
    <cellStyle name="Comma 2 2 3 6 4" xfId="12706" xr:uid="{00000000-0005-0000-0000-00009F310000}"/>
    <cellStyle name="Comma 2 2 3 6 5" xfId="12707" xr:uid="{00000000-0005-0000-0000-0000A0310000}"/>
    <cellStyle name="Comma 2 2 3 6 6" xfId="12708" xr:uid="{00000000-0005-0000-0000-0000A1310000}"/>
    <cellStyle name="Comma 2 2 3 6 7" xfId="12709" xr:uid="{00000000-0005-0000-0000-0000A2310000}"/>
    <cellStyle name="Comma 2 2 3 6 8" xfId="12710" xr:uid="{00000000-0005-0000-0000-0000A3310000}"/>
    <cellStyle name="Comma 2 2 3 7" xfId="12711" xr:uid="{00000000-0005-0000-0000-0000A4310000}"/>
    <cellStyle name="Comma 2 2 3 7 2" xfId="12712" xr:uid="{00000000-0005-0000-0000-0000A5310000}"/>
    <cellStyle name="Comma 2 2 3 8" xfId="12713" xr:uid="{00000000-0005-0000-0000-0000A6310000}"/>
    <cellStyle name="Comma 2 2 3 8 2" xfId="12714" xr:uid="{00000000-0005-0000-0000-0000A7310000}"/>
    <cellStyle name="Comma 2 2 3 8 2 2" xfId="12715" xr:uid="{00000000-0005-0000-0000-0000A8310000}"/>
    <cellStyle name="Comma 2 2 3 8 3" xfId="12716" xr:uid="{00000000-0005-0000-0000-0000A9310000}"/>
    <cellStyle name="Comma 2 2 3 8 4" xfId="12717" xr:uid="{00000000-0005-0000-0000-0000AA310000}"/>
    <cellStyle name="Comma 2 2 3 8 5" xfId="12718" xr:uid="{00000000-0005-0000-0000-0000AB310000}"/>
    <cellStyle name="Comma 2 2 3 8 6" xfId="12719" xr:uid="{00000000-0005-0000-0000-0000AC310000}"/>
    <cellStyle name="Comma 2 2 3 8 7" xfId="12720" xr:uid="{00000000-0005-0000-0000-0000AD310000}"/>
    <cellStyle name="Comma 2 2 3 8 8" xfId="12721" xr:uid="{00000000-0005-0000-0000-0000AE310000}"/>
    <cellStyle name="Comma 2 2 3 9" xfId="12722" xr:uid="{00000000-0005-0000-0000-0000AF310000}"/>
    <cellStyle name="Comma 2 2 3 9 2" xfId="12723" xr:uid="{00000000-0005-0000-0000-0000B0310000}"/>
    <cellStyle name="Comma 2 2 3 9 2 2" xfId="12724" xr:uid="{00000000-0005-0000-0000-0000B1310000}"/>
    <cellStyle name="Comma 2 2 3 9 3" xfId="12725" xr:uid="{00000000-0005-0000-0000-0000B2310000}"/>
    <cellStyle name="Comma 2 2 3 9 4" xfId="12726" xr:uid="{00000000-0005-0000-0000-0000B3310000}"/>
    <cellStyle name="Comma 2 2 3 9 5" xfId="12727" xr:uid="{00000000-0005-0000-0000-0000B4310000}"/>
    <cellStyle name="Comma 2 2 3 9 6" xfId="12728" xr:uid="{00000000-0005-0000-0000-0000B5310000}"/>
    <cellStyle name="Comma 2 2 3 9 7" xfId="12729" xr:uid="{00000000-0005-0000-0000-0000B6310000}"/>
    <cellStyle name="Comma 2 2 3 9 8" xfId="12730" xr:uid="{00000000-0005-0000-0000-0000B7310000}"/>
    <cellStyle name="Comma 2 2 30" xfId="12731" xr:uid="{00000000-0005-0000-0000-0000B8310000}"/>
    <cellStyle name="Comma 2 2 30 2" xfId="12732" xr:uid="{00000000-0005-0000-0000-0000B9310000}"/>
    <cellStyle name="Comma 2 2 30 3" xfId="12733" xr:uid="{00000000-0005-0000-0000-0000BA310000}"/>
    <cellStyle name="Comma 2 2 30 4" xfId="12734" xr:uid="{00000000-0005-0000-0000-0000BB310000}"/>
    <cellStyle name="Comma 2 2 31" xfId="12735" xr:uid="{00000000-0005-0000-0000-0000BC310000}"/>
    <cellStyle name="Comma 2 2 31 2" xfId="12736" xr:uid="{00000000-0005-0000-0000-0000BD310000}"/>
    <cellStyle name="Comma 2 2 32" xfId="12737" xr:uid="{00000000-0005-0000-0000-0000BE310000}"/>
    <cellStyle name="Comma 2 2 32 2" xfId="12738" xr:uid="{00000000-0005-0000-0000-0000BF310000}"/>
    <cellStyle name="Comma 2 2 33" xfId="12739" xr:uid="{00000000-0005-0000-0000-0000C0310000}"/>
    <cellStyle name="Comma 2 2 33 2" xfId="12740" xr:uid="{00000000-0005-0000-0000-0000C1310000}"/>
    <cellStyle name="Comma 2 2 33 2 2" xfId="12741" xr:uid="{00000000-0005-0000-0000-0000C2310000}"/>
    <cellStyle name="Comma 2 2 33 3" xfId="12742" xr:uid="{00000000-0005-0000-0000-0000C3310000}"/>
    <cellStyle name="Comma 2 2 33 4" xfId="12743" xr:uid="{00000000-0005-0000-0000-0000C4310000}"/>
    <cellStyle name="Comma 2 2 33 5" xfId="12744" xr:uid="{00000000-0005-0000-0000-0000C5310000}"/>
    <cellStyle name="Comma 2 2 33 6" xfId="12745" xr:uid="{00000000-0005-0000-0000-0000C6310000}"/>
    <cellStyle name="Comma 2 2 33 7" xfId="12746" xr:uid="{00000000-0005-0000-0000-0000C7310000}"/>
    <cellStyle name="Comma 2 2 33 8" xfId="12747" xr:uid="{00000000-0005-0000-0000-0000C8310000}"/>
    <cellStyle name="Comma 2 2 34" xfId="12748" xr:uid="{00000000-0005-0000-0000-0000C9310000}"/>
    <cellStyle name="Comma 2 2 34 2" xfId="12749" xr:uid="{00000000-0005-0000-0000-0000CA310000}"/>
    <cellStyle name="Comma 2 2 35" xfId="12750" xr:uid="{00000000-0005-0000-0000-0000CB310000}"/>
    <cellStyle name="Comma 2 2 35 2" xfId="12751" xr:uid="{00000000-0005-0000-0000-0000CC310000}"/>
    <cellStyle name="Comma 2 2 35 2 2" xfId="12752" xr:uid="{00000000-0005-0000-0000-0000CD310000}"/>
    <cellStyle name="Comma 2 2 35 3" xfId="12753" xr:uid="{00000000-0005-0000-0000-0000CE310000}"/>
    <cellStyle name="Comma 2 2 35 4" xfId="12754" xr:uid="{00000000-0005-0000-0000-0000CF310000}"/>
    <cellStyle name="Comma 2 2 35 5" xfId="12755" xr:uid="{00000000-0005-0000-0000-0000D0310000}"/>
    <cellStyle name="Comma 2 2 35 6" xfId="12756" xr:uid="{00000000-0005-0000-0000-0000D1310000}"/>
    <cellStyle name="Comma 2 2 35 7" xfId="12757" xr:uid="{00000000-0005-0000-0000-0000D2310000}"/>
    <cellStyle name="Comma 2 2 35 8" xfId="12758" xr:uid="{00000000-0005-0000-0000-0000D3310000}"/>
    <cellStyle name="Comma 2 2 36" xfId="12759" xr:uid="{00000000-0005-0000-0000-0000D4310000}"/>
    <cellStyle name="Comma 2 2 36 2" xfId="12760" xr:uid="{00000000-0005-0000-0000-0000D5310000}"/>
    <cellStyle name="Comma 2 2 36 2 2" xfId="12761" xr:uid="{00000000-0005-0000-0000-0000D6310000}"/>
    <cellStyle name="Comma 2 2 36 3" xfId="12762" xr:uid="{00000000-0005-0000-0000-0000D7310000}"/>
    <cellStyle name="Comma 2 2 36 4" xfId="12763" xr:uid="{00000000-0005-0000-0000-0000D8310000}"/>
    <cellStyle name="Comma 2 2 36 5" xfId="12764" xr:uid="{00000000-0005-0000-0000-0000D9310000}"/>
    <cellStyle name="Comma 2 2 36 6" xfId="12765" xr:uid="{00000000-0005-0000-0000-0000DA310000}"/>
    <cellStyle name="Comma 2 2 36 7" xfId="12766" xr:uid="{00000000-0005-0000-0000-0000DB310000}"/>
    <cellStyle name="Comma 2 2 36 8" xfId="12767" xr:uid="{00000000-0005-0000-0000-0000DC310000}"/>
    <cellStyle name="Comma 2 2 37" xfId="12768" xr:uid="{00000000-0005-0000-0000-0000DD310000}"/>
    <cellStyle name="Comma 2 2 37 2" xfId="12769" xr:uid="{00000000-0005-0000-0000-0000DE310000}"/>
    <cellStyle name="Comma 2 2 37 2 2" xfId="12770" xr:uid="{00000000-0005-0000-0000-0000DF310000}"/>
    <cellStyle name="Comma 2 2 37 3" xfId="12771" xr:uid="{00000000-0005-0000-0000-0000E0310000}"/>
    <cellStyle name="Comma 2 2 37 4" xfId="12772" xr:uid="{00000000-0005-0000-0000-0000E1310000}"/>
    <cellStyle name="Comma 2 2 37 5" xfId="12773" xr:uid="{00000000-0005-0000-0000-0000E2310000}"/>
    <cellStyle name="Comma 2 2 37 6" xfId="12774" xr:uid="{00000000-0005-0000-0000-0000E3310000}"/>
    <cellStyle name="Comma 2 2 37 7" xfId="12775" xr:uid="{00000000-0005-0000-0000-0000E4310000}"/>
    <cellStyle name="Comma 2 2 37 8" xfId="12776" xr:uid="{00000000-0005-0000-0000-0000E5310000}"/>
    <cellStyle name="Comma 2 2 38" xfId="12777" xr:uid="{00000000-0005-0000-0000-0000E6310000}"/>
    <cellStyle name="Comma 2 2 38 2" xfId="12778" xr:uid="{00000000-0005-0000-0000-0000E7310000}"/>
    <cellStyle name="Comma 2 2 38 2 2" xfId="12779" xr:uid="{00000000-0005-0000-0000-0000E8310000}"/>
    <cellStyle name="Comma 2 2 38 3" xfId="12780" xr:uid="{00000000-0005-0000-0000-0000E9310000}"/>
    <cellStyle name="Comma 2 2 38 4" xfId="12781" xr:uid="{00000000-0005-0000-0000-0000EA310000}"/>
    <cellStyle name="Comma 2 2 38 5" xfId="12782" xr:uid="{00000000-0005-0000-0000-0000EB310000}"/>
    <cellStyle name="Comma 2 2 38 6" xfId="12783" xr:uid="{00000000-0005-0000-0000-0000EC310000}"/>
    <cellStyle name="Comma 2 2 38 7" xfId="12784" xr:uid="{00000000-0005-0000-0000-0000ED310000}"/>
    <cellStyle name="Comma 2 2 38 8" xfId="12785" xr:uid="{00000000-0005-0000-0000-0000EE310000}"/>
    <cellStyle name="Comma 2 2 39" xfId="12786" xr:uid="{00000000-0005-0000-0000-0000EF310000}"/>
    <cellStyle name="Comma 2 2 39 2" xfId="12787" xr:uid="{00000000-0005-0000-0000-0000F0310000}"/>
    <cellStyle name="Comma 2 2 39 2 2" xfId="12788" xr:uid="{00000000-0005-0000-0000-0000F1310000}"/>
    <cellStyle name="Comma 2 2 39 3" xfId="12789" xr:uid="{00000000-0005-0000-0000-0000F2310000}"/>
    <cellStyle name="Comma 2 2 39 4" xfId="12790" xr:uid="{00000000-0005-0000-0000-0000F3310000}"/>
    <cellStyle name="Comma 2 2 39 5" xfId="12791" xr:uid="{00000000-0005-0000-0000-0000F4310000}"/>
    <cellStyle name="Comma 2 2 39 6" xfId="12792" xr:uid="{00000000-0005-0000-0000-0000F5310000}"/>
    <cellStyle name="Comma 2 2 39 7" xfId="12793" xr:uid="{00000000-0005-0000-0000-0000F6310000}"/>
    <cellStyle name="Comma 2 2 39 8" xfId="12794" xr:uid="{00000000-0005-0000-0000-0000F7310000}"/>
    <cellStyle name="Comma 2 2 4" xfId="12795" xr:uid="{00000000-0005-0000-0000-0000F8310000}"/>
    <cellStyle name="Comma 2 2 4 10" xfId="12796" xr:uid="{00000000-0005-0000-0000-0000F9310000}"/>
    <cellStyle name="Comma 2 2 4 10 2" xfId="12797" xr:uid="{00000000-0005-0000-0000-0000FA310000}"/>
    <cellStyle name="Comma 2 2 4 10 2 2" xfId="12798" xr:uid="{00000000-0005-0000-0000-0000FB310000}"/>
    <cellStyle name="Comma 2 2 4 10 3" xfId="12799" xr:uid="{00000000-0005-0000-0000-0000FC310000}"/>
    <cellStyle name="Comma 2 2 4 10 4" xfId="12800" xr:uid="{00000000-0005-0000-0000-0000FD310000}"/>
    <cellStyle name="Comma 2 2 4 10 5" xfId="12801" xr:uid="{00000000-0005-0000-0000-0000FE310000}"/>
    <cellStyle name="Comma 2 2 4 10 6" xfId="12802" xr:uid="{00000000-0005-0000-0000-0000FF310000}"/>
    <cellStyle name="Comma 2 2 4 10 7" xfId="12803" xr:uid="{00000000-0005-0000-0000-000000320000}"/>
    <cellStyle name="Comma 2 2 4 10 8" xfId="12804" xr:uid="{00000000-0005-0000-0000-000001320000}"/>
    <cellStyle name="Comma 2 2 4 11" xfId="12805" xr:uid="{00000000-0005-0000-0000-000002320000}"/>
    <cellStyle name="Comma 2 2 4 11 2" xfId="12806" xr:uid="{00000000-0005-0000-0000-000003320000}"/>
    <cellStyle name="Comma 2 2 4 11 2 2" xfId="12807" xr:uid="{00000000-0005-0000-0000-000004320000}"/>
    <cellStyle name="Comma 2 2 4 11 3" xfId="12808" xr:uid="{00000000-0005-0000-0000-000005320000}"/>
    <cellStyle name="Comma 2 2 4 11 4" xfId="12809" xr:uid="{00000000-0005-0000-0000-000006320000}"/>
    <cellStyle name="Comma 2 2 4 11 5" xfId="12810" xr:uid="{00000000-0005-0000-0000-000007320000}"/>
    <cellStyle name="Comma 2 2 4 11 6" xfId="12811" xr:uid="{00000000-0005-0000-0000-000008320000}"/>
    <cellStyle name="Comma 2 2 4 11 7" xfId="12812" xr:uid="{00000000-0005-0000-0000-000009320000}"/>
    <cellStyle name="Comma 2 2 4 11 8" xfId="12813" xr:uid="{00000000-0005-0000-0000-00000A320000}"/>
    <cellStyle name="Comma 2 2 4 12" xfId="12814" xr:uid="{00000000-0005-0000-0000-00000B320000}"/>
    <cellStyle name="Comma 2 2 4 12 2" xfId="12815" xr:uid="{00000000-0005-0000-0000-00000C320000}"/>
    <cellStyle name="Comma 2 2 4 12 2 2" xfId="12816" xr:uid="{00000000-0005-0000-0000-00000D320000}"/>
    <cellStyle name="Comma 2 2 4 12 3" xfId="12817" xr:uid="{00000000-0005-0000-0000-00000E320000}"/>
    <cellStyle name="Comma 2 2 4 12 4" xfId="12818" xr:uid="{00000000-0005-0000-0000-00000F320000}"/>
    <cellStyle name="Comma 2 2 4 12 5" xfId="12819" xr:uid="{00000000-0005-0000-0000-000010320000}"/>
    <cellStyle name="Comma 2 2 4 12 6" xfId="12820" xr:uid="{00000000-0005-0000-0000-000011320000}"/>
    <cellStyle name="Comma 2 2 4 12 7" xfId="12821" xr:uid="{00000000-0005-0000-0000-000012320000}"/>
    <cellStyle name="Comma 2 2 4 12 8" xfId="12822" xr:uid="{00000000-0005-0000-0000-000013320000}"/>
    <cellStyle name="Comma 2 2 4 13" xfId="12823" xr:uid="{00000000-0005-0000-0000-000014320000}"/>
    <cellStyle name="Comma 2 2 4 13 2" xfId="12824" xr:uid="{00000000-0005-0000-0000-000015320000}"/>
    <cellStyle name="Comma 2 2 4 13 2 2" xfId="12825" xr:uid="{00000000-0005-0000-0000-000016320000}"/>
    <cellStyle name="Comma 2 2 4 13 3" xfId="12826" xr:uid="{00000000-0005-0000-0000-000017320000}"/>
    <cellStyle name="Comma 2 2 4 13 4" xfId="12827" xr:uid="{00000000-0005-0000-0000-000018320000}"/>
    <cellStyle name="Comma 2 2 4 13 5" xfId="12828" xr:uid="{00000000-0005-0000-0000-000019320000}"/>
    <cellStyle name="Comma 2 2 4 13 6" xfId="12829" xr:uid="{00000000-0005-0000-0000-00001A320000}"/>
    <cellStyle name="Comma 2 2 4 13 7" xfId="12830" xr:uid="{00000000-0005-0000-0000-00001B320000}"/>
    <cellStyle name="Comma 2 2 4 13 8" xfId="12831" xr:uid="{00000000-0005-0000-0000-00001C320000}"/>
    <cellStyle name="Comma 2 2 4 14" xfId="12832" xr:uid="{00000000-0005-0000-0000-00001D320000}"/>
    <cellStyle name="Comma 2 2 4 14 2" xfId="12833" xr:uid="{00000000-0005-0000-0000-00001E320000}"/>
    <cellStyle name="Comma 2 2 4 14 2 2" xfId="12834" xr:uid="{00000000-0005-0000-0000-00001F320000}"/>
    <cellStyle name="Comma 2 2 4 14 3" xfId="12835" xr:uid="{00000000-0005-0000-0000-000020320000}"/>
    <cellStyle name="Comma 2 2 4 14 4" xfId="12836" xr:uid="{00000000-0005-0000-0000-000021320000}"/>
    <cellStyle name="Comma 2 2 4 14 5" xfId="12837" xr:uid="{00000000-0005-0000-0000-000022320000}"/>
    <cellStyle name="Comma 2 2 4 14 6" xfId="12838" xr:uid="{00000000-0005-0000-0000-000023320000}"/>
    <cellStyle name="Comma 2 2 4 14 7" xfId="12839" xr:uid="{00000000-0005-0000-0000-000024320000}"/>
    <cellStyle name="Comma 2 2 4 14 8" xfId="12840" xr:uid="{00000000-0005-0000-0000-000025320000}"/>
    <cellStyle name="Comma 2 2 4 15" xfId="12841" xr:uid="{00000000-0005-0000-0000-000026320000}"/>
    <cellStyle name="Comma 2 2 4 15 2" xfId="12842" xr:uid="{00000000-0005-0000-0000-000027320000}"/>
    <cellStyle name="Comma 2 2 4 15 3" xfId="12843" xr:uid="{00000000-0005-0000-0000-000028320000}"/>
    <cellStyle name="Comma 2 2 4 16" xfId="12844" xr:uid="{00000000-0005-0000-0000-000029320000}"/>
    <cellStyle name="Comma 2 2 4 16 2" xfId="12845" xr:uid="{00000000-0005-0000-0000-00002A320000}"/>
    <cellStyle name="Comma 2 2 4 17" xfId="12846" xr:uid="{00000000-0005-0000-0000-00002B320000}"/>
    <cellStyle name="Comma 2 2 4 18" xfId="12847" xr:uid="{00000000-0005-0000-0000-00002C320000}"/>
    <cellStyle name="Comma 2 2 4 18 2" xfId="12848" xr:uid="{00000000-0005-0000-0000-00002D320000}"/>
    <cellStyle name="Comma 2 2 4 19" xfId="12849" xr:uid="{00000000-0005-0000-0000-00002E320000}"/>
    <cellStyle name="Comma 2 2 4 2" xfId="12850" xr:uid="{00000000-0005-0000-0000-00002F320000}"/>
    <cellStyle name="Comma 2 2 4 2 2" xfId="12851" xr:uid="{00000000-0005-0000-0000-000030320000}"/>
    <cellStyle name="Comma 2 2 4 2 2 10" xfId="12852" xr:uid="{00000000-0005-0000-0000-000031320000}"/>
    <cellStyle name="Comma 2 2 4 2 2 10 2" xfId="12853" xr:uid="{00000000-0005-0000-0000-000032320000}"/>
    <cellStyle name="Comma 2 2 4 2 2 10 2 2" xfId="12854" xr:uid="{00000000-0005-0000-0000-000033320000}"/>
    <cellStyle name="Comma 2 2 4 2 2 10 3" xfId="12855" xr:uid="{00000000-0005-0000-0000-000034320000}"/>
    <cellStyle name="Comma 2 2 4 2 2 10 4" xfId="12856" xr:uid="{00000000-0005-0000-0000-000035320000}"/>
    <cellStyle name="Comma 2 2 4 2 2 10 5" xfId="12857" xr:uid="{00000000-0005-0000-0000-000036320000}"/>
    <cellStyle name="Comma 2 2 4 2 2 10 6" xfId="12858" xr:uid="{00000000-0005-0000-0000-000037320000}"/>
    <cellStyle name="Comma 2 2 4 2 2 10 7" xfId="12859" xr:uid="{00000000-0005-0000-0000-000038320000}"/>
    <cellStyle name="Comma 2 2 4 2 2 10 8" xfId="12860" xr:uid="{00000000-0005-0000-0000-000039320000}"/>
    <cellStyle name="Comma 2 2 4 2 2 11" xfId="12861" xr:uid="{00000000-0005-0000-0000-00003A320000}"/>
    <cellStyle name="Comma 2 2 4 2 2 11 2" xfId="12862" xr:uid="{00000000-0005-0000-0000-00003B320000}"/>
    <cellStyle name="Comma 2 2 4 2 2 11 2 2" xfId="12863" xr:uid="{00000000-0005-0000-0000-00003C320000}"/>
    <cellStyle name="Comma 2 2 4 2 2 11 3" xfId="12864" xr:uid="{00000000-0005-0000-0000-00003D320000}"/>
    <cellStyle name="Comma 2 2 4 2 2 11 4" xfId="12865" xr:uid="{00000000-0005-0000-0000-00003E320000}"/>
    <cellStyle name="Comma 2 2 4 2 2 11 5" xfId="12866" xr:uid="{00000000-0005-0000-0000-00003F320000}"/>
    <cellStyle name="Comma 2 2 4 2 2 11 6" xfId="12867" xr:uid="{00000000-0005-0000-0000-000040320000}"/>
    <cellStyle name="Comma 2 2 4 2 2 11 7" xfId="12868" xr:uid="{00000000-0005-0000-0000-000041320000}"/>
    <cellStyle name="Comma 2 2 4 2 2 11 8" xfId="12869" xr:uid="{00000000-0005-0000-0000-000042320000}"/>
    <cellStyle name="Comma 2 2 4 2 2 12" xfId="12870" xr:uid="{00000000-0005-0000-0000-000043320000}"/>
    <cellStyle name="Comma 2 2 4 2 2 12 2" xfId="12871" xr:uid="{00000000-0005-0000-0000-000044320000}"/>
    <cellStyle name="Comma 2 2 4 2 2 12 2 2" xfId="12872" xr:uid="{00000000-0005-0000-0000-000045320000}"/>
    <cellStyle name="Comma 2 2 4 2 2 12 3" xfId="12873" xr:uid="{00000000-0005-0000-0000-000046320000}"/>
    <cellStyle name="Comma 2 2 4 2 2 12 4" xfId="12874" xr:uid="{00000000-0005-0000-0000-000047320000}"/>
    <cellStyle name="Comma 2 2 4 2 2 12 5" xfId="12875" xr:uid="{00000000-0005-0000-0000-000048320000}"/>
    <cellStyle name="Comma 2 2 4 2 2 12 6" xfId="12876" xr:uid="{00000000-0005-0000-0000-000049320000}"/>
    <cellStyle name="Comma 2 2 4 2 2 12 7" xfId="12877" xr:uid="{00000000-0005-0000-0000-00004A320000}"/>
    <cellStyle name="Comma 2 2 4 2 2 12 8" xfId="12878" xr:uid="{00000000-0005-0000-0000-00004B320000}"/>
    <cellStyle name="Comma 2 2 4 2 2 13" xfId="12879" xr:uid="{00000000-0005-0000-0000-00004C320000}"/>
    <cellStyle name="Comma 2 2 4 2 2 13 2" xfId="12880" xr:uid="{00000000-0005-0000-0000-00004D320000}"/>
    <cellStyle name="Comma 2 2 4 2 2 13 2 2" xfId="12881" xr:uid="{00000000-0005-0000-0000-00004E320000}"/>
    <cellStyle name="Comma 2 2 4 2 2 13 3" xfId="12882" xr:uid="{00000000-0005-0000-0000-00004F320000}"/>
    <cellStyle name="Comma 2 2 4 2 2 13 4" xfId="12883" xr:uid="{00000000-0005-0000-0000-000050320000}"/>
    <cellStyle name="Comma 2 2 4 2 2 13 5" xfId="12884" xr:uid="{00000000-0005-0000-0000-000051320000}"/>
    <cellStyle name="Comma 2 2 4 2 2 13 6" xfId="12885" xr:uid="{00000000-0005-0000-0000-000052320000}"/>
    <cellStyle name="Comma 2 2 4 2 2 13 7" xfId="12886" xr:uid="{00000000-0005-0000-0000-000053320000}"/>
    <cellStyle name="Comma 2 2 4 2 2 13 8" xfId="12887" xr:uid="{00000000-0005-0000-0000-000054320000}"/>
    <cellStyle name="Comma 2 2 4 2 2 14" xfId="12888" xr:uid="{00000000-0005-0000-0000-000055320000}"/>
    <cellStyle name="Comma 2 2 4 2 2 14 2" xfId="12889" xr:uid="{00000000-0005-0000-0000-000056320000}"/>
    <cellStyle name="Comma 2 2 4 2 2 14 3" xfId="12890" xr:uid="{00000000-0005-0000-0000-000057320000}"/>
    <cellStyle name="Comma 2 2 4 2 2 15" xfId="12891" xr:uid="{00000000-0005-0000-0000-000058320000}"/>
    <cellStyle name="Comma 2 2 4 2 2 15 2" xfId="12892" xr:uid="{00000000-0005-0000-0000-000059320000}"/>
    <cellStyle name="Comma 2 2 4 2 2 16" xfId="12893" xr:uid="{00000000-0005-0000-0000-00005A320000}"/>
    <cellStyle name="Comma 2 2 4 2 2 17" xfId="12894" xr:uid="{00000000-0005-0000-0000-00005B320000}"/>
    <cellStyle name="Comma 2 2 4 2 2 17 2" xfId="12895" xr:uid="{00000000-0005-0000-0000-00005C320000}"/>
    <cellStyle name="Comma 2 2 4 2 2 18" xfId="12896" xr:uid="{00000000-0005-0000-0000-00005D320000}"/>
    <cellStyle name="Comma 2 2 4 2 2 19" xfId="12897" xr:uid="{00000000-0005-0000-0000-00005E320000}"/>
    <cellStyle name="Comma 2 2 4 2 2 2" xfId="12898" xr:uid="{00000000-0005-0000-0000-00005F320000}"/>
    <cellStyle name="Comma 2 2 4 2 2 2 2" xfId="12899" xr:uid="{00000000-0005-0000-0000-000060320000}"/>
    <cellStyle name="Comma 2 2 4 2 2 2 2 2" xfId="12900" xr:uid="{00000000-0005-0000-0000-000061320000}"/>
    <cellStyle name="Comma 2 2 4 2 2 2 3" xfId="12901" xr:uid="{00000000-0005-0000-0000-000062320000}"/>
    <cellStyle name="Comma 2 2 4 2 2 2 4" xfId="12902" xr:uid="{00000000-0005-0000-0000-000063320000}"/>
    <cellStyle name="Comma 2 2 4 2 2 2 5" xfId="12903" xr:uid="{00000000-0005-0000-0000-000064320000}"/>
    <cellStyle name="Comma 2 2 4 2 2 20" xfId="12904" xr:uid="{00000000-0005-0000-0000-000065320000}"/>
    <cellStyle name="Comma 2 2 4 2 2 21" xfId="12905" xr:uid="{00000000-0005-0000-0000-000066320000}"/>
    <cellStyle name="Comma 2 2 4 2 2 22" xfId="12906" xr:uid="{00000000-0005-0000-0000-000067320000}"/>
    <cellStyle name="Comma 2 2 4 2 2 23" xfId="12907" xr:uid="{00000000-0005-0000-0000-000068320000}"/>
    <cellStyle name="Comma 2 2 4 2 2 24" xfId="12908" xr:uid="{00000000-0005-0000-0000-000069320000}"/>
    <cellStyle name="Comma 2 2 4 2 2 25" xfId="12909" xr:uid="{00000000-0005-0000-0000-00006A320000}"/>
    <cellStyle name="Comma 2 2 4 2 2 3" xfId="12910" xr:uid="{00000000-0005-0000-0000-00006B320000}"/>
    <cellStyle name="Comma 2 2 4 2 2 3 2" xfId="12911" xr:uid="{00000000-0005-0000-0000-00006C320000}"/>
    <cellStyle name="Comma 2 2 4 2 2 3 2 2" xfId="12912" xr:uid="{00000000-0005-0000-0000-00006D320000}"/>
    <cellStyle name="Comma 2 2 4 2 2 3 3" xfId="12913" xr:uid="{00000000-0005-0000-0000-00006E320000}"/>
    <cellStyle name="Comma 2 2 4 2 2 4" xfId="12914" xr:uid="{00000000-0005-0000-0000-00006F320000}"/>
    <cellStyle name="Comma 2 2 4 2 2 4 2" xfId="12915" xr:uid="{00000000-0005-0000-0000-000070320000}"/>
    <cellStyle name="Comma 2 2 4 2 2 4 2 2" xfId="12916" xr:uid="{00000000-0005-0000-0000-000071320000}"/>
    <cellStyle name="Comma 2 2 4 2 2 5" xfId="12917" xr:uid="{00000000-0005-0000-0000-000072320000}"/>
    <cellStyle name="Comma 2 2 4 2 2 5 2" xfId="12918" xr:uid="{00000000-0005-0000-0000-000073320000}"/>
    <cellStyle name="Comma 2 2 4 2 2 5 2 2" xfId="12919" xr:uid="{00000000-0005-0000-0000-000074320000}"/>
    <cellStyle name="Comma 2 2 4 2 2 5 3" xfId="12920" xr:uid="{00000000-0005-0000-0000-000075320000}"/>
    <cellStyle name="Comma 2 2 4 2 2 5 3 2" xfId="12921" xr:uid="{00000000-0005-0000-0000-000076320000}"/>
    <cellStyle name="Comma 2 2 4 2 2 5 4" xfId="12922" xr:uid="{00000000-0005-0000-0000-000077320000}"/>
    <cellStyle name="Comma 2 2 4 2 2 5 5" xfId="12923" xr:uid="{00000000-0005-0000-0000-000078320000}"/>
    <cellStyle name="Comma 2 2 4 2 2 5 6" xfId="12924" xr:uid="{00000000-0005-0000-0000-000079320000}"/>
    <cellStyle name="Comma 2 2 4 2 2 5 7" xfId="12925" xr:uid="{00000000-0005-0000-0000-00007A320000}"/>
    <cellStyle name="Comma 2 2 4 2 2 5 8" xfId="12926" xr:uid="{00000000-0005-0000-0000-00007B320000}"/>
    <cellStyle name="Comma 2 2 4 2 2 5 9" xfId="12927" xr:uid="{00000000-0005-0000-0000-00007C320000}"/>
    <cellStyle name="Comma 2 2 4 2 2 6" xfId="12928" xr:uid="{00000000-0005-0000-0000-00007D320000}"/>
    <cellStyle name="Comma 2 2 4 2 2 6 2" xfId="12929" xr:uid="{00000000-0005-0000-0000-00007E320000}"/>
    <cellStyle name="Comma 2 2 4 2 2 7" xfId="12930" xr:uid="{00000000-0005-0000-0000-00007F320000}"/>
    <cellStyle name="Comma 2 2 4 2 2 7 2" xfId="12931" xr:uid="{00000000-0005-0000-0000-000080320000}"/>
    <cellStyle name="Comma 2 2 4 2 2 7 2 2" xfId="12932" xr:uid="{00000000-0005-0000-0000-000081320000}"/>
    <cellStyle name="Comma 2 2 4 2 2 7 3" xfId="12933" xr:uid="{00000000-0005-0000-0000-000082320000}"/>
    <cellStyle name="Comma 2 2 4 2 2 7 4" xfId="12934" xr:uid="{00000000-0005-0000-0000-000083320000}"/>
    <cellStyle name="Comma 2 2 4 2 2 7 5" xfId="12935" xr:uid="{00000000-0005-0000-0000-000084320000}"/>
    <cellStyle name="Comma 2 2 4 2 2 7 6" xfId="12936" xr:uid="{00000000-0005-0000-0000-000085320000}"/>
    <cellStyle name="Comma 2 2 4 2 2 7 7" xfId="12937" xr:uid="{00000000-0005-0000-0000-000086320000}"/>
    <cellStyle name="Comma 2 2 4 2 2 7 8" xfId="12938" xr:uid="{00000000-0005-0000-0000-000087320000}"/>
    <cellStyle name="Comma 2 2 4 2 2 8" xfId="12939" xr:uid="{00000000-0005-0000-0000-000088320000}"/>
    <cellStyle name="Comma 2 2 4 2 2 8 2" xfId="12940" xr:uid="{00000000-0005-0000-0000-000089320000}"/>
    <cellStyle name="Comma 2 2 4 2 2 8 2 2" xfId="12941" xr:uid="{00000000-0005-0000-0000-00008A320000}"/>
    <cellStyle name="Comma 2 2 4 2 2 8 3" xfId="12942" xr:uid="{00000000-0005-0000-0000-00008B320000}"/>
    <cellStyle name="Comma 2 2 4 2 2 8 4" xfId="12943" xr:uid="{00000000-0005-0000-0000-00008C320000}"/>
    <cellStyle name="Comma 2 2 4 2 2 8 5" xfId="12944" xr:uid="{00000000-0005-0000-0000-00008D320000}"/>
    <cellStyle name="Comma 2 2 4 2 2 8 6" xfId="12945" xr:uid="{00000000-0005-0000-0000-00008E320000}"/>
    <cellStyle name="Comma 2 2 4 2 2 8 7" xfId="12946" xr:uid="{00000000-0005-0000-0000-00008F320000}"/>
    <cellStyle name="Comma 2 2 4 2 2 8 8" xfId="12947" xr:uid="{00000000-0005-0000-0000-000090320000}"/>
    <cellStyle name="Comma 2 2 4 2 2 9" xfId="12948" xr:uid="{00000000-0005-0000-0000-000091320000}"/>
    <cellStyle name="Comma 2 2 4 2 2 9 2" xfId="12949" xr:uid="{00000000-0005-0000-0000-000092320000}"/>
    <cellStyle name="Comma 2 2 4 2 2 9 2 2" xfId="12950" xr:uid="{00000000-0005-0000-0000-000093320000}"/>
    <cellStyle name="Comma 2 2 4 2 2 9 3" xfId="12951" xr:uid="{00000000-0005-0000-0000-000094320000}"/>
    <cellStyle name="Comma 2 2 4 2 2 9 4" xfId="12952" xr:uid="{00000000-0005-0000-0000-000095320000}"/>
    <cellStyle name="Comma 2 2 4 2 2 9 5" xfId="12953" xr:uid="{00000000-0005-0000-0000-000096320000}"/>
    <cellStyle name="Comma 2 2 4 2 2 9 6" xfId="12954" xr:uid="{00000000-0005-0000-0000-000097320000}"/>
    <cellStyle name="Comma 2 2 4 2 2 9 7" xfId="12955" xr:uid="{00000000-0005-0000-0000-000098320000}"/>
    <cellStyle name="Comma 2 2 4 2 2 9 8" xfId="12956" xr:uid="{00000000-0005-0000-0000-000099320000}"/>
    <cellStyle name="Comma 2 2 4 2 3" xfId="12957" xr:uid="{00000000-0005-0000-0000-00009A320000}"/>
    <cellStyle name="Comma 2 2 4 2 3 2" xfId="12958" xr:uid="{00000000-0005-0000-0000-00009B320000}"/>
    <cellStyle name="Comma 2 2 4 2 3 3" xfId="12959" xr:uid="{00000000-0005-0000-0000-00009C320000}"/>
    <cellStyle name="Comma 2 2 4 2 3 4" xfId="12960" xr:uid="{00000000-0005-0000-0000-00009D320000}"/>
    <cellStyle name="Comma 2 2 4 2 3 5" xfId="12961" xr:uid="{00000000-0005-0000-0000-00009E320000}"/>
    <cellStyle name="Comma 2 2 4 2 4" xfId="12962" xr:uid="{00000000-0005-0000-0000-00009F320000}"/>
    <cellStyle name="Comma 2 2 4 2 5" xfId="12963" xr:uid="{00000000-0005-0000-0000-0000A0320000}"/>
    <cellStyle name="Comma 2 2 4 2 6" xfId="12964" xr:uid="{00000000-0005-0000-0000-0000A1320000}"/>
    <cellStyle name="Comma 2 2 4 20" xfId="12965" xr:uid="{00000000-0005-0000-0000-0000A2320000}"/>
    <cellStyle name="Comma 2 2 4 21" xfId="12966" xr:uid="{00000000-0005-0000-0000-0000A3320000}"/>
    <cellStyle name="Comma 2 2 4 22" xfId="12967" xr:uid="{00000000-0005-0000-0000-0000A4320000}"/>
    <cellStyle name="Comma 2 2 4 23" xfId="12968" xr:uid="{00000000-0005-0000-0000-0000A5320000}"/>
    <cellStyle name="Comma 2 2 4 24" xfId="12969" xr:uid="{00000000-0005-0000-0000-0000A6320000}"/>
    <cellStyle name="Comma 2 2 4 25" xfId="12970" xr:uid="{00000000-0005-0000-0000-0000A7320000}"/>
    <cellStyle name="Comma 2 2 4 26" xfId="12971" xr:uid="{00000000-0005-0000-0000-0000A8320000}"/>
    <cellStyle name="Comma 2 2 4 3" xfId="12972" xr:uid="{00000000-0005-0000-0000-0000A9320000}"/>
    <cellStyle name="Comma 2 2 4 3 2" xfId="12973" xr:uid="{00000000-0005-0000-0000-0000AA320000}"/>
    <cellStyle name="Comma 2 2 4 3 2 2" xfId="12974" xr:uid="{00000000-0005-0000-0000-0000AB320000}"/>
    <cellStyle name="Comma 2 2 4 3 2 3" xfId="12975" xr:uid="{00000000-0005-0000-0000-0000AC320000}"/>
    <cellStyle name="Comma 2 2 4 3 2 4" xfId="12976" xr:uid="{00000000-0005-0000-0000-0000AD320000}"/>
    <cellStyle name="Comma 2 2 4 3 3" xfId="12977" xr:uid="{00000000-0005-0000-0000-0000AE320000}"/>
    <cellStyle name="Comma 2 2 4 3 4" xfId="12978" xr:uid="{00000000-0005-0000-0000-0000AF320000}"/>
    <cellStyle name="Comma 2 2 4 3 5" xfId="12979" xr:uid="{00000000-0005-0000-0000-0000B0320000}"/>
    <cellStyle name="Comma 2 2 4 4" xfId="12980" xr:uid="{00000000-0005-0000-0000-0000B1320000}"/>
    <cellStyle name="Comma 2 2 4 4 2" xfId="12981" xr:uid="{00000000-0005-0000-0000-0000B2320000}"/>
    <cellStyle name="Comma 2 2 4 4 2 2" xfId="12982" xr:uid="{00000000-0005-0000-0000-0000B3320000}"/>
    <cellStyle name="Comma 2 2 4 4 3" xfId="12983" xr:uid="{00000000-0005-0000-0000-0000B4320000}"/>
    <cellStyle name="Comma 2 2 4 5" xfId="12984" xr:uid="{00000000-0005-0000-0000-0000B5320000}"/>
    <cellStyle name="Comma 2 2 4 5 2" xfId="12985" xr:uid="{00000000-0005-0000-0000-0000B6320000}"/>
    <cellStyle name="Comma 2 2 4 5 2 2" xfId="12986" xr:uid="{00000000-0005-0000-0000-0000B7320000}"/>
    <cellStyle name="Comma 2 2 4 6" xfId="12987" xr:uid="{00000000-0005-0000-0000-0000B8320000}"/>
    <cellStyle name="Comma 2 2 4 6 2" xfId="12988" xr:uid="{00000000-0005-0000-0000-0000B9320000}"/>
    <cellStyle name="Comma 2 2 4 6 2 2" xfId="12989" xr:uid="{00000000-0005-0000-0000-0000BA320000}"/>
    <cellStyle name="Comma 2 2 4 6 3" xfId="12990" xr:uid="{00000000-0005-0000-0000-0000BB320000}"/>
    <cellStyle name="Comma 2 2 4 6 4" xfId="12991" xr:uid="{00000000-0005-0000-0000-0000BC320000}"/>
    <cellStyle name="Comma 2 2 4 6 5" xfId="12992" xr:uid="{00000000-0005-0000-0000-0000BD320000}"/>
    <cellStyle name="Comma 2 2 4 6 6" xfId="12993" xr:uid="{00000000-0005-0000-0000-0000BE320000}"/>
    <cellStyle name="Comma 2 2 4 6 7" xfId="12994" xr:uid="{00000000-0005-0000-0000-0000BF320000}"/>
    <cellStyle name="Comma 2 2 4 6 8" xfId="12995" xr:uid="{00000000-0005-0000-0000-0000C0320000}"/>
    <cellStyle name="Comma 2 2 4 7" xfId="12996" xr:uid="{00000000-0005-0000-0000-0000C1320000}"/>
    <cellStyle name="Comma 2 2 4 7 2" xfId="12997" xr:uid="{00000000-0005-0000-0000-0000C2320000}"/>
    <cellStyle name="Comma 2 2 4 8" xfId="12998" xr:uid="{00000000-0005-0000-0000-0000C3320000}"/>
    <cellStyle name="Comma 2 2 4 8 2" xfId="12999" xr:uid="{00000000-0005-0000-0000-0000C4320000}"/>
    <cellStyle name="Comma 2 2 4 8 2 2" xfId="13000" xr:uid="{00000000-0005-0000-0000-0000C5320000}"/>
    <cellStyle name="Comma 2 2 4 8 3" xfId="13001" xr:uid="{00000000-0005-0000-0000-0000C6320000}"/>
    <cellStyle name="Comma 2 2 4 8 4" xfId="13002" xr:uid="{00000000-0005-0000-0000-0000C7320000}"/>
    <cellStyle name="Comma 2 2 4 8 5" xfId="13003" xr:uid="{00000000-0005-0000-0000-0000C8320000}"/>
    <cellStyle name="Comma 2 2 4 8 6" xfId="13004" xr:uid="{00000000-0005-0000-0000-0000C9320000}"/>
    <cellStyle name="Comma 2 2 4 8 7" xfId="13005" xr:uid="{00000000-0005-0000-0000-0000CA320000}"/>
    <cellStyle name="Comma 2 2 4 8 8" xfId="13006" xr:uid="{00000000-0005-0000-0000-0000CB320000}"/>
    <cellStyle name="Comma 2 2 4 9" xfId="13007" xr:uid="{00000000-0005-0000-0000-0000CC320000}"/>
    <cellStyle name="Comma 2 2 4 9 2" xfId="13008" xr:uid="{00000000-0005-0000-0000-0000CD320000}"/>
    <cellStyle name="Comma 2 2 4 9 2 2" xfId="13009" xr:uid="{00000000-0005-0000-0000-0000CE320000}"/>
    <cellStyle name="Comma 2 2 4 9 3" xfId="13010" xr:uid="{00000000-0005-0000-0000-0000CF320000}"/>
    <cellStyle name="Comma 2 2 4 9 4" xfId="13011" xr:uid="{00000000-0005-0000-0000-0000D0320000}"/>
    <cellStyle name="Comma 2 2 4 9 5" xfId="13012" xr:uid="{00000000-0005-0000-0000-0000D1320000}"/>
    <cellStyle name="Comma 2 2 4 9 6" xfId="13013" xr:uid="{00000000-0005-0000-0000-0000D2320000}"/>
    <cellStyle name="Comma 2 2 4 9 7" xfId="13014" xr:uid="{00000000-0005-0000-0000-0000D3320000}"/>
    <cellStyle name="Comma 2 2 4 9 8" xfId="13015" xr:uid="{00000000-0005-0000-0000-0000D4320000}"/>
    <cellStyle name="Comma 2 2 40" xfId="13016" xr:uid="{00000000-0005-0000-0000-0000D5320000}"/>
    <cellStyle name="Comma 2 2 40 2" xfId="13017" xr:uid="{00000000-0005-0000-0000-0000D6320000}"/>
    <cellStyle name="Comma 2 2 40 2 2" xfId="13018" xr:uid="{00000000-0005-0000-0000-0000D7320000}"/>
    <cellStyle name="Comma 2 2 40 3" xfId="13019" xr:uid="{00000000-0005-0000-0000-0000D8320000}"/>
    <cellStyle name="Comma 2 2 40 4" xfId="13020" xr:uid="{00000000-0005-0000-0000-0000D9320000}"/>
    <cellStyle name="Comma 2 2 40 5" xfId="13021" xr:uid="{00000000-0005-0000-0000-0000DA320000}"/>
    <cellStyle name="Comma 2 2 40 6" xfId="13022" xr:uid="{00000000-0005-0000-0000-0000DB320000}"/>
    <cellStyle name="Comma 2 2 40 7" xfId="13023" xr:uid="{00000000-0005-0000-0000-0000DC320000}"/>
    <cellStyle name="Comma 2 2 40 8" xfId="13024" xr:uid="{00000000-0005-0000-0000-0000DD320000}"/>
    <cellStyle name="Comma 2 2 41" xfId="13025" xr:uid="{00000000-0005-0000-0000-0000DE320000}"/>
    <cellStyle name="Comma 2 2 41 2" xfId="13026" xr:uid="{00000000-0005-0000-0000-0000DF320000}"/>
    <cellStyle name="Comma 2 2 41 2 2" xfId="13027" xr:uid="{00000000-0005-0000-0000-0000E0320000}"/>
    <cellStyle name="Comma 2 2 41 3" xfId="13028" xr:uid="{00000000-0005-0000-0000-0000E1320000}"/>
    <cellStyle name="Comma 2 2 41 4" xfId="13029" xr:uid="{00000000-0005-0000-0000-0000E2320000}"/>
    <cellStyle name="Comma 2 2 41 5" xfId="13030" xr:uid="{00000000-0005-0000-0000-0000E3320000}"/>
    <cellStyle name="Comma 2 2 41 6" xfId="13031" xr:uid="{00000000-0005-0000-0000-0000E4320000}"/>
    <cellStyle name="Comma 2 2 41 7" xfId="13032" xr:uid="{00000000-0005-0000-0000-0000E5320000}"/>
    <cellStyle name="Comma 2 2 41 8" xfId="13033" xr:uid="{00000000-0005-0000-0000-0000E6320000}"/>
    <cellStyle name="Comma 2 2 42" xfId="13034" xr:uid="{00000000-0005-0000-0000-0000E7320000}"/>
    <cellStyle name="Comma 2 2 42 2" xfId="13035" xr:uid="{00000000-0005-0000-0000-0000E8320000}"/>
    <cellStyle name="Comma 2 2 43" xfId="13036" xr:uid="{00000000-0005-0000-0000-0000E9320000}"/>
    <cellStyle name="Comma 2 2 43 2" xfId="13037" xr:uid="{00000000-0005-0000-0000-0000EA320000}"/>
    <cellStyle name="Comma 2 2 44" xfId="13038" xr:uid="{00000000-0005-0000-0000-0000EB320000}"/>
    <cellStyle name="Comma 2 2 44 2" xfId="13039" xr:uid="{00000000-0005-0000-0000-0000EC320000}"/>
    <cellStyle name="Comma 2 2 45" xfId="13040" xr:uid="{00000000-0005-0000-0000-0000ED320000}"/>
    <cellStyle name="Comma 2 2 45 2" xfId="13041" xr:uid="{00000000-0005-0000-0000-0000EE320000}"/>
    <cellStyle name="Comma 2 2 46" xfId="13042" xr:uid="{00000000-0005-0000-0000-0000EF320000}"/>
    <cellStyle name="Comma 2 2 46 2" xfId="13043" xr:uid="{00000000-0005-0000-0000-0000F0320000}"/>
    <cellStyle name="Comma 2 2 46 2 2" xfId="13044" xr:uid="{00000000-0005-0000-0000-0000F1320000}"/>
    <cellStyle name="Comma 2 2 46 2 2 2" xfId="13045" xr:uid="{00000000-0005-0000-0000-0000F2320000}"/>
    <cellStyle name="Comma 2 2 46 3" xfId="13046" xr:uid="{00000000-0005-0000-0000-0000F3320000}"/>
    <cellStyle name="Comma 2 2 46 4" xfId="13047" xr:uid="{00000000-0005-0000-0000-0000F4320000}"/>
    <cellStyle name="Comma 2 2 46 5" xfId="13048" xr:uid="{00000000-0005-0000-0000-0000F5320000}"/>
    <cellStyle name="Comma 2 2 46 6" xfId="13049" xr:uid="{00000000-0005-0000-0000-0000F6320000}"/>
    <cellStyle name="Comma 2 2 47" xfId="13050" xr:uid="{00000000-0005-0000-0000-0000F7320000}"/>
    <cellStyle name="Comma 2 2 47 2" xfId="13051" xr:uid="{00000000-0005-0000-0000-0000F8320000}"/>
    <cellStyle name="Comma 2 2 47 2 2" xfId="13052" xr:uid="{00000000-0005-0000-0000-0000F9320000}"/>
    <cellStyle name="Comma 2 2 48" xfId="13053" xr:uid="{00000000-0005-0000-0000-0000FA320000}"/>
    <cellStyle name="Comma 2 2 49" xfId="13054" xr:uid="{00000000-0005-0000-0000-0000FB320000}"/>
    <cellStyle name="Comma 2 2 5" xfId="13055" xr:uid="{00000000-0005-0000-0000-0000FC320000}"/>
    <cellStyle name="Comma 2 2 5 10" xfId="13056" xr:uid="{00000000-0005-0000-0000-0000FD320000}"/>
    <cellStyle name="Comma 2 2 5 10 2" xfId="13057" xr:uid="{00000000-0005-0000-0000-0000FE320000}"/>
    <cellStyle name="Comma 2 2 5 10 2 2" xfId="13058" xr:uid="{00000000-0005-0000-0000-0000FF320000}"/>
    <cellStyle name="Comma 2 2 5 10 3" xfId="13059" xr:uid="{00000000-0005-0000-0000-000000330000}"/>
    <cellStyle name="Comma 2 2 5 10 4" xfId="13060" xr:uid="{00000000-0005-0000-0000-000001330000}"/>
    <cellStyle name="Comma 2 2 5 10 5" xfId="13061" xr:uid="{00000000-0005-0000-0000-000002330000}"/>
    <cellStyle name="Comma 2 2 5 10 6" xfId="13062" xr:uid="{00000000-0005-0000-0000-000003330000}"/>
    <cellStyle name="Comma 2 2 5 10 7" xfId="13063" xr:uid="{00000000-0005-0000-0000-000004330000}"/>
    <cellStyle name="Comma 2 2 5 10 8" xfId="13064" xr:uid="{00000000-0005-0000-0000-000005330000}"/>
    <cellStyle name="Comma 2 2 5 11" xfId="13065" xr:uid="{00000000-0005-0000-0000-000006330000}"/>
    <cellStyle name="Comma 2 2 5 11 2" xfId="13066" xr:uid="{00000000-0005-0000-0000-000007330000}"/>
    <cellStyle name="Comma 2 2 5 11 2 2" xfId="13067" xr:uid="{00000000-0005-0000-0000-000008330000}"/>
    <cellStyle name="Comma 2 2 5 11 3" xfId="13068" xr:uid="{00000000-0005-0000-0000-000009330000}"/>
    <cellStyle name="Comma 2 2 5 11 4" xfId="13069" xr:uid="{00000000-0005-0000-0000-00000A330000}"/>
    <cellStyle name="Comma 2 2 5 11 5" xfId="13070" xr:uid="{00000000-0005-0000-0000-00000B330000}"/>
    <cellStyle name="Comma 2 2 5 11 6" xfId="13071" xr:uid="{00000000-0005-0000-0000-00000C330000}"/>
    <cellStyle name="Comma 2 2 5 11 7" xfId="13072" xr:uid="{00000000-0005-0000-0000-00000D330000}"/>
    <cellStyle name="Comma 2 2 5 11 8" xfId="13073" xr:uid="{00000000-0005-0000-0000-00000E330000}"/>
    <cellStyle name="Comma 2 2 5 12" xfId="13074" xr:uid="{00000000-0005-0000-0000-00000F330000}"/>
    <cellStyle name="Comma 2 2 5 12 2" xfId="13075" xr:uid="{00000000-0005-0000-0000-000010330000}"/>
    <cellStyle name="Comma 2 2 5 12 2 2" xfId="13076" xr:uid="{00000000-0005-0000-0000-000011330000}"/>
    <cellStyle name="Comma 2 2 5 12 3" xfId="13077" xr:uid="{00000000-0005-0000-0000-000012330000}"/>
    <cellStyle name="Comma 2 2 5 12 4" xfId="13078" xr:uid="{00000000-0005-0000-0000-000013330000}"/>
    <cellStyle name="Comma 2 2 5 12 5" xfId="13079" xr:uid="{00000000-0005-0000-0000-000014330000}"/>
    <cellStyle name="Comma 2 2 5 12 6" xfId="13080" xr:uid="{00000000-0005-0000-0000-000015330000}"/>
    <cellStyle name="Comma 2 2 5 12 7" xfId="13081" xr:uid="{00000000-0005-0000-0000-000016330000}"/>
    <cellStyle name="Comma 2 2 5 12 8" xfId="13082" xr:uid="{00000000-0005-0000-0000-000017330000}"/>
    <cellStyle name="Comma 2 2 5 13" xfId="13083" xr:uid="{00000000-0005-0000-0000-000018330000}"/>
    <cellStyle name="Comma 2 2 5 13 2" xfId="13084" xr:uid="{00000000-0005-0000-0000-000019330000}"/>
    <cellStyle name="Comma 2 2 5 13 2 2" xfId="13085" xr:uid="{00000000-0005-0000-0000-00001A330000}"/>
    <cellStyle name="Comma 2 2 5 13 3" xfId="13086" xr:uid="{00000000-0005-0000-0000-00001B330000}"/>
    <cellStyle name="Comma 2 2 5 13 4" xfId="13087" xr:uid="{00000000-0005-0000-0000-00001C330000}"/>
    <cellStyle name="Comma 2 2 5 13 5" xfId="13088" xr:uid="{00000000-0005-0000-0000-00001D330000}"/>
    <cellStyle name="Comma 2 2 5 13 6" xfId="13089" xr:uid="{00000000-0005-0000-0000-00001E330000}"/>
    <cellStyle name="Comma 2 2 5 13 7" xfId="13090" xr:uid="{00000000-0005-0000-0000-00001F330000}"/>
    <cellStyle name="Comma 2 2 5 13 8" xfId="13091" xr:uid="{00000000-0005-0000-0000-000020330000}"/>
    <cellStyle name="Comma 2 2 5 14" xfId="13092" xr:uid="{00000000-0005-0000-0000-000021330000}"/>
    <cellStyle name="Comma 2 2 5 14 2" xfId="13093" xr:uid="{00000000-0005-0000-0000-000022330000}"/>
    <cellStyle name="Comma 2 2 5 14 3" xfId="13094" xr:uid="{00000000-0005-0000-0000-000023330000}"/>
    <cellStyle name="Comma 2 2 5 15" xfId="13095" xr:uid="{00000000-0005-0000-0000-000024330000}"/>
    <cellStyle name="Comma 2 2 5 15 2" xfId="13096" xr:uid="{00000000-0005-0000-0000-000025330000}"/>
    <cellStyle name="Comma 2 2 5 16" xfId="13097" xr:uid="{00000000-0005-0000-0000-000026330000}"/>
    <cellStyle name="Comma 2 2 5 17" xfId="13098" xr:uid="{00000000-0005-0000-0000-000027330000}"/>
    <cellStyle name="Comma 2 2 5 17 2" xfId="13099" xr:uid="{00000000-0005-0000-0000-000028330000}"/>
    <cellStyle name="Comma 2 2 5 18" xfId="13100" xr:uid="{00000000-0005-0000-0000-000029330000}"/>
    <cellStyle name="Comma 2 2 5 19" xfId="13101" xr:uid="{00000000-0005-0000-0000-00002A330000}"/>
    <cellStyle name="Comma 2 2 5 2" xfId="13102" xr:uid="{00000000-0005-0000-0000-00002B330000}"/>
    <cellStyle name="Comma 2 2 5 2 2" xfId="13103" xr:uid="{00000000-0005-0000-0000-00002C330000}"/>
    <cellStyle name="Comma 2 2 5 2 2 2" xfId="13104" xr:uid="{00000000-0005-0000-0000-00002D330000}"/>
    <cellStyle name="Comma 2 2 5 2 2 3" xfId="13105" xr:uid="{00000000-0005-0000-0000-00002E330000}"/>
    <cellStyle name="Comma 2 2 5 2 2 4" xfId="13106" xr:uid="{00000000-0005-0000-0000-00002F330000}"/>
    <cellStyle name="Comma 2 2 5 2 3" xfId="13107" xr:uid="{00000000-0005-0000-0000-000030330000}"/>
    <cellStyle name="Comma 2 2 5 2 4" xfId="13108" xr:uid="{00000000-0005-0000-0000-000031330000}"/>
    <cellStyle name="Comma 2 2 5 2 5" xfId="13109" xr:uid="{00000000-0005-0000-0000-000032330000}"/>
    <cellStyle name="Comma 2 2 5 20" xfId="13110" xr:uid="{00000000-0005-0000-0000-000033330000}"/>
    <cellStyle name="Comma 2 2 5 21" xfId="13111" xr:uid="{00000000-0005-0000-0000-000034330000}"/>
    <cellStyle name="Comma 2 2 5 22" xfId="13112" xr:uid="{00000000-0005-0000-0000-000035330000}"/>
    <cellStyle name="Comma 2 2 5 23" xfId="13113" xr:uid="{00000000-0005-0000-0000-000036330000}"/>
    <cellStyle name="Comma 2 2 5 24" xfId="13114" xr:uid="{00000000-0005-0000-0000-000037330000}"/>
    <cellStyle name="Comma 2 2 5 25" xfId="13115" xr:uid="{00000000-0005-0000-0000-000038330000}"/>
    <cellStyle name="Comma 2 2 5 3" xfId="13116" xr:uid="{00000000-0005-0000-0000-000039330000}"/>
    <cellStyle name="Comma 2 2 5 3 2" xfId="13117" xr:uid="{00000000-0005-0000-0000-00003A330000}"/>
    <cellStyle name="Comma 2 2 5 3 2 2" xfId="13118" xr:uid="{00000000-0005-0000-0000-00003B330000}"/>
    <cellStyle name="Comma 2 2 5 3 3" xfId="13119" xr:uid="{00000000-0005-0000-0000-00003C330000}"/>
    <cellStyle name="Comma 2 2 5 4" xfId="13120" xr:uid="{00000000-0005-0000-0000-00003D330000}"/>
    <cellStyle name="Comma 2 2 5 4 2" xfId="13121" xr:uid="{00000000-0005-0000-0000-00003E330000}"/>
    <cellStyle name="Comma 2 2 5 4 2 2" xfId="13122" xr:uid="{00000000-0005-0000-0000-00003F330000}"/>
    <cellStyle name="Comma 2 2 5 5" xfId="13123" xr:uid="{00000000-0005-0000-0000-000040330000}"/>
    <cellStyle name="Comma 2 2 5 5 2" xfId="13124" xr:uid="{00000000-0005-0000-0000-000041330000}"/>
    <cellStyle name="Comma 2 2 5 5 2 2" xfId="13125" xr:uid="{00000000-0005-0000-0000-000042330000}"/>
    <cellStyle name="Comma 2 2 5 5 3" xfId="13126" xr:uid="{00000000-0005-0000-0000-000043330000}"/>
    <cellStyle name="Comma 2 2 5 5 3 2" xfId="13127" xr:uid="{00000000-0005-0000-0000-000044330000}"/>
    <cellStyle name="Comma 2 2 5 5 4" xfId="13128" xr:uid="{00000000-0005-0000-0000-000045330000}"/>
    <cellStyle name="Comma 2 2 5 5 5" xfId="13129" xr:uid="{00000000-0005-0000-0000-000046330000}"/>
    <cellStyle name="Comma 2 2 5 5 6" xfId="13130" xr:uid="{00000000-0005-0000-0000-000047330000}"/>
    <cellStyle name="Comma 2 2 5 5 7" xfId="13131" xr:uid="{00000000-0005-0000-0000-000048330000}"/>
    <cellStyle name="Comma 2 2 5 5 8" xfId="13132" xr:uid="{00000000-0005-0000-0000-000049330000}"/>
    <cellStyle name="Comma 2 2 5 5 9" xfId="13133" xr:uid="{00000000-0005-0000-0000-00004A330000}"/>
    <cellStyle name="Comma 2 2 5 6" xfId="13134" xr:uid="{00000000-0005-0000-0000-00004B330000}"/>
    <cellStyle name="Comma 2 2 5 6 2" xfId="13135" xr:uid="{00000000-0005-0000-0000-00004C330000}"/>
    <cellStyle name="Comma 2 2 5 7" xfId="13136" xr:uid="{00000000-0005-0000-0000-00004D330000}"/>
    <cellStyle name="Comma 2 2 5 7 2" xfId="13137" xr:uid="{00000000-0005-0000-0000-00004E330000}"/>
    <cellStyle name="Comma 2 2 5 7 2 2" xfId="13138" xr:uid="{00000000-0005-0000-0000-00004F330000}"/>
    <cellStyle name="Comma 2 2 5 7 3" xfId="13139" xr:uid="{00000000-0005-0000-0000-000050330000}"/>
    <cellStyle name="Comma 2 2 5 7 4" xfId="13140" xr:uid="{00000000-0005-0000-0000-000051330000}"/>
    <cellStyle name="Comma 2 2 5 7 5" xfId="13141" xr:uid="{00000000-0005-0000-0000-000052330000}"/>
    <cellStyle name="Comma 2 2 5 7 6" xfId="13142" xr:uid="{00000000-0005-0000-0000-000053330000}"/>
    <cellStyle name="Comma 2 2 5 7 7" xfId="13143" xr:uid="{00000000-0005-0000-0000-000054330000}"/>
    <cellStyle name="Comma 2 2 5 7 8" xfId="13144" xr:uid="{00000000-0005-0000-0000-000055330000}"/>
    <cellStyle name="Comma 2 2 5 8" xfId="13145" xr:uid="{00000000-0005-0000-0000-000056330000}"/>
    <cellStyle name="Comma 2 2 5 8 2" xfId="13146" xr:uid="{00000000-0005-0000-0000-000057330000}"/>
    <cellStyle name="Comma 2 2 5 8 2 2" xfId="13147" xr:uid="{00000000-0005-0000-0000-000058330000}"/>
    <cellStyle name="Comma 2 2 5 8 3" xfId="13148" xr:uid="{00000000-0005-0000-0000-000059330000}"/>
    <cellStyle name="Comma 2 2 5 8 4" xfId="13149" xr:uid="{00000000-0005-0000-0000-00005A330000}"/>
    <cellStyle name="Comma 2 2 5 8 5" xfId="13150" xr:uid="{00000000-0005-0000-0000-00005B330000}"/>
    <cellStyle name="Comma 2 2 5 8 6" xfId="13151" xr:uid="{00000000-0005-0000-0000-00005C330000}"/>
    <cellStyle name="Comma 2 2 5 8 7" xfId="13152" xr:uid="{00000000-0005-0000-0000-00005D330000}"/>
    <cellStyle name="Comma 2 2 5 8 8" xfId="13153" xr:uid="{00000000-0005-0000-0000-00005E330000}"/>
    <cellStyle name="Comma 2 2 5 9" xfId="13154" xr:uid="{00000000-0005-0000-0000-00005F330000}"/>
    <cellStyle name="Comma 2 2 5 9 2" xfId="13155" xr:uid="{00000000-0005-0000-0000-000060330000}"/>
    <cellStyle name="Comma 2 2 5 9 2 2" xfId="13156" xr:uid="{00000000-0005-0000-0000-000061330000}"/>
    <cellStyle name="Comma 2 2 5 9 3" xfId="13157" xr:uid="{00000000-0005-0000-0000-000062330000}"/>
    <cellStyle name="Comma 2 2 5 9 4" xfId="13158" xr:uid="{00000000-0005-0000-0000-000063330000}"/>
    <cellStyle name="Comma 2 2 5 9 5" xfId="13159" xr:uid="{00000000-0005-0000-0000-000064330000}"/>
    <cellStyle name="Comma 2 2 5 9 6" xfId="13160" xr:uid="{00000000-0005-0000-0000-000065330000}"/>
    <cellStyle name="Comma 2 2 5 9 7" xfId="13161" xr:uid="{00000000-0005-0000-0000-000066330000}"/>
    <cellStyle name="Comma 2 2 5 9 8" xfId="13162" xr:uid="{00000000-0005-0000-0000-000067330000}"/>
    <cellStyle name="Comma 2 2 50" xfId="13163" xr:uid="{00000000-0005-0000-0000-000068330000}"/>
    <cellStyle name="Comma 2 2 51" xfId="13164" xr:uid="{00000000-0005-0000-0000-000069330000}"/>
    <cellStyle name="Comma 2 2 52" xfId="13165" xr:uid="{00000000-0005-0000-0000-00006A330000}"/>
    <cellStyle name="Comma 2 2 53" xfId="13166" xr:uid="{00000000-0005-0000-0000-00006B330000}"/>
    <cellStyle name="Comma 2 2 54" xfId="13167" xr:uid="{00000000-0005-0000-0000-00006C330000}"/>
    <cellStyle name="Comma 2 2 6" xfId="13168" xr:uid="{00000000-0005-0000-0000-00006D330000}"/>
    <cellStyle name="Comma 2 2 6 10" xfId="13169" xr:uid="{00000000-0005-0000-0000-00006E330000}"/>
    <cellStyle name="Comma 2 2 6 10 2" xfId="13170" xr:uid="{00000000-0005-0000-0000-00006F330000}"/>
    <cellStyle name="Comma 2 2 6 10 2 2" xfId="13171" xr:uid="{00000000-0005-0000-0000-000070330000}"/>
    <cellStyle name="Comma 2 2 6 10 3" xfId="13172" xr:uid="{00000000-0005-0000-0000-000071330000}"/>
    <cellStyle name="Comma 2 2 6 10 4" xfId="13173" xr:uid="{00000000-0005-0000-0000-000072330000}"/>
    <cellStyle name="Comma 2 2 6 10 5" xfId="13174" xr:uid="{00000000-0005-0000-0000-000073330000}"/>
    <cellStyle name="Comma 2 2 6 10 6" xfId="13175" xr:uid="{00000000-0005-0000-0000-000074330000}"/>
    <cellStyle name="Comma 2 2 6 10 7" xfId="13176" xr:uid="{00000000-0005-0000-0000-000075330000}"/>
    <cellStyle name="Comma 2 2 6 10 8" xfId="13177" xr:uid="{00000000-0005-0000-0000-000076330000}"/>
    <cellStyle name="Comma 2 2 6 11" xfId="13178" xr:uid="{00000000-0005-0000-0000-000077330000}"/>
    <cellStyle name="Comma 2 2 6 11 2" xfId="13179" xr:uid="{00000000-0005-0000-0000-000078330000}"/>
    <cellStyle name="Comma 2 2 6 11 2 2" xfId="13180" xr:uid="{00000000-0005-0000-0000-000079330000}"/>
    <cellStyle name="Comma 2 2 6 11 3" xfId="13181" xr:uid="{00000000-0005-0000-0000-00007A330000}"/>
    <cellStyle name="Comma 2 2 6 11 4" xfId="13182" xr:uid="{00000000-0005-0000-0000-00007B330000}"/>
    <cellStyle name="Comma 2 2 6 11 5" xfId="13183" xr:uid="{00000000-0005-0000-0000-00007C330000}"/>
    <cellStyle name="Comma 2 2 6 11 6" xfId="13184" xr:uid="{00000000-0005-0000-0000-00007D330000}"/>
    <cellStyle name="Comma 2 2 6 11 7" xfId="13185" xr:uid="{00000000-0005-0000-0000-00007E330000}"/>
    <cellStyle name="Comma 2 2 6 11 8" xfId="13186" xr:uid="{00000000-0005-0000-0000-00007F330000}"/>
    <cellStyle name="Comma 2 2 6 12" xfId="13187" xr:uid="{00000000-0005-0000-0000-000080330000}"/>
    <cellStyle name="Comma 2 2 6 12 2" xfId="13188" xr:uid="{00000000-0005-0000-0000-000081330000}"/>
    <cellStyle name="Comma 2 2 6 12 2 2" xfId="13189" xr:uid="{00000000-0005-0000-0000-000082330000}"/>
    <cellStyle name="Comma 2 2 6 12 3" xfId="13190" xr:uid="{00000000-0005-0000-0000-000083330000}"/>
    <cellStyle name="Comma 2 2 6 12 4" xfId="13191" xr:uid="{00000000-0005-0000-0000-000084330000}"/>
    <cellStyle name="Comma 2 2 6 12 5" xfId="13192" xr:uid="{00000000-0005-0000-0000-000085330000}"/>
    <cellStyle name="Comma 2 2 6 12 6" xfId="13193" xr:uid="{00000000-0005-0000-0000-000086330000}"/>
    <cellStyle name="Comma 2 2 6 12 7" xfId="13194" xr:uid="{00000000-0005-0000-0000-000087330000}"/>
    <cellStyle name="Comma 2 2 6 12 8" xfId="13195" xr:uid="{00000000-0005-0000-0000-000088330000}"/>
    <cellStyle name="Comma 2 2 6 13" xfId="13196" xr:uid="{00000000-0005-0000-0000-000089330000}"/>
    <cellStyle name="Comma 2 2 6 13 2" xfId="13197" xr:uid="{00000000-0005-0000-0000-00008A330000}"/>
    <cellStyle name="Comma 2 2 6 13 2 2" xfId="13198" xr:uid="{00000000-0005-0000-0000-00008B330000}"/>
    <cellStyle name="Comma 2 2 6 13 3" xfId="13199" xr:uid="{00000000-0005-0000-0000-00008C330000}"/>
    <cellStyle name="Comma 2 2 6 13 4" xfId="13200" xr:uid="{00000000-0005-0000-0000-00008D330000}"/>
    <cellStyle name="Comma 2 2 6 13 5" xfId="13201" xr:uid="{00000000-0005-0000-0000-00008E330000}"/>
    <cellStyle name="Comma 2 2 6 13 6" xfId="13202" xr:uid="{00000000-0005-0000-0000-00008F330000}"/>
    <cellStyle name="Comma 2 2 6 13 7" xfId="13203" xr:uid="{00000000-0005-0000-0000-000090330000}"/>
    <cellStyle name="Comma 2 2 6 13 8" xfId="13204" xr:uid="{00000000-0005-0000-0000-000091330000}"/>
    <cellStyle name="Comma 2 2 6 14" xfId="13205" xr:uid="{00000000-0005-0000-0000-000092330000}"/>
    <cellStyle name="Comma 2 2 6 14 2" xfId="13206" xr:uid="{00000000-0005-0000-0000-000093330000}"/>
    <cellStyle name="Comma 2 2 6 14 3" xfId="13207" xr:uid="{00000000-0005-0000-0000-000094330000}"/>
    <cellStyle name="Comma 2 2 6 15" xfId="13208" xr:uid="{00000000-0005-0000-0000-000095330000}"/>
    <cellStyle name="Comma 2 2 6 15 2" xfId="13209" xr:uid="{00000000-0005-0000-0000-000096330000}"/>
    <cellStyle name="Comma 2 2 6 16" xfId="13210" xr:uid="{00000000-0005-0000-0000-000097330000}"/>
    <cellStyle name="Comma 2 2 6 17" xfId="13211" xr:uid="{00000000-0005-0000-0000-000098330000}"/>
    <cellStyle name="Comma 2 2 6 17 2" xfId="13212" xr:uid="{00000000-0005-0000-0000-000099330000}"/>
    <cellStyle name="Comma 2 2 6 18" xfId="13213" xr:uid="{00000000-0005-0000-0000-00009A330000}"/>
    <cellStyle name="Comma 2 2 6 19" xfId="13214" xr:uid="{00000000-0005-0000-0000-00009B330000}"/>
    <cellStyle name="Comma 2 2 6 2" xfId="13215" xr:uid="{00000000-0005-0000-0000-00009C330000}"/>
    <cellStyle name="Comma 2 2 6 2 2" xfId="13216" xr:uid="{00000000-0005-0000-0000-00009D330000}"/>
    <cellStyle name="Comma 2 2 6 2 2 2" xfId="13217" xr:uid="{00000000-0005-0000-0000-00009E330000}"/>
    <cellStyle name="Comma 2 2 6 2 2 2 2" xfId="13218" xr:uid="{00000000-0005-0000-0000-00009F330000}"/>
    <cellStyle name="Comma 2 2 6 2 2 2 2 2" xfId="13219" xr:uid="{00000000-0005-0000-0000-0000A0330000}"/>
    <cellStyle name="Comma 2 2 6 2 2 2 2 2 2" xfId="13220" xr:uid="{00000000-0005-0000-0000-0000A1330000}"/>
    <cellStyle name="Comma 2 2 6 2 2 2 2 2 3" xfId="13221" xr:uid="{00000000-0005-0000-0000-0000A2330000}"/>
    <cellStyle name="Comma 2 2 6 2 2 2 2 3" xfId="13222" xr:uid="{00000000-0005-0000-0000-0000A3330000}"/>
    <cellStyle name="Comma 2 2 6 2 2 2 3" xfId="13223" xr:uid="{00000000-0005-0000-0000-0000A4330000}"/>
    <cellStyle name="Comma 2 2 6 2 2 3" xfId="13224" xr:uid="{00000000-0005-0000-0000-0000A5330000}"/>
    <cellStyle name="Comma 2 2 6 2 2 4" xfId="13225" xr:uid="{00000000-0005-0000-0000-0000A6330000}"/>
    <cellStyle name="Comma 2 2 6 2 3" xfId="13226" xr:uid="{00000000-0005-0000-0000-0000A7330000}"/>
    <cellStyle name="Comma 2 2 6 2 3 2" xfId="13227" xr:uid="{00000000-0005-0000-0000-0000A8330000}"/>
    <cellStyle name="Comma 2 2 6 2 4" xfId="13228" xr:uid="{00000000-0005-0000-0000-0000A9330000}"/>
    <cellStyle name="Comma 2 2 6 2 4 2" xfId="13229" xr:uid="{00000000-0005-0000-0000-0000AA330000}"/>
    <cellStyle name="Comma 2 2 6 2 5" xfId="13230" xr:uid="{00000000-0005-0000-0000-0000AB330000}"/>
    <cellStyle name="Comma 2 2 6 20" xfId="13231" xr:uid="{00000000-0005-0000-0000-0000AC330000}"/>
    <cellStyle name="Comma 2 2 6 21" xfId="13232" xr:uid="{00000000-0005-0000-0000-0000AD330000}"/>
    <cellStyle name="Comma 2 2 6 22" xfId="13233" xr:uid="{00000000-0005-0000-0000-0000AE330000}"/>
    <cellStyle name="Comma 2 2 6 23" xfId="13234" xr:uid="{00000000-0005-0000-0000-0000AF330000}"/>
    <cellStyle name="Comma 2 2 6 24" xfId="13235" xr:uid="{00000000-0005-0000-0000-0000B0330000}"/>
    <cellStyle name="Comma 2 2 6 25" xfId="13236" xr:uid="{00000000-0005-0000-0000-0000B1330000}"/>
    <cellStyle name="Comma 2 2 6 3" xfId="13237" xr:uid="{00000000-0005-0000-0000-0000B2330000}"/>
    <cellStyle name="Comma 2 2 6 3 2" xfId="13238" xr:uid="{00000000-0005-0000-0000-0000B3330000}"/>
    <cellStyle name="Comma 2 2 6 3 2 2" xfId="13239" xr:uid="{00000000-0005-0000-0000-0000B4330000}"/>
    <cellStyle name="Comma 2 2 6 3 2 3" xfId="13240" xr:uid="{00000000-0005-0000-0000-0000B5330000}"/>
    <cellStyle name="Comma 2 2 6 3 2 4" xfId="13241" xr:uid="{00000000-0005-0000-0000-0000B6330000}"/>
    <cellStyle name="Comma 2 2 6 3 3" xfId="13242" xr:uid="{00000000-0005-0000-0000-0000B7330000}"/>
    <cellStyle name="Comma 2 2 6 3 3 2" xfId="13243" xr:uid="{00000000-0005-0000-0000-0000B8330000}"/>
    <cellStyle name="Comma 2 2 6 3 3 3" xfId="13244" xr:uid="{00000000-0005-0000-0000-0000B9330000}"/>
    <cellStyle name="Comma 2 2 6 4" xfId="13245" xr:uid="{00000000-0005-0000-0000-0000BA330000}"/>
    <cellStyle name="Comma 2 2 6 4 2" xfId="13246" xr:uid="{00000000-0005-0000-0000-0000BB330000}"/>
    <cellStyle name="Comma 2 2 6 5" xfId="13247" xr:uid="{00000000-0005-0000-0000-0000BC330000}"/>
    <cellStyle name="Comma 2 2 6 5 2" xfId="13248" xr:uid="{00000000-0005-0000-0000-0000BD330000}"/>
    <cellStyle name="Comma 2 2 6 5 2 2" xfId="13249" xr:uid="{00000000-0005-0000-0000-0000BE330000}"/>
    <cellStyle name="Comma 2 2 6 5 3" xfId="13250" xr:uid="{00000000-0005-0000-0000-0000BF330000}"/>
    <cellStyle name="Comma 2 2 6 5 4" xfId="13251" xr:uid="{00000000-0005-0000-0000-0000C0330000}"/>
    <cellStyle name="Comma 2 2 6 5 5" xfId="13252" xr:uid="{00000000-0005-0000-0000-0000C1330000}"/>
    <cellStyle name="Comma 2 2 6 5 6" xfId="13253" xr:uid="{00000000-0005-0000-0000-0000C2330000}"/>
    <cellStyle name="Comma 2 2 6 5 7" xfId="13254" xr:uid="{00000000-0005-0000-0000-0000C3330000}"/>
    <cellStyle name="Comma 2 2 6 5 8" xfId="13255" xr:uid="{00000000-0005-0000-0000-0000C4330000}"/>
    <cellStyle name="Comma 2 2 6 6" xfId="13256" xr:uid="{00000000-0005-0000-0000-0000C5330000}"/>
    <cellStyle name="Comma 2 2 6 6 2" xfId="13257" xr:uid="{00000000-0005-0000-0000-0000C6330000}"/>
    <cellStyle name="Comma 2 2 6 7" xfId="13258" xr:uid="{00000000-0005-0000-0000-0000C7330000}"/>
    <cellStyle name="Comma 2 2 6 7 2" xfId="13259" xr:uid="{00000000-0005-0000-0000-0000C8330000}"/>
    <cellStyle name="Comma 2 2 6 7 2 2" xfId="13260" xr:uid="{00000000-0005-0000-0000-0000C9330000}"/>
    <cellStyle name="Comma 2 2 6 7 3" xfId="13261" xr:uid="{00000000-0005-0000-0000-0000CA330000}"/>
    <cellStyle name="Comma 2 2 6 7 4" xfId="13262" xr:uid="{00000000-0005-0000-0000-0000CB330000}"/>
    <cellStyle name="Comma 2 2 6 7 5" xfId="13263" xr:uid="{00000000-0005-0000-0000-0000CC330000}"/>
    <cellStyle name="Comma 2 2 6 7 6" xfId="13264" xr:uid="{00000000-0005-0000-0000-0000CD330000}"/>
    <cellStyle name="Comma 2 2 6 7 7" xfId="13265" xr:uid="{00000000-0005-0000-0000-0000CE330000}"/>
    <cellStyle name="Comma 2 2 6 7 8" xfId="13266" xr:uid="{00000000-0005-0000-0000-0000CF330000}"/>
    <cellStyle name="Comma 2 2 6 8" xfId="13267" xr:uid="{00000000-0005-0000-0000-0000D0330000}"/>
    <cellStyle name="Comma 2 2 6 8 2" xfId="13268" xr:uid="{00000000-0005-0000-0000-0000D1330000}"/>
    <cellStyle name="Comma 2 2 6 8 2 2" xfId="13269" xr:uid="{00000000-0005-0000-0000-0000D2330000}"/>
    <cellStyle name="Comma 2 2 6 8 3" xfId="13270" xr:uid="{00000000-0005-0000-0000-0000D3330000}"/>
    <cellStyle name="Comma 2 2 6 8 4" xfId="13271" xr:uid="{00000000-0005-0000-0000-0000D4330000}"/>
    <cellStyle name="Comma 2 2 6 8 5" xfId="13272" xr:uid="{00000000-0005-0000-0000-0000D5330000}"/>
    <cellStyle name="Comma 2 2 6 8 6" xfId="13273" xr:uid="{00000000-0005-0000-0000-0000D6330000}"/>
    <cellStyle name="Comma 2 2 6 8 7" xfId="13274" xr:uid="{00000000-0005-0000-0000-0000D7330000}"/>
    <cellStyle name="Comma 2 2 6 8 8" xfId="13275" xr:uid="{00000000-0005-0000-0000-0000D8330000}"/>
    <cellStyle name="Comma 2 2 6 9" xfId="13276" xr:uid="{00000000-0005-0000-0000-0000D9330000}"/>
    <cellStyle name="Comma 2 2 6 9 2" xfId="13277" xr:uid="{00000000-0005-0000-0000-0000DA330000}"/>
    <cellStyle name="Comma 2 2 6 9 2 2" xfId="13278" xr:uid="{00000000-0005-0000-0000-0000DB330000}"/>
    <cellStyle name="Comma 2 2 6 9 3" xfId="13279" xr:uid="{00000000-0005-0000-0000-0000DC330000}"/>
    <cellStyle name="Comma 2 2 6 9 4" xfId="13280" xr:uid="{00000000-0005-0000-0000-0000DD330000}"/>
    <cellStyle name="Comma 2 2 6 9 5" xfId="13281" xr:uid="{00000000-0005-0000-0000-0000DE330000}"/>
    <cellStyle name="Comma 2 2 6 9 6" xfId="13282" xr:uid="{00000000-0005-0000-0000-0000DF330000}"/>
    <cellStyle name="Comma 2 2 6 9 7" xfId="13283" xr:uid="{00000000-0005-0000-0000-0000E0330000}"/>
    <cellStyle name="Comma 2 2 6 9 8" xfId="13284" xr:uid="{00000000-0005-0000-0000-0000E1330000}"/>
    <cellStyle name="Comma 2 2 7" xfId="13285" xr:uid="{00000000-0005-0000-0000-0000E2330000}"/>
    <cellStyle name="Comma 2 2 7 10" xfId="13286" xr:uid="{00000000-0005-0000-0000-0000E3330000}"/>
    <cellStyle name="Comma 2 2 7 10 2" xfId="13287" xr:uid="{00000000-0005-0000-0000-0000E4330000}"/>
    <cellStyle name="Comma 2 2 7 10 2 2" xfId="13288" xr:uid="{00000000-0005-0000-0000-0000E5330000}"/>
    <cellStyle name="Comma 2 2 7 10 3" xfId="13289" xr:uid="{00000000-0005-0000-0000-0000E6330000}"/>
    <cellStyle name="Comma 2 2 7 10 4" xfId="13290" xr:uid="{00000000-0005-0000-0000-0000E7330000}"/>
    <cellStyle name="Comma 2 2 7 10 5" xfId="13291" xr:uid="{00000000-0005-0000-0000-0000E8330000}"/>
    <cellStyle name="Comma 2 2 7 10 6" xfId="13292" xr:uid="{00000000-0005-0000-0000-0000E9330000}"/>
    <cellStyle name="Comma 2 2 7 10 7" xfId="13293" xr:uid="{00000000-0005-0000-0000-0000EA330000}"/>
    <cellStyle name="Comma 2 2 7 10 8" xfId="13294" xr:uid="{00000000-0005-0000-0000-0000EB330000}"/>
    <cellStyle name="Comma 2 2 7 11" xfId="13295" xr:uid="{00000000-0005-0000-0000-0000EC330000}"/>
    <cellStyle name="Comma 2 2 7 11 2" xfId="13296" xr:uid="{00000000-0005-0000-0000-0000ED330000}"/>
    <cellStyle name="Comma 2 2 7 11 2 2" xfId="13297" xr:uid="{00000000-0005-0000-0000-0000EE330000}"/>
    <cellStyle name="Comma 2 2 7 11 3" xfId="13298" xr:uid="{00000000-0005-0000-0000-0000EF330000}"/>
    <cellStyle name="Comma 2 2 7 11 4" xfId="13299" xr:uid="{00000000-0005-0000-0000-0000F0330000}"/>
    <cellStyle name="Comma 2 2 7 11 5" xfId="13300" xr:uid="{00000000-0005-0000-0000-0000F1330000}"/>
    <cellStyle name="Comma 2 2 7 11 6" xfId="13301" xr:uid="{00000000-0005-0000-0000-0000F2330000}"/>
    <cellStyle name="Comma 2 2 7 11 7" xfId="13302" xr:uid="{00000000-0005-0000-0000-0000F3330000}"/>
    <cellStyle name="Comma 2 2 7 11 8" xfId="13303" xr:uid="{00000000-0005-0000-0000-0000F4330000}"/>
    <cellStyle name="Comma 2 2 7 12" xfId="13304" xr:uid="{00000000-0005-0000-0000-0000F5330000}"/>
    <cellStyle name="Comma 2 2 7 12 2" xfId="13305" xr:uid="{00000000-0005-0000-0000-0000F6330000}"/>
    <cellStyle name="Comma 2 2 7 12 2 2" xfId="13306" xr:uid="{00000000-0005-0000-0000-0000F7330000}"/>
    <cellStyle name="Comma 2 2 7 12 3" xfId="13307" xr:uid="{00000000-0005-0000-0000-0000F8330000}"/>
    <cellStyle name="Comma 2 2 7 12 4" xfId="13308" xr:uid="{00000000-0005-0000-0000-0000F9330000}"/>
    <cellStyle name="Comma 2 2 7 12 5" xfId="13309" xr:uid="{00000000-0005-0000-0000-0000FA330000}"/>
    <cellStyle name="Comma 2 2 7 12 6" xfId="13310" xr:uid="{00000000-0005-0000-0000-0000FB330000}"/>
    <cellStyle name="Comma 2 2 7 12 7" xfId="13311" xr:uid="{00000000-0005-0000-0000-0000FC330000}"/>
    <cellStyle name="Comma 2 2 7 12 8" xfId="13312" xr:uid="{00000000-0005-0000-0000-0000FD330000}"/>
    <cellStyle name="Comma 2 2 7 13" xfId="13313" xr:uid="{00000000-0005-0000-0000-0000FE330000}"/>
    <cellStyle name="Comma 2 2 7 13 2" xfId="13314" xr:uid="{00000000-0005-0000-0000-0000FF330000}"/>
    <cellStyle name="Comma 2 2 7 13 2 2" xfId="13315" xr:uid="{00000000-0005-0000-0000-000000340000}"/>
    <cellStyle name="Comma 2 2 7 13 3" xfId="13316" xr:uid="{00000000-0005-0000-0000-000001340000}"/>
    <cellStyle name="Comma 2 2 7 13 4" xfId="13317" xr:uid="{00000000-0005-0000-0000-000002340000}"/>
    <cellStyle name="Comma 2 2 7 13 5" xfId="13318" xr:uid="{00000000-0005-0000-0000-000003340000}"/>
    <cellStyle name="Comma 2 2 7 13 6" xfId="13319" xr:uid="{00000000-0005-0000-0000-000004340000}"/>
    <cellStyle name="Comma 2 2 7 13 7" xfId="13320" xr:uid="{00000000-0005-0000-0000-000005340000}"/>
    <cellStyle name="Comma 2 2 7 13 8" xfId="13321" xr:uid="{00000000-0005-0000-0000-000006340000}"/>
    <cellStyle name="Comma 2 2 7 14" xfId="13322" xr:uid="{00000000-0005-0000-0000-000007340000}"/>
    <cellStyle name="Comma 2 2 7 14 2" xfId="13323" xr:uid="{00000000-0005-0000-0000-000008340000}"/>
    <cellStyle name="Comma 2 2 7 14 3" xfId="13324" xr:uid="{00000000-0005-0000-0000-000009340000}"/>
    <cellStyle name="Comma 2 2 7 15" xfId="13325" xr:uid="{00000000-0005-0000-0000-00000A340000}"/>
    <cellStyle name="Comma 2 2 7 15 2" xfId="13326" xr:uid="{00000000-0005-0000-0000-00000B340000}"/>
    <cellStyle name="Comma 2 2 7 16" xfId="13327" xr:uid="{00000000-0005-0000-0000-00000C340000}"/>
    <cellStyle name="Comma 2 2 7 16 2" xfId="13328" xr:uid="{00000000-0005-0000-0000-00000D340000}"/>
    <cellStyle name="Comma 2 2 7 17" xfId="13329" xr:uid="{00000000-0005-0000-0000-00000E340000}"/>
    <cellStyle name="Comma 2 2 7 17 2" xfId="13330" xr:uid="{00000000-0005-0000-0000-00000F340000}"/>
    <cellStyle name="Comma 2 2 7 18" xfId="13331" xr:uid="{00000000-0005-0000-0000-000010340000}"/>
    <cellStyle name="Comma 2 2 7 19" xfId="13332" xr:uid="{00000000-0005-0000-0000-000011340000}"/>
    <cellStyle name="Comma 2 2 7 2" xfId="13333" xr:uid="{00000000-0005-0000-0000-000012340000}"/>
    <cellStyle name="Comma 2 2 7 2 2" xfId="13334" xr:uid="{00000000-0005-0000-0000-000013340000}"/>
    <cellStyle name="Comma 2 2 7 2 2 2" xfId="13335" xr:uid="{00000000-0005-0000-0000-000014340000}"/>
    <cellStyle name="Comma 2 2 7 2 2 2 2" xfId="13336" xr:uid="{00000000-0005-0000-0000-000015340000}"/>
    <cellStyle name="Comma 2 2 7 2 2 2 3" xfId="13337" xr:uid="{00000000-0005-0000-0000-000016340000}"/>
    <cellStyle name="Comma 2 2 7 2 2 3" xfId="13338" xr:uid="{00000000-0005-0000-0000-000017340000}"/>
    <cellStyle name="Comma 2 2 7 2 3" xfId="13339" xr:uid="{00000000-0005-0000-0000-000018340000}"/>
    <cellStyle name="Comma 2 2 7 2 3 2" xfId="13340" xr:uid="{00000000-0005-0000-0000-000019340000}"/>
    <cellStyle name="Comma 2 2 7 2 4" xfId="13341" xr:uid="{00000000-0005-0000-0000-00001A340000}"/>
    <cellStyle name="Comma 2 2 7 2 5" xfId="13342" xr:uid="{00000000-0005-0000-0000-00001B340000}"/>
    <cellStyle name="Comma 2 2 7 20" xfId="13343" xr:uid="{00000000-0005-0000-0000-00001C340000}"/>
    <cellStyle name="Comma 2 2 7 21" xfId="13344" xr:uid="{00000000-0005-0000-0000-00001D340000}"/>
    <cellStyle name="Comma 2 2 7 22" xfId="13345" xr:uid="{00000000-0005-0000-0000-00001E340000}"/>
    <cellStyle name="Comma 2 2 7 23" xfId="13346" xr:uid="{00000000-0005-0000-0000-00001F340000}"/>
    <cellStyle name="Comma 2 2 7 24" xfId="13347" xr:uid="{00000000-0005-0000-0000-000020340000}"/>
    <cellStyle name="Comma 2 2 7 25" xfId="13348" xr:uid="{00000000-0005-0000-0000-000021340000}"/>
    <cellStyle name="Comma 2 2 7 3" xfId="13349" xr:uid="{00000000-0005-0000-0000-000022340000}"/>
    <cellStyle name="Comma 2 2 7 3 2" xfId="13350" xr:uid="{00000000-0005-0000-0000-000023340000}"/>
    <cellStyle name="Comma 2 2 7 3 3" xfId="13351" xr:uid="{00000000-0005-0000-0000-000024340000}"/>
    <cellStyle name="Comma 2 2 7 4" xfId="13352" xr:uid="{00000000-0005-0000-0000-000025340000}"/>
    <cellStyle name="Comma 2 2 7 4 2" xfId="13353" xr:uid="{00000000-0005-0000-0000-000026340000}"/>
    <cellStyle name="Comma 2 2 7 5" xfId="13354" xr:uid="{00000000-0005-0000-0000-000027340000}"/>
    <cellStyle name="Comma 2 2 7 5 2" xfId="13355" xr:uid="{00000000-0005-0000-0000-000028340000}"/>
    <cellStyle name="Comma 2 2 7 5 2 2" xfId="13356" xr:uid="{00000000-0005-0000-0000-000029340000}"/>
    <cellStyle name="Comma 2 2 7 5 3" xfId="13357" xr:uid="{00000000-0005-0000-0000-00002A340000}"/>
    <cellStyle name="Comma 2 2 7 5 4" xfId="13358" xr:uid="{00000000-0005-0000-0000-00002B340000}"/>
    <cellStyle name="Comma 2 2 7 5 5" xfId="13359" xr:uid="{00000000-0005-0000-0000-00002C340000}"/>
    <cellStyle name="Comma 2 2 7 5 6" xfId="13360" xr:uid="{00000000-0005-0000-0000-00002D340000}"/>
    <cellStyle name="Comma 2 2 7 5 7" xfId="13361" xr:uid="{00000000-0005-0000-0000-00002E340000}"/>
    <cellStyle name="Comma 2 2 7 5 8" xfId="13362" xr:uid="{00000000-0005-0000-0000-00002F340000}"/>
    <cellStyle name="Comma 2 2 7 6" xfId="13363" xr:uid="{00000000-0005-0000-0000-000030340000}"/>
    <cellStyle name="Comma 2 2 7 6 2" xfId="13364" xr:uid="{00000000-0005-0000-0000-000031340000}"/>
    <cellStyle name="Comma 2 2 7 7" xfId="13365" xr:uid="{00000000-0005-0000-0000-000032340000}"/>
    <cellStyle name="Comma 2 2 7 7 2" xfId="13366" xr:uid="{00000000-0005-0000-0000-000033340000}"/>
    <cellStyle name="Comma 2 2 7 7 2 2" xfId="13367" xr:uid="{00000000-0005-0000-0000-000034340000}"/>
    <cellStyle name="Comma 2 2 7 7 3" xfId="13368" xr:uid="{00000000-0005-0000-0000-000035340000}"/>
    <cellStyle name="Comma 2 2 7 7 4" xfId="13369" xr:uid="{00000000-0005-0000-0000-000036340000}"/>
    <cellStyle name="Comma 2 2 7 7 5" xfId="13370" xr:uid="{00000000-0005-0000-0000-000037340000}"/>
    <cellStyle name="Comma 2 2 7 7 6" xfId="13371" xr:uid="{00000000-0005-0000-0000-000038340000}"/>
    <cellStyle name="Comma 2 2 7 7 7" xfId="13372" xr:uid="{00000000-0005-0000-0000-000039340000}"/>
    <cellStyle name="Comma 2 2 7 7 8" xfId="13373" xr:uid="{00000000-0005-0000-0000-00003A340000}"/>
    <cellStyle name="Comma 2 2 7 8" xfId="13374" xr:uid="{00000000-0005-0000-0000-00003B340000}"/>
    <cellStyle name="Comma 2 2 7 8 2" xfId="13375" xr:uid="{00000000-0005-0000-0000-00003C340000}"/>
    <cellStyle name="Comma 2 2 7 8 2 2" xfId="13376" xr:uid="{00000000-0005-0000-0000-00003D340000}"/>
    <cellStyle name="Comma 2 2 7 8 3" xfId="13377" xr:uid="{00000000-0005-0000-0000-00003E340000}"/>
    <cellStyle name="Comma 2 2 7 8 4" xfId="13378" xr:uid="{00000000-0005-0000-0000-00003F340000}"/>
    <cellStyle name="Comma 2 2 7 8 5" xfId="13379" xr:uid="{00000000-0005-0000-0000-000040340000}"/>
    <cellStyle name="Comma 2 2 7 8 6" xfId="13380" xr:uid="{00000000-0005-0000-0000-000041340000}"/>
    <cellStyle name="Comma 2 2 7 8 7" xfId="13381" xr:uid="{00000000-0005-0000-0000-000042340000}"/>
    <cellStyle name="Comma 2 2 7 8 8" xfId="13382" xr:uid="{00000000-0005-0000-0000-000043340000}"/>
    <cellStyle name="Comma 2 2 7 9" xfId="13383" xr:uid="{00000000-0005-0000-0000-000044340000}"/>
    <cellStyle name="Comma 2 2 7 9 2" xfId="13384" xr:uid="{00000000-0005-0000-0000-000045340000}"/>
    <cellStyle name="Comma 2 2 7 9 2 2" xfId="13385" xr:uid="{00000000-0005-0000-0000-000046340000}"/>
    <cellStyle name="Comma 2 2 7 9 3" xfId="13386" xr:uid="{00000000-0005-0000-0000-000047340000}"/>
    <cellStyle name="Comma 2 2 7 9 4" xfId="13387" xr:uid="{00000000-0005-0000-0000-000048340000}"/>
    <cellStyle name="Comma 2 2 7 9 5" xfId="13388" xr:uid="{00000000-0005-0000-0000-000049340000}"/>
    <cellStyle name="Comma 2 2 7 9 6" xfId="13389" xr:uid="{00000000-0005-0000-0000-00004A340000}"/>
    <cellStyle name="Comma 2 2 7 9 7" xfId="13390" xr:uid="{00000000-0005-0000-0000-00004B340000}"/>
    <cellStyle name="Comma 2 2 7 9 8" xfId="13391" xr:uid="{00000000-0005-0000-0000-00004C340000}"/>
    <cellStyle name="Comma 2 2 8" xfId="13392" xr:uid="{00000000-0005-0000-0000-00004D340000}"/>
    <cellStyle name="Comma 2 2 8 10" xfId="13393" xr:uid="{00000000-0005-0000-0000-00004E340000}"/>
    <cellStyle name="Comma 2 2 8 10 2" xfId="13394" xr:uid="{00000000-0005-0000-0000-00004F340000}"/>
    <cellStyle name="Comma 2 2 8 10 2 2" xfId="13395" xr:uid="{00000000-0005-0000-0000-000050340000}"/>
    <cellStyle name="Comma 2 2 8 10 3" xfId="13396" xr:uid="{00000000-0005-0000-0000-000051340000}"/>
    <cellStyle name="Comma 2 2 8 10 4" xfId="13397" xr:uid="{00000000-0005-0000-0000-000052340000}"/>
    <cellStyle name="Comma 2 2 8 10 5" xfId="13398" xr:uid="{00000000-0005-0000-0000-000053340000}"/>
    <cellStyle name="Comma 2 2 8 10 6" xfId="13399" xr:uid="{00000000-0005-0000-0000-000054340000}"/>
    <cellStyle name="Comma 2 2 8 10 7" xfId="13400" xr:uid="{00000000-0005-0000-0000-000055340000}"/>
    <cellStyle name="Comma 2 2 8 10 8" xfId="13401" xr:uid="{00000000-0005-0000-0000-000056340000}"/>
    <cellStyle name="Comma 2 2 8 11" xfId="13402" xr:uid="{00000000-0005-0000-0000-000057340000}"/>
    <cellStyle name="Comma 2 2 8 11 2" xfId="13403" xr:uid="{00000000-0005-0000-0000-000058340000}"/>
    <cellStyle name="Comma 2 2 8 11 2 2" xfId="13404" xr:uid="{00000000-0005-0000-0000-000059340000}"/>
    <cellStyle name="Comma 2 2 8 11 3" xfId="13405" xr:uid="{00000000-0005-0000-0000-00005A340000}"/>
    <cellStyle name="Comma 2 2 8 11 4" xfId="13406" xr:uid="{00000000-0005-0000-0000-00005B340000}"/>
    <cellStyle name="Comma 2 2 8 11 5" xfId="13407" xr:uid="{00000000-0005-0000-0000-00005C340000}"/>
    <cellStyle name="Comma 2 2 8 11 6" xfId="13408" xr:uid="{00000000-0005-0000-0000-00005D340000}"/>
    <cellStyle name="Comma 2 2 8 11 7" xfId="13409" xr:uid="{00000000-0005-0000-0000-00005E340000}"/>
    <cellStyle name="Comma 2 2 8 11 8" xfId="13410" xr:uid="{00000000-0005-0000-0000-00005F340000}"/>
    <cellStyle name="Comma 2 2 8 12" xfId="13411" xr:uid="{00000000-0005-0000-0000-000060340000}"/>
    <cellStyle name="Comma 2 2 8 12 2" xfId="13412" xr:uid="{00000000-0005-0000-0000-000061340000}"/>
    <cellStyle name="Comma 2 2 8 12 2 2" xfId="13413" xr:uid="{00000000-0005-0000-0000-000062340000}"/>
    <cellStyle name="Comma 2 2 8 12 3" xfId="13414" xr:uid="{00000000-0005-0000-0000-000063340000}"/>
    <cellStyle name="Comma 2 2 8 12 4" xfId="13415" xr:uid="{00000000-0005-0000-0000-000064340000}"/>
    <cellStyle name="Comma 2 2 8 12 5" xfId="13416" xr:uid="{00000000-0005-0000-0000-000065340000}"/>
    <cellStyle name="Comma 2 2 8 12 6" xfId="13417" xr:uid="{00000000-0005-0000-0000-000066340000}"/>
    <cellStyle name="Comma 2 2 8 12 7" xfId="13418" xr:uid="{00000000-0005-0000-0000-000067340000}"/>
    <cellStyle name="Comma 2 2 8 12 8" xfId="13419" xr:uid="{00000000-0005-0000-0000-000068340000}"/>
    <cellStyle name="Comma 2 2 8 13" xfId="13420" xr:uid="{00000000-0005-0000-0000-000069340000}"/>
    <cellStyle name="Comma 2 2 8 13 2" xfId="13421" xr:uid="{00000000-0005-0000-0000-00006A340000}"/>
    <cellStyle name="Comma 2 2 8 13 2 2" xfId="13422" xr:uid="{00000000-0005-0000-0000-00006B340000}"/>
    <cellStyle name="Comma 2 2 8 13 3" xfId="13423" xr:uid="{00000000-0005-0000-0000-00006C340000}"/>
    <cellStyle name="Comma 2 2 8 13 4" xfId="13424" xr:uid="{00000000-0005-0000-0000-00006D340000}"/>
    <cellStyle name="Comma 2 2 8 13 5" xfId="13425" xr:uid="{00000000-0005-0000-0000-00006E340000}"/>
    <cellStyle name="Comma 2 2 8 13 6" xfId="13426" xr:uid="{00000000-0005-0000-0000-00006F340000}"/>
    <cellStyle name="Comma 2 2 8 13 7" xfId="13427" xr:uid="{00000000-0005-0000-0000-000070340000}"/>
    <cellStyle name="Comma 2 2 8 13 8" xfId="13428" xr:uid="{00000000-0005-0000-0000-000071340000}"/>
    <cellStyle name="Comma 2 2 8 14" xfId="13429" xr:uid="{00000000-0005-0000-0000-000072340000}"/>
    <cellStyle name="Comma 2 2 8 14 2" xfId="13430" xr:uid="{00000000-0005-0000-0000-000073340000}"/>
    <cellStyle name="Comma 2 2 8 14 3" xfId="13431" xr:uid="{00000000-0005-0000-0000-000074340000}"/>
    <cellStyle name="Comma 2 2 8 15" xfId="13432" xr:uid="{00000000-0005-0000-0000-000075340000}"/>
    <cellStyle name="Comma 2 2 8 15 2" xfId="13433" xr:uid="{00000000-0005-0000-0000-000076340000}"/>
    <cellStyle name="Comma 2 2 8 16" xfId="13434" xr:uid="{00000000-0005-0000-0000-000077340000}"/>
    <cellStyle name="Comma 2 2 8 16 2" xfId="13435" xr:uid="{00000000-0005-0000-0000-000078340000}"/>
    <cellStyle name="Comma 2 2 8 17" xfId="13436" xr:uid="{00000000-0005-0000-0000-000079340000}"/>
    <cellStyle name="Comma 2 2 8 17 2" xfId="13437" xr:uid="{00000000-0005-0000-0000-00007A340000}"/>
    <cellStyle name="Comma 2 2 8 18" xfId="13438" xr:uid="{00000000-0005-0000-0000-00007B340000}"/>
    <cellStyle name="Comma 2 2 8 19" xfId="13439" xr:uid="{00000000-0005-0000-0000-00007C340000}"/>
    <cellStyle name="Comma 2 2 8 2" xfId="13440" xr:uid="{00000000-0005-0000-0000-00007D340000}"/>
    <cellStyle name="Comma 2 2 8 2 2" xfId="13441" xr:uid="{00000000-0005-0000-0000-00007E340000}"/>
    <cellStyle name="Comma 2 2 8 2 2 2" xfId="13442" xr:uid="{00000000-0005-0000-0000-00007F340000}"/>
    <cellStyle name="Comma 2 2 8 2 2 3" xfId="13443" xr:uid="{00000000-0005-0000-0000-000080340000}"/>
    <cellStyle name="Comma 2 2 8 2 3" xfId="13444" xr:uid="{00000000-0005-0000-0000-000081340000}"/>
    <cellStyle name="Comma 2 2 8 2 4" xfId="13445" xr:uid="{00000000-0005-0000-0000-000082340000}"/>
    <cellStyle name="Comma 2 2 8 2 5" xfId="13446" xr:uid="{00000000-0005-0000-0000-000083340000}"/>
    <cellStyle name="Comma 2 2 8 20" xfId="13447" xr:uid="{00000000-0005-0000-0000-000084340000}"/>
    <cellStyle name="Comma 2 2 8 21" xfId="13448" xr:uid="{00000000-0005-0000-0000-000085340000}"/>
    <cellStyle name="Comma 2 2 8 22" xfId="13449" xr:uid="{00000000-0005-0000-0000-000086340000}"/>
    <cellStyle name="Comma 2 2 8 23" xfId="13450" xr:uid="{00000000-0005-0000-0000-000087340000}"/>
    <cellStyle name="Comma 2 2 8 24" xfId="13451" xr:uid="{00000000-0005-0000-0000-000088340000}"/>
    <cellStyle name="Comma 2 2 8 25" xfId="13452" xr:uid="{00000000-0005-0000-0000-000089340000}"/>
    <cellStyle name="Comma 2 2 8 3" xfId="13453" xr:uid="{00000000-0005-0000-0000-00008A340000}"/>
    <cellStyle name="Comma 2 2 8 3 2" xfId="13454" xr:uid="{00000000-0005-0000-0000-00008B340000}"/>
    <cellStyle name="Comma 2 2 8 3 3" xfId="13455" xr:uid="{00000000-0005-0000-0000-00008C340000}"/>
    <cellStyle name="Comma 2 2 8 4" xfId="13456" xr:uid="{00000000-0005-0000-0000-00008D340000}"/>
    <cellStyle name="Comma 2 2 8 4 2" xfId="13457" xr:uid="{00000000-0005-0000-0000-00008E340000}"/>
    <cellStyle name="Comma 2 2 8 5" xfId="13458" xr:uid="{00000000-0005-0000-0000-00008F340000}"/>
    <cellStyle name="Comma 2 2 8 5 2" xfId="13459" xr:uid="{00000000-0005-0000-0000-000090340000}"/>
    <cellStyle name="Comma 2 2 8 5 2 2" xfId="13460" xr:uid="{00000000-0005-0000-0000-000091340000}"/>
    <cellStyle name="Comma 2 2 8 5 3" xfId="13461" xr:uid="{00000000-0005-0000-0000-000092340000}"/>
    <cellStyle name="Comma 2 2 8 5 4" xfId="13462" xr:uid="{00000000-0005-0000-0000-000093340000}"/>
    <cellStyle name="Comma 2 2 8 5 5" xfId="13463" xr:uid="{00000000-0005-0000-0000-000094340000}"/>
    <cellStyle name="Comma 2 2 8 5 6" xfId="13464" xr:uid="{00000000-0005-0000-0000-000095340000}"/>
    <cellStyle name="Comma 2 2 8 5 7" xfId="13465" xr:uid="{00000000-0005-0000-0000-000096340000}"/>
    <cellStyle name="Comma 2 2 8 5 8" xfId="13466" xr:uid="{00000000-0005-0000-0000-000097340000}"/>
    <cellStyle name="Comma 2 2 8 6" xfId="13467" xr:uid="{00000000-0005-0000-0000-000098340000}"/>
    <cellStyle name="Comma 2 2 8 6 2" xfId="13468" xr:uid="{00000000-0005-0000-0000-000099340000}"/>
    <cellStyle name="Comma 2 2 8 7" xfId="13469" xr:uid="{00000000-0005-0000-0000-00009A340000}"/>
    <cellStyle name="Comma 2 2 8 7 2" xfId="13470" xr:uid="{00000000-0005-0000-0000-00009B340000}"/>
    <cellStyle name="Comma 2 2 8 7 2 2" xfId="13471" xr:uid="{00000000-0005-0000-0000-00009C340000}"/>
    <cellStyle name="Comma 2 2 8 7 3" xfId="13472" xr:uid="{00000000-0005-0000-0000-00009D340000}"/>
    <cellStyle name="Comma 2 2 8 7 4" xfId="13473" xr:uid="{00000000-0005-0000-0000-00009E340000}"/>
    <cellStyle name="Comma 2 2 8 7 5" xfId="13474" xr:uid="{00000000-0005-0000-0000-00009F340000}"/>
    <cellStyle name="Comma 2 2 8 7 6" xfId="13475" xr:uid="{00000000-0005-0000-0000-0000A0340000}"/>
    <cellStyle name="Comma 2 2 8 7 7" xfId="13476" xr:uid="{00000000-0005-0000-0000-0000A1340000}"/>
    <cellStyle name="Comma 2 2 8 7 8" xfId="13477" xr:uid="{00000000-0005-0000-0000-0000A2340000}"/>
    <cellStyle name="Comma 2 2 8 8" xfId="13478" xr:uid="{00000000-0005-0000-0000-0000A3340000}"/>
    <cellStyle name="Comma 2 2 8 8 2" xfId="13479" xr:uid="{00000000-0005-0000-0000-0000A4340000}"/>
    <cellStyle name="Comma 2 2 8 8 2 2" xfId="13480" xr:uid="{00000000-0005-0000-0000-0000A5340000}"/>
    <cellStyle name="Comma 2 2 8 8 3" xfId="13481" xr:uid="{00000000-0005-0000-0000-0000A6340000}"/>
    <cellStyle name="Comma 2 2 8 8 4" xfId="13482" xr:uid="{00000000-0005-0000-0000-0000A7340000}"/>
    <cellStyle name="Comma 2 2 8 8 5" xfId="13483" xr:uid="{00000000-0005-0000-0000-0000A8340000}"/>
    <cellStyle name="Comma 2 2 8 8 6" xfId="13484" xr:uid="{00000000-0005-0000-0000-0000A9340000}"/>
    <cellStyle name="Comma 2 2 8 8 7" xfId="13485" xr:uid="{00000000-0005-0000-0000-0000AA340000}"/>
    <cellStyle name="Comma 2 2 8 8 8" xfId="13486" xr:uid="{00000000-0005-0000-0000-0000AB340000}"/>
    <cellStyle name="Comma 2 2 8 9" xfId="13487" xr:uid="{00000000-0005-0000-0000-0000AC340000}"/>
    <cellStyle name="Comma 2 2 8 9 2" xfId="13488" xr:uid="{00000000-0005-0000-0000-0000AD340000}"/>
    <cellStyle name="Comma 2 2 8 9 2 2" xfId="13489" xr:uid="{00000000-0005-0000-0000-0000AE340000}"/>
    <cellStyle name="Comma 2 2 8 9 3" xfId="13490" xr:uid="{00000000-0005-0000-0000-0000AF340000}"/>
    <cellStyle name="Comma 2 2 8 9 4" xfId="13491" xr:uid="{00000000-0005-0000-0000-0000B0340000}"/>
    <cellStyle name="Comma 2 2 8 9 5" xfId="13492" xr:uid="{00000000-0005-0000-0000-0000B1340000}"/>
    <cellStyle name="Comma 2 2 8 9 6" xfId="13493" xr:uid="{00000000-0005-0000-0000-0000B2340000}"/>
    <cellStyle name="Comma 2 2 8 9 7" xfId="13494" xr:uid="{00000000-0005-0000-0000-0000B3340000}"/>
    <cellStyle name="Comma 2 2 8 9 8" xfId="13495" xr:uid="{00000000-0005-0000-0000-0000B4340000}"/>
    <cellStyle name="Comma 2 2 9" xfId="13496" xr:uid="{00000000-0005-0000-0000-0000B5340000}"/>
    <cellStyle name="Comma 2 2 9 10" xfId="13497" xr:uid="{00000000-0005-0000-0000-0000B6340000}"/>
    <cellStyle name="Comma 2 2 9 10 2" xfId="13498" xr:uid="{00000000-0005-0000-0000-0000B7340000}"/>
    <cellStyle name="Comma 2 2 9 10 2 2" xfId="13499" xr:uid="{00000000-0005-0000-0000-0000B8340000}"/>
    <cellStyle name="Comma 2 2 9 10 3" xfId="13500" xr:uid="{00000000-0005-0000-0000-0000B9340000}"/>
    <cellStyle name="Comma 2 2 9 10 4" xfId="13501" xr:uid="{00000000-0005-0000-0000-0000BA340000}"/>
    <cellStyle name="Comma 2 2 9 10 5" xfId="13502" xr:uid="{00000000-0005-0000-0000-0000BB340000}"/>
    <cellStyle name="Comma 2 2 9 10 6" xfId="13503" xr:uid="{00000000-0005-0000-0000-0000BC340000}"/>
    <cellStyle name="Comma 2 2 9 10 7" xfId="13504" xr:uid="{00000000-0005-0000-0000-0000BD340000}"/>
    <cellStyle name="Comma 2 2 9 10 8" xfId="13505" xr:uid="{00000000-0005-0000-0000-0000BE340000}"/>
    <cellStyle name="Comma 2 2 9 11" xfId="13506" xr:uid="{00000000-0005-0000-0000-0000BF340000}"/>
    <cellStyle name="Comma 2 2 9 11 2" xfId="13507" xr:uid="{00000000-0005-0000-0000-0000C0340000}"/>
    <cellStyle name="Comma 2 2 9 11 2 2" xfId="13508" xr:uid="{00000000-0005-0000-0000-0000C1340000}"/>
    <cellStyle name="Comma 2 2 9 11 3" xfId="13509" xr:uid="{00000000-0005-0000-0000-0000C2340000}"/>
    <cellStyle name="Comma 2 2 9 11 4" xfId="13510" xr:uid="{00000000-0005-0000-0000-0000C3340000}"/>
    <cellStyle name="Comma 2 2 9 11 5" xfId="13511" xr:uid="{00000000-0005-0000-0000-0000C4340000}"/>
    <cellStyle name="Comma 2 2 9 11 6" xfId="13512" xr:uid="{00000000-0005-0000-0000-0000C5340000}"/>
    <cellStyle name="Comma 2 2 9 11 7" xfId="13513" xr:uid="{00000000-0005-0000-0000-0000C6340000}"/>
    <cellStyle name="Comma 2 2 9 11 8" xfId="13514" xr:uid="{00000000-0005-0000-0000-0000C7340000}"/>
    <cellStyle name="Comma 2 2 9 12" xfId="13515" xr:uid="{00000000-0005-0000-0000-0000C8340000}"/>
    <cellStyle name="Comma 2 2 9 12 2" xfId="13516" xr:uid="{00000000-0005-0000-0000-0000C9340000}"/>
    <cellStyle name="Comma 2 2 9 12 2 2" xfId="13517" xr:uid="{00000000-0005-0000-0000-0000CA340000}"/>
    <cellStyle name="Comma 2 2 9 12 3" xfId="13518" xr:uid="{00000000-0005-0000-0000-0000CB340000}"/>
    <cellStyle name="Comma 2 2 9 12 4" xfId="13519" xr:uid="{00000000-0005-0000-0000-0000CC340000}"/>
    <cellStyle name="Comma 2 2 9 12 5" xfId="13520" xr:uid="{00000000-0005-0000-0000-0000CD340000}"/>
    <cellStyle name="Comma 2 2 9 12 6" xfId="13521" xr:uid="{00000000-0005-0000-0000-0000CE340000}"/>
    <cellStyle name="Comma 2 2 9 12 7" xfId="13522" xr:uid="{00000000-0005-0000-0000-0000CF340000}"/>
    <cellStyle name="Comma 2 2 9 12 8" xfId="13523" xr:uid="{00000000-0005-0000-0000-0000D0340000}"/>
    <cellStyle name="Comma 2 2 9 13" xfId="13524" xr:uid="{00000000-0005-0000-0000-0000D1340000}"/>
    <cellStyle name="Comma 2 2 9 13 2" xfId="13525" xr:uid="{00000000-0005-0000-0000-0000D2340000}"/>
    <cellStyle name="Comma 2 2 9 13 2 2" xfId="13526" xr:uid="{00000000-0005-0000-0000-0000D3340000}"/>
    <cellStyle name="Comma 2 2 9 13 3" xfId="13527" xr:uid="{00000000-0005-0000-0000-0000D4340000}"/>
    <cellStyle name="Comma 2 2 9 13 4" xfId="13528" xr:uid="{00000000-0005-0000-0000-0000D5340000}"/>
    <cellStyle name="Comma 2 2 9 13 5" xfId="13529" xr:uid="{00000000-0005-0000-0000-0000D6340000}"/>
    <cellStyle name="Comma 2 2 9 13 6" xfId="13530" xr:uid="{00000000-0005-0000-0000-0000D7340000}"/>
    <cellStyle name="Comma 2 2 9 13 7" xfId="13531" xr:uid="{00000000-0005-0000-0000-0000D8340000}"/>
    <cellStyle name="Comma 2 2 9 13 8" xfId="13532" xr:uid="{00000000-0005-0000-0000-0000D9340000}"/>
    <cellStyle name="Comma 2 2 9 14" xfId="13533" xr:uid="{00000000-0005-0000-0000-0000DA340000}"/>
    <cellStyle name="Comma 2 2 9 14 2" xfId="13534" xr:uid="{00000000-0005-0000-0000-0000DB340000}"/>
    <cellStyle name="Comma 2 2 9 14 3" xfId="13535" xr:uid="{00000000-0005-0000-0000-0000DC340000}"/>
    <cellStyle name="Comma 2 2 9 15" xfId="13536" xr:uid="{00000000-0005-0000-0000-0000DD340000}"/>
    <cellStyle name="Comma 2 2 9 15 2" xfId="13537" xr:uid="{00000000-0005-0000-0000-0000DE340000}"/>
    <cellStyle name="Comma 2 2 9 16" xfId="13538" xr:uid="{00000000-0005-0000-0000-0000DF340000}"/>
    <cellStyle name="Comma 2 2 9 16 2" xfId="13539" xr:uid="{00000000-0005-0000-0000-0000E0340000}"/>
    <cellStyle name="Comma 2 2 9 17" xfId="13540" xr:uid="{00000000-0005-0000-0000-0000E1340000}"/>
    <cellStyle name="Comma 2 2 9 17 2" xfId="13541" xr:uid="{00000000-0005-0000-0000-0000E2340000}"/>
    <cellStyle name="Comma 2 2 9 18" xfId="13542" xr:uid="{00000000-0005-0000-0000-0000E3340000}"/>
    <cellStyle name="Comma 2 2 9 19" xfId="13543" xr:uid="{00000000-0005-0000-0000-0000E4340000}"/>
    <cellStyle name="Comma 2 2 9 2" xfId="13544" xr:uid="{00000000-0005-0000-0000-0000E5340000}"/>
    <cellStyle name="Comma 2 2 9 2 2" xfId="13545" xr:uid="{00000000-0005-0000-0000-0000E6340000}"/>
    <cellStyle name="Comma 2 2 9 2 3" xfId="13546" xr:uid="{00000000-0005-0000-0000-0000E7340000}"/>
    <cellStyle name="Comma 2 2 9 2 4" xfId="13547" xr:uid="{00000000-0005-0000-0000-0000E8340000}"/>
    <cellStyle name="Comma 2 2 9 2 5" xfId="13548" xr:uid="{00000000-0005-0000-0000-0000E9340000}"/>
    <cellStyle name="Comma 2 2 9 20" xfId="13549" xr:uid="{00000000-0005-0000-0000-0000EA340000}"/>
    <cellStyle name="Comma 2 2 9 21" xfId="13550" xr:uid="{00000000-0005-0000-0000-0000EB340000}"/>
    <cellStyle name="Comma 2 2 9 22" xfId="13551" xr:uid="{00000000-0005-0000-0000-0000EC340000}"/>
    <cellStyle name="Comma 2 2 9 23" xfId="13552" xr:uid="{00000000-0005-0000-0000-0000ED340000}"/>
    <cellStyle name="Comma 2 2 9 24" xfId="13553" xr:uid="{00000000-0005-0000-0000-0000EE340000}"/>
    <cellStyle name="Comma 2 2 9 25" xfId="13554" xr:uid="{00000000-0005-0000-0000-0000EF340000}"/>
    <cellStyle name="Comma 2 2 9 3" xfId="13555" xr:uid="{00000000-0005-0000-0000-0000F0340000}"/>
    <cellStyle name="Comma 2 2 9 3 2" xfId="13556" xr:uid="{00000000-0005-0000-0000-0000F1340000}"/>
    <cellStyle name="Comma 2 2 9 3 3" xfId="13557" xr:uid="{00000000-0005-0000-0000-0000F2340000}"/>
    <cellStyle name="Comma 2 2 9 4" xfId="13558" xr:uid="{00000000-0005-0000-0000-0000F3340000}"/>
    <cellStyle name="Comma 2 2 9 4 2" xfId="13559" xr:uid="{00000000-0005-0000-0000-0000F4340000}"/>
    <cellStyle name="Comma 2 2 9 5" xfId="13560" xr:uid="{00000000-0005-0000-0000-0000F5340000}"/>
    <cellStyle name="Comma 2 2 9 5 2" xfId="13561" xr:uid="{00000000-0005-0000-0000-0000F6340000}"/>
    <cellStyle name="Comma 2 2 9 5 2 2" xfId="13562" xr:uid="{00000000-0005-0000-0000-0000F7340000}"/>
    <cellStyle name="Comma 2 2 9 5 3" xfId="13563" xr:uid="{00000000-0005-0000-0000-0000F8340000}"/>
    <cellStyle name="Comma 2 2 9 5 4" xfId="13564" xr:uid="{00000000-0005-0000-0000-0000F9340000}"/>
    <cellStyle name="Comma 2 2 9 5 5" xfId="13565" xr:uid="{00000000-0005-0000-0000-0000FA340000}"/>
    <cellStyle name="Comma 2 2 9 5 6" xfId="13566" xr:uid="{00000000-0005-0000-0000-0000FB340000}"/>
    <cellStyle name="Comma 2 2 9 5 7" xfId="13567" xr:uid="{00000000-0005-0000-0000-0000FC340000}"/>
    <cellStyle name="Comma 2 2 9 5 8" xfId="13568" xr:uid="{00000000-0005-0000-0000-0000FD340000}"/>
    <cellStyle name="Comma 2 2 9 6" xfId="13569" xr:uid="{00000000-0005-0000-0000-0000FE340000}"/>
    <cellStyle name="Comma 2 2 9 6 2" xfId="13570" xr:uid="{00000000-0005-0000-0000-0000FF340000}"/>
    <cellStyle name="Comma 2 2 9 7" xfId="13571" xr:uid="{00000000-0005-0000-0000-000000350000}"/>
    <cellStyle name="Comma 2 2 9 7 2" xfId="13572" xr:uid="{00000000-0005-0000-0000-000001350000}"/>
    <cellStyle name="Comma 2 2 9 7 2 2" xfId="13573" xr:uid="{00000000-0005-0000-0000-000002350000}"/>
    <cellStyle name="Comma 2 2 9 7 3" xfId="13574" xr:uid="{00000000-0005-0000-0000-000003350000}"/>
    <cellStyle name="Comma 2 2 9 7 4" xfId="13575" xr:uid="{00000000-0005-0000-0000-000004350000}"/>
    <cellStyle name="Comma 2 2 9 7 5" xfId="13576" xr:uid="{00000000-0005-0000-0000-000005350000}"/>
    <cellStyle name="Comma 2 2 9 7 6" xfId="13577" xr:uid="{00000000-0005-0000-0000-000006350000}"/>
    <cellStyle name="Comma 2 2 9 7 7" xfId="13578" xr:uid="{00000000-0005-0000-0000-000007350000}"/>
    <cellStyle name="Comma 2 2 9 7 8" xfId="13579" xr:uid="{00000000-0005-0000-0000-000008350000}"/>
    <cellStyle name="Comma 2 2 9 8" xfId="13580" xr:uid="{00000000-0005-0000-0000-000009350000}"/>
    <cellStyle name="Comma 2 2 9 8 2" xfId="13581" xr:uid="{00000000-0005-0000-0000-00000A350000}"/>
    <cellStyle name="Comma 2 2 9 8 2 2" xfId="13582" xr:uid="{00000000-0005-0000-0000-00000B350000}"/>
    <cellStyle name="Comma 2 2 9 8 3" xfId="13583" xr:uid="{00000000-0005-0000-0000-00000C350000}"/>
    <cellStyle name="Comma 2 2 9 8 4" xfId="13584" xr:uid="{00000000-0005-0000-0000-00000D350000}"/>
    <cellStyle name="Comma 2 2 9 8 5" xfId="13585" xr:uid="{00000000-0005-0000-0000-00000E350000}"/>
    <cellStyle name="Comma 2 2 9 8 6" xfId="13586" xr:uid="{00000000-0005-0000-0000-00000F350000}"/>
    <cellStyle name="Comma 2 2 9 8 7" xfId="13587" xr:uid="{00000000-0005-0000-0000-000010350000}"/>
    <cellStyle name="Comma 2 2 9 8 8" xfId="13588" xr:uid="{00000000-0005-0000-0000-000011350000}"/>
    <cellStyle name="Comma 2 2 9 9" xfId="13589" xr:uid="{00000000-0005-0000-0000-000012350000}"/>
    <cellStyle name="Comma 2 2 9 9 2" xfId="13590" xr:uid="{00000000-0005-0000-0000-000013350000}"/>
    <cellStyle name="Comma 2 2 9 9 2 2" xfId="13591" xr:uid="{00000000-0005-0000-0000-000014350000}"/>
    <cellStyle name="Comma 2 2 9 9 3" xfId="13592" xr:uid="{00000000-0005-0000-0000-000015350000}"/>
    <cellStyle name="Comma 2 2 9 9 4" xfId="13593" xr:uid="{00000000-0005-0000-0000-000016350000}"/>
    <cellStyle name="Comma 2 2 9 9 5" xfId="13594" xr:uid="{00000000-0005-0000-0000-000017350000}"/>
    <cellStyle name="Comma 2 2 9 9 6" xfId="13595" xr:uid="{00000000-0005-0000-0000-000018350000}"/>
    <cellStyle name="Comma 2 2 9 9 7" xfId="13596" xr:uid="{00000000-0005-0000-0000-000019350000}"/>
    <cellStyle name="Comma 2 2 9 9 8" xfId="13597" xr:uid="{00000000-0005-0000-0000-00001A350000}"/>
    <cellStyle name="Comma 2 20" xfId="13598" xr:uid="{00000000-0005-0000-0000-00001B350000}"/>
    <cellStyle name="Comma 2 20 2" xfId="13599" xr:uid="{00000000-0005-0000-0000-00001C350000}"/>
    <cellStyle name="Comma 2 20 2 2" xfId="13600" xr:uid="{00000000-0005-0000-0000-00001D350000}"/>
    <cellStyle name="Comma 2 20 2 3" xfId="13601" xr:uid="{00000000-0005-0000-0000-00001E350000}"/>
    <cellStyle name="Comma 2 20 2 4" xfId="13602" xr:uid="{00000000-0005-0000-0000-00001F350000}"/>
    <cellStyle name="Comma 2 20 3" xfId="13603" xr:uid="{00000000-0005-0000-0000-000020350000}"/>
    <cellStyle name="Comma 2 20 3 2" xfId="13604" xr:uid="{00000000-0005-0000-0000-000021350000}"/>
    <cellStyle name="Comma 2 20 3 3" xfId="13605" xr:uid="{00000000-0005-0000-0000-000022350000}"/>
    <cellStyle name="Comma 2 20 4" xfId="13606" xr:uid="{00000000-0005-0000-0000-000023350000}"/>
    <cellStyle name="Comma 2 20 4 2" xfId="13607" xr:uid="{00000000-0005-0000-0000-000024350000}"/>
    <cellStyle name="Comma 2 20 5" xfId="13608" xr:uid="{00000000-0005-0000-0000-000025350000}"/>
    <cellStyle name="Comma 2 20 5 2" xfId="13609" xr:uid="{00000000-0005-0000-0000-000026350000}"/>
    <cellStyle name="Comma 2 20 6" xfId="13610" xr:uid="{00000000-0005-0000-0000-000027350000}"/>
    <cellStyle name="Comma 2 21" xfId="13611" xr:uid="{00000000-0005-0000-0000-000028350000}"/>
    <cellStyle name="Comma 2 21 2" xfId="13612" xr:uid="{00000000-0005-0000-0000-000029350000}"/>
    <cellStyle name="Comma 2 21 2 2" xfId="13613" xr:uid="{00000000-0005-0000-0000-00002A350000}"/>
    <cellStyle name="Comma 2 21 2 3" xfId="13614" xr:uid="{00000000-0005-0000-0000-00002B350000}"/>
    <cellStyle name="Comma 2 21 2 4" xfId="13615" xr:uid="{00000000-0005-0000-0000-00002C350000}"/>
    <cellStyle name="Comma 2 21 3" xfId="13616" xr:uid="{00000000-0005-0000-0000-00002D350000}"/>
    <cellStyle name="Comma 2 21 3 2" xfId="13617" xr:uid="{00000000-0005-0000-0000-00002E350000}"/>
    <cellStyle name="Comma 2 21 3 3" xfId="13618" xr:uid="{00000000-0005-0000-0000-00002F350000}"/>
    <cellStyle name="Comma 2 21 4" xfId="13619" xr:uid="{00000000-0005-0000-0000-000030350000}"/>
    <cellStyle name="Comma 2 21 4 2" xfId="13620" xr:uid="{00000000-0005-0000-0000-000031350000}"/>
    <cellStyle name="Comma 2 21 5" xfId="13621" xr:uid="{00000000-0005-0000-0000-000032350000}"/>
    <cellStyle name="Comma 2 22" xfId="13622" xr:uid="{00000000-0005-0000-0000-000033350000}"/>
    <cellStyle name="Comma 2 22 2" xfId="13623" xr:uid="{00000000-0005-0000-0000-000034350000}"/>
    <cellStyle name="Comma 2 22 2 2" xfId="13624" xr:uid="{00000000-0005-0000-0000-000035350000}"/>
    <cellStyle name="Comma 2 22 2 3" xfId="13625" xr:uid="{00000000-0005-0000-0000-000036350000}"/>
    <cellStyle name="Comma 2 22 2 4" xfId="13626" xr:uid="{00000000-0005-0000-0000-000037350000}"/>
    <cellStyle name="Comma 2 22 3" xfId="13627" xr:uid="{00000000-0005-0000-0000-000038350000}"/>
    <cellStyle name="Comma 2 22 3 2" xfId="13628" xr:uid="{00000000-0005-0000-0000-000039350000}"/>
    <cellStyle name="Comma 2 22 4" xfId="13629" xr:uid="{00000000-0005-0000-0000-00003A350000}"/>
    <cellStyle name="Comma 2 22 5" xfId="13630" xr:uid="{00000000-0005-0000-0000-00003B350000}"/>
    <cellStyle name="Comma 2 23" xfId="13631" xr:uid="{00000000-0005-0000-0000-00003C350000}"/>
    <cellStyle name="Comma 2 23 2" xfId="13632" xr:uid="{00000000-0005-0000-0000-00003D350000}"/>
    <cellStyle name="Comma 2 23 2 2" xfId="13633" xr:uid="{00000000-0005-0000-0000-00003E350000}"/>
    <cellStyle name="Comma 2 23 3" xfId="13634" xr:uid="{00000000-0005-0000-0000-00003F350000}"/>
    <cellStyle name="Comma 2 24" xfId="13635" xr:uid="{00000000-0005-0000-0000-000040350000}"/>
    <cellStyle name="Comma 2 24 2" xfId="13636" xr:uid="{00000000-0005-0000-0000-000041350000}"/>
    <cellStyle name="Comma 2 25" xfId="13637" xr:uid="{00000000-0005-0000-0000-000042350000}"/>
    <cellStyle name="Comma 2 25 2" xfId="13638" xr:uid="{00000000-0005-0000-0000-000043350000}"/>
    <cellStyle name="Comma 2 26" xfId="13639" xr:uid="{00000000-0005-0000-0000-000044350000}"/>
    <cellStyle name="Comma 2 26 2" xfId="13640" xr:uid="{00000000-0005-0000-0000-000045350000}"/>
    <cellStyle name="Comma 2 27" xfId="13641" xr:uid="{00000000-0005-0000-0000-000046350000}"/>
    <cellStyle name="Comma 2 27 2" xfId="13642" xr:uid="{00000000-0005-0000-0000-000047350000}"/>
    <cellStyle name="Comma 2 28" xfId="13643" xr:uid="{00000000-0005-0000-0000-000048350000}"/>
    <cellStyle name="Comma 2 28 2" xfId="13644" xr:uid="{00000000-0005-0000-0000-000049350000}"/>
    <cellStyle name="Comma 2 28 3" xfId="13645" xr:uid="{00000000-0005-0000-0000-00004A350000}"/>
    <cellStyle name="Comma 2 29" xfId="13646" xr:uid="{00000000-0005-0000-0000-00004B350000}"/>
    <cellStyle name="Comma 2 29 2" xfId="13647" xr:uid="{00000000-0005-0000-0000-00004C350000}"/>
    <cellStyle name="Comma 2 3" xfId="13648" xr:uid="{00000000-0005-0000-0000-00004D350000}"/>
    <cellStyle name="Comma 2 3 10" xfId="13649" xr:uid="{00000000-0005-0000-0000-00004E350000}"/>
    <cellStyle name="Comma 2 3 10 2" xfId="13650" xr:uid="{00000000-0005-0000-0000-00004F350000}"/>
    <cellStyle name="Comma 2 3 10 2 2" xfId="13651" xr:uid="{00000000-0005-0000-0000-000050350000}"/>
    <cellStyle name="Comma 2 3 10 3" xfId="13652" xr:uid="{00000000-0005-0000-0000-000051350000}"/>
    <cellStyle name="Comma 2 3 10 4" xfId="13653" xr:uid="{00000000-0005-0000-0000-000052350000}"/>
    <cellStyle name="Comma 2 3 10 5" xfId="13654" xr:uid="{00000000-0005-0000-0000-000053350000}"/>
    <cellStyle name="Comma 2 3 10 6" xfId="13655" xr:uid="{00000000-0005-0000-0000-000054350000}"/>
    <cellStyle name="Comma 2 3 10 7" xfId="13656" xr:uid="{00000000-0005-0000-0000-000055350000}"/>
    <cellStyle name="Comma 2 3 10 8" xfId="13657" xr:uid="{00000000-0005-0000-0000-000056350000}"/>
    <cellStyle name="Comma 2 3 10 9" xfId="13658" xr:uid="{00000000-0005-0000-0000-000057350000}"/>
    <cellStyle name="Comma 2 3 11" xfId="13659" xr:uid="{00000000-0005-0000-0000-000058350000}"/>
    <cellStyle name="Comma 2 3 11 2" xfId="13660" xr:uid="{00000000-0005-0000-0000-000059350000}"/>
    <cellStyle name="Comma 2 3 11 2 2" xfId="13661" xr:uid="{00000000-0005-0000-0000-00005A350000}"/>
    <cellStyle name="Comma 2 3 11 3" xfId="13662" xr:uid="{00000000-0005-0000-0000-00005B350000}"/>
    <cellStyle name="Comma 2 3 11 4" xfId="13663" xr:uid="{00000000-0005-0000-0000-00005C350000}"/>
    <cellStyle name="Comma 2 3 11 5" xfId="13664" xr:uid="{00000000-0005-0000-0000-00005D350000}"/>
    <cellStyle name="Comma 2 3 11 6" xfId="13665" xr:uid="{00000000-0005-0000-0000-00005E350000}"/>
    <cellStyle name="Comma 2 3 11 7" xfId="13666" xr:uid="{00000000-0005-0000-0000-00005F350000}"/>
    <cellStyle name="Comma 2 3 11 8" xfId="13667" xr:uid="{00000000-0005-0000-0000-000060350000}"/>
    <cellStyle name="Comma 2 3 11 9" xfId="13668" xr:uid="{00000000-0005-0000-0000-000061350000}"/>
    <cellStyle name="Comma 2 3 12" xfId="13669" xr:uid="{00000000-0005-0000-0000-000062350000}"/>
    <cellStyle name="Comma 2 3 12 2" xfId="13670" xr:uid="{00000000-0005-0000-0000-000063350000}"/>
    <cellStyle name="Comma 2 3 12 2 2" xfId="13671" xr:uid="{00000000-0005-0000-0000-000064350000}"/>
    <cellStyle name="Comma 2 3 12 3" xfId="13672" xr:uid="{00000000-0005-0000-0000-000065350000}"/>
    <cellStyle name="Comma 2 3 12 4" xfId="13673" xr:uid="{00000000-0005-0000-0000-000066350000}"/>
    <cellStyle name="Comma 2 3 12 5" xfId="13674" xr:uid="{00000000-0005-0000-0000-000067350000}"/>
    <cellStyle name="Comma 2 3 12 6" xfId="13675" xr:uid="{00000000-0005-0000-0000-000068350000}"/>
    <cellStyle name="Comma 2 3 12 7" xfId="13676" xr:uid="{00000000-0005-0000-0000-000069350000}"/>
    <cellStyle name="Comma 2 3 12 8" xfId="13677" xr:uid="{00000000-0005-0000-0000-00006A350000}"/>
    <cellStyle name="Comma 2 3 13" xfId="13678" xr:uid="{00000000-0005-0000-0000-00006B350000}"/>
    <cellStyle name="Comma 2 3 13 2" xfId="13679" xr:uid="{00000000-0005-0000-0000-00006C350000}"/>
    <cellStyle name="Comma 2 3 13 2 2" xfId="13680" xr:uid="{00000000-0005-0000-0000-00006D350000}"/>
    <cellStyle name="Comma 2 3 13 3" xfId="13681" xr:uid="{00000000-0005-0000-0000-00006E350000}"/>
    <cellStyle name="Comma 2 3 13 4" xfId="13682" xr:uid="{00000000-0005-0000-0000-00006F350000}"/>
    <cellStyle name="Comma 2 3 13 5" xfId="13683" xr:uid="{00000000-0005-0000-0000-000070350000}"/>
    <cellStyle name="Comma 2 3 13 6" xfId="13684" xr:uid="{00000000-0005-0000-0000-000071350000}"/>
    <cellStyle name="Comma 2 3 13 7" xfId="13685" xr:uid="{00000000-0005-0000-0000-000072350000}"/>
    <cellStyle name="Comma 2 3 13 8" xfId="13686" xr:uid="{00000000-0005-0000-0000-000073350000}"/>
    <cellStyle name="Comma 2 3 14" xfId="13687" xr:uid="{00000000-0005-0000-0000-000074350000}"/>
    <cellStyle name="Comma 2 3 14 2" xfId="13688" xr:uid="{00000000-0005-0000-0000-000075350000}"/>
    <cellStyle name="Comma 2 3 14 2 2" xfId="13689" xr:uid="{00000000-0005-0000-0000-000076350000}"/>
    <cellStyle name="Comma 2 3 14 3" xfId="13690" xr:uid="{00000000-0005-0000-0000-000077350000}"/>
    <cellStyle name="Comma 2 3 14 4" xfId="13691" xr:uid="{00000000-0005-0000-0000-000078350000}"/>
    <cellStyle name="Comma 2 3 14 5" xfId="13692" xr:uid="{00000000-0005-0000-0000-000079350000}"/>
    <cellStyle name="Comma 2 3 14 6" xfId="13693" xr:uid="{00000000-0005-0000-0000-00007A350000}"/>
    <cellStyle name="Comma 2 3 14 7" xfId="13694" xr:uid="{00000000-0005-0000-0000-00007B350000}"/>
    <cellStyle name="Comma 2 3 14 8" xfId="13695" xr:uid="{00000000-0005-0000-0000-00007C350000}"/>
    <cellStyle name="Comma 2 3 15" xfId="13696" xr:uid="{00000000-0005-0000-0000-00007D350000}"/>
    <cellStyle name="Comma 2 3 15 2" xfId="13697" xr:uid="{00000000-0005-0000-0000-00007E350000}"/>
    <cellStyle name="Comma 2 3 15 2 2" xfId="13698" xr:uid="{00000000-0005-0000-0000-00007F350000}"/>
    <cellStyle name="Comma 2 3 15 3" xfId="13699" xr:uid="{00000000-0005-0000-0000-000080350000}"/>
    <cellStyle name="Comma 2 3 15 4" xfId="13700" xr:uid="{00000000-0005-0000-0000-000081350000}"/>
    <cellStyle name="Comma 2 3 15 5" xfId="13701" xr:uid="{00000000-0005-0000-0000-000082350000}"/>
    <cellStyle name="Comma 2 3 15 6" xfId="13702" xr:uid="{00000000-0005-0000-0000-000083350000}"/>
    <cellStyle name="Comma 2 3 15 7" xfId="13703" xr:uid="{00000000-0005-0000-0000-000084350000}"/>
    <cellStyle name="Comma 2 3 15 8" xfId="13704" xr:uid="{00000000-0005-0000-0000-000085350000}"/>
    <cellStyle name="Comma 2 3 16" xfId="13705" xr:uid="{00000000-0005-0000-0000-000086350000}"/>
    <cellStyle name="Comma 2 3 16 2" xfId="13706" xr:uid="{00000000-0005-0000-0000-000087350000}"/>
    <cellStyle name="Comma 2 3 16 2 2" xfId="13707" xr:uid="{00000000-0005-0000-0000-000088350000}"/>
    <cellStyle name="Comma 2 3 16 3" xfId="13708" xr:uid="{00000000-0005-0000-0000-000089350000}"/>
    <cellStyle name="Comma 2 3 16 4" xfId="13709" xr:uid="{00000000-0005-0000-0000-00008A350000}"/>
    <cellStyle name="Comma 2 3 16 5" xfId="13710" xr:uid="{00000000-0005-0000-0000-00008B350000}"/>
    <cellStyle name="Comma 2 3 16 6" xfId="13711" xr:uid="{00000000-0005-0000-0000-00008C350000}"/>
    <cellStyle name="Comma 2 3 16 7" xfId="13712" xr:uid="{00000000-0005-0000-0000-00008D350000}"/>
    <cellStyle name="Comma 2 3 16 8" xfId="13713" xr:uid="{00000000-0005-0000-0000-00008E350000}"/>
    <cellStyle name="Comma 2 3 17" xfId="13714" xr:uid="{00000000-0005-0000-0000-00008F350000}"/>
    <cellStyle name="Comma 2 3 17 2" xfId="13715" xr:uid="{00000000-0005-0000-0000-000090350000}"/>
    <cellStyle name="Comma 2 3 17 2 2" xfId="13716" xr:uid="{00000000-0005-0000-0000-000091350000}"/>
    <cellStyle name="Comma 2 3 17 2 2 2" xfId="13717" xr:uid="{00000000-0005-0000-0000-000092350000}"/>
    <cellStyle name="Comma 2 3 17 3" xfId="13718" xr:uid="{00000000-0005-0000-0000-000093350000}"/>
    <cellStyle name="Comma 2 3 17 4" xfId="13719" xr:uid="{00000000-0005-0000-0000-000094350000}"/>
    <cellStyle name="Comma 2 3 17 5" xfId="13720" xr:uid="{00000000-0005-0000-0000-000095350000}"/>
    <cellStyle name="Comma 2 3 17 6" xfId="13721" xr:uid="{00000000-0005-0000-0000-000096350000}"/>
    <cellStyle name="Comma 2 3 18" xfId="13722" xr:uid="{00000000-0005-0000-0000-000097350000}"/>
    <cellStyle name="Comma 2 3 18 2" xfId="13723" xr:uid="{00000000-0005-0000-0000-000098350000}"/>
    <cellStyle name="Comma 2 3 18 2 2" xfId="13724" xr:uid="{00000000-0005-0000-0000-000099350000}"/>
    <cellStyle name="Comma 2 3 18 2 2 2" xfId="13725" xr:uid="{00000000-0005-0000-0000-00009A350000}"/>
    <cellStyle name="Comma 2 3 18 2 2 3" xfId="13726" xr:uid="{00000000-0005-0000-0000-00009B350000}"/>
    <cellStyle name="Comma 2 3 18 3" xfId="13727" xr:uid="{00000000-0005-0000-0000-00009C350000}"/>
    <cellStyle name="Comma 2 3 18 4" xfId="13728" xr:uid="{00000000-0005-0000-0000-00009D350000}"/>
    <cellStyle name="Comma 2 3 18 5" xfId="13729" xr:uid="{00000000-0005-0000-0000-00009E350000}"/>
    <cellStyle name="Comma 2 3 18 6" xfId="13730" xr:uid="{00000000-0005-0000-0000-00009F350000}"/>
    <cellStyle name="Comma 2 3 18 7" xfId="13731" xr:uid="{00000000-0005-0000-0000-0000A0350000}"/>
    <cellStyle name="Comma 2 3 19" xfId="13732" xr:uid="{00000000-0005-0000-0000-0000A1350000}"/>
    <cellStyle name="Comma 2 3 19 2" xfId="13733" xr:uid="{00000000-0005-0000-0000-0000A2350000}"/>
    <cellStyle name="Comma 2 3 19 2 2" xfId="13734" xr:uid="{00000000-0005-0000-0000-0000A3350000}"/>
    <cellStyle name="Comma 2 3 2" xfId="13735" xr:uid="{00000000-0005-0000-0000-0000A4350000}"/>
    <cellStyle name="Comma 2 3 2 10" xfId="13736" xr:uid="{00000000-0005-0000-0000-0000A5350000}"/>
    <cellStyle name="Comma 2 3 2 10 2" xfId="13737" xr:uid="{00000000-0005-0000-0000-0000A6350000}"/>
    <cellStyle name="Comma 2 3 2 10 2 2" xfId="13738" xr:uid="{00000000-0005-0000-0000-0000A7350000}"/>
    <cellStyle name="Comma 2 3 2 11" xfId="13739" xr:uid="{00000000-0005-0000-0000-0000A8350000}"/>
    <cellStyle name="Comma 2 3 2 11 2" xfId="13740" xr:uid="{00000000-0005-0000-0000-0000A9350000}"/>
    <cellStyle name="Comma 2 3 2 11 2 2" xfId="13741" xr:uid="{00000000-0005-0000-0000-0000AA350000}"/>
    <cellStyle name="Comma 2 3 2 12" xfId="13742" xr:uid="{00000000-0005-0000-0000-0000AB350000}"/>
    <cellStyle name="Comma 2 3 2 12 2" xfId="13743" xr:uid="{00000000-0005-0000-0000-0000AC350000}"/>
    <cellStyle name="Comma 2 3 2 13" xfId="13744" xr:uid="{00000000-0005-0000-0000-0000AD350000}"/>
    <cellStyle name="Comma 2 3 2 13 2" xfId="13745" xr:uid="{00000000-0005-0000-0000-0000AE350000}"/>
    <cellStyle name="Comma 2 3 2 14" xfId="13746" xr:uid="{00000000-0005-0000-0000-0000AF350000}"/>
    <cellStyle name="Comma 2 3 2 14 2" xfId="13747" xr:uid="{00000000-0005-0000-0000-0000B0350000}"/>
    <cellStyle name="Comma 2 3 2 15" xfId="13748" xr:uid="{00000000-0005-0000-0000-0000B1350000}"/>
    <cellStyle name="Comma 2 3 2 15 2" xfId="13749" xr:uid="{00000000-0005-0000-0000-0000B2350000}"/>
    <cellStyle name="Comma 2 3 2 16" xfId="13750" xr:uid="{00000000-0005-0000-0000-0000B3350000}"/>
    <cellStyle name="Comma 2 3 2 16 2" xfId="13751" xr:uid="{00000000-0005-0000-0000-0000B4350000}"/>
    <cellStyle name="Comma 2 3 2 17" xfId="13752" xr:uid="{00000000-0005-0000-0000-0000B5350000}"/>
    <cellStyle name="Comma 2 3 2 17 2" xfId="13753" xr:uid="{00000000-0005-0000-0000-0000B6350000}"/>
    <cellStyle name="Comma 2 3 2 18" xfId="13754" xr:uid="{00000000-0005-0000-0000-0000B7350000}"/>
    <cellStyle name="Comma 2 3 2 18 2" xfId="13755" xr:uid="{00000000-0005-0000-0000-0000B8350000}"/>
    <cellStyle name="Comma 2 3 2 19" xfId="13756" xr:uid="{00000000-0005-0000-0000-0000B9350000}"/>
    <cellStyle name="Comma 2 3 2 19 2" xfId="13757" xr:uid="{00000000-0005-0000-0000-0000BA350000}"/>
    <cellStyle name="Comma 2 3 2 2" xfId="13758" xr:uid="{00000000-0005-0000-0000-0000BB350000}"/>
    <cellStyle name="Comma 2 3 2 2 10" xfId="13759" xr:uid="{00000000-0005-0000-0000-0000BC350000}"/>
    <cellStyle name="Comma 2 3 2 2 2" xfId="13760" xr:uid="{00000000-0005-0000-0000-0000BD350000}"/>
    <cellStyle name="Comma 2 3 2 2 2 2" xfId="13761" xr:uid="{00000000-0005-0000-0000-0000BE350000}"/>
    <cellStyle name="Comma 2 3 2 2 2 2 2" xfId="13762" xr:uid="{00000000-0005-0000-0000-0000BF350000}"/>
    <cellStyle name="Comma 2 3 2 2 2 2 2 2" xfId="13763" xr:uid="{00000000-0005-0000-0000-0000C0350000}"/>
    <cellStyle name="Comma 2 3 2 2 2 2 2 3" xfId="13764" xr:uid="{00000000-0005-0000-0000-0000C1350000}"/>
    <cellStyle name="Comma 2 3 2 2 2 2 3" xfId="13765" xr:uid="{00000000-0005-0000-0000-0000C2350000}"/>
    <cellStyle name="Comma 2 3 2 2 2 3" xfId="13766" xr:uid="{00000000-0005-0000-0000-0000C3350000}"/>
    <cellStyle name="Comma 2 3 2 2 2 4" xfId="13767" xr:uid="{00000000-0005-0000-0000-0000C4350000}"/>
    <cellStyle name="Comma 2 3 2 2 2 5" xfId="13768" xr:uid="{00000000-0005-0000-0000-0000C5350000}"/>
    <cellStyle name="Comma 2 3 2 2 2 6" xfId="13769" xr:uid="{00000000-0005-0000-0000-0000C6350000}"/>
    <cellStyle name="Comma 2 3 2 2 2 7" xfId="13770" xr:uid="{00000000-0005-0000-0000-0000C7350000}"/>
    <cellStyle name="Comma 2 3 2 2 2 8" xfId="13771" xr:uid="{00000000-0005-0000-0000-0000C8350000}"/>
    <cellStyle name="Comma 2 3 2 2 3" xfId="13772" xr:uid="{00000000-0005-0000-0000-0000C9350000}"/>
    <cellStyle name="Comma 2 3 2 2 3 2" xfId="13773" xr:uid="{00000000-0005-0000-0000-0000CA350000}"/>
    <cellStyle name="Comma 2 3 2 2 4" xfId="13774" xr:uid="{00000000-0005-0000-0000-0000CB350000}"/>
    <cellStyle name="Comma 2 3 2 2 5" xfId="13775" xr:uid="{00000000-0005-0000-0000-0000CC350000}"/>
    <cellStyle name="Comma 2 3 2 2 6" xfId="13776" xr:uid="{00000000-0005-0000-0000-0000CD350000}"/>
    <cellStyle name="Comma 2 3 2 2 7" xfId="13777" xr:uid="{00000000-0005-0000-0000-0000CE350000}"/>
    <cellStyle name="Comma 2 3 2 2 8" xfId="13778" xr:uid="{00000000-0005-0000-0000-0000CF350000}"/>
    <cellStyle name="Comma 2 3 2 2 9" xfId="13779" xr:uid="{00000000-0005-0000-0000-0000D0350000}"/>
    <cellStyle name="Comma 2 3 2 20" xfId="13780" xr:uid="{00000000-0005-0000-0000-0000D1350000}"/>
    <cellStyle name="Comma 2 3 2 20 2" xfId="13781" xr:uid="{00000000-0005-0000-0000-0000D2350000}"/>
    <cellStyle name="Comma 2 3 2 21" xfId="13782" xr:uid="{00000000-0005-0000-0000-0000D3350000}"/>
    <cellStyle name="Comma 2 3 2 21 2" xfId="13783" xr:uid="{00000000-0005-0000-0000-0000D4350000}"/>
    <cellStyle name="Comma 2 3 2 21 3" xfId="13784" xr:uid="{00000000-0005-0000-0000-0000D5350000}"/>
    <cellStyle name="Comma 2 3 2 22" xfId="13785" xr:uid="{00000000-0005-0000-0000-0000D6350000}"/>
    <cellStyle name="Comma 2 3 2 22 2" xfId="13786" xr:uid="{00000000-0005-0000-0000-0000D7350000}"/>
    <cellStyle name="Comma 2 3 2 23" xfId="13787" xr:uid="{00000000-0005-0000-0000-0000D8350000}"/>
    <cellStyle name="Comma 2 3 2 23 2" xfId="13788" xr:uid="{00000000-0005-0000-0000-0000D9350000}"/>
    <cellStyle name="Comma 2 3 2 23 2 2" xfId="13789" xr:uid="{00000000-0005-0000-0000-0000DA350000}"/>
    <cellStyle name="Comma 2 3 2 23 2 2 2" xfId="13790" xr:uid="{00000000-0005-0000-0000-0000DB350000}"/>
    <cellStyle name="Comma 2 3 2 23 3" xfId="13791" xr:uid="{00000000-0005-0000-0000-0000DC350000}"/>
    <cellStyle name="Comma 2 3 2 23 4" xfId="13792" xr:uid="{00000000-0005-0000-0000-0000DD350000}"/>
    <cellStyle name="Comma 2 3 2 23 5" xfId="13793" xr:uid="{00000000-0005-0000-0000-0000DE350000}"/>
    <cellStyle name="Comma 2 3 2 23 6" xfId="13794" xr:uid="{00000000-0005-0000-0000-0000DF350000}"/>
    <cellStyle name="Comma 2 3 2 24" xfId="13795" xr:uid="{00000000-0005-0000-0000-0000E0350000}"/>
    <cellStyle name="Comma 2 3 2 24 2" xfId="13796" xr:uid="{00000000-0005-0000-0000-0000E1350000}"/>
    <cellStyle name="Comma 2 3 2 24 2 2" xfId="13797" xr:uid="{00000000-0005-0000-0000-0000E2350000}"/>
    <cellStyle name="Comma 2 3 2 25" xfId="13798" xr:uid="{00000000-0005-0000-0000-0000E3350000}"/>
    <cellStyle name="Comma 2 3 2 26" xfId="13799" xr:uid="{00000000-0005-0000-0000-0000E4350000}"/>
    <cellStyle name="Comma 2 3 2 27" xfId="13800" xr:uid="{00000000-0005-0000-0000-0000E5350000}"/>
    <cellStyle name="Comma 2 3 2 28" xfId="13801" xr:uid="{00000000-0005-0000-0000-0000E6350000}"/>
    <cellStyle name="Comma 2 3 2 29" xfId="13802" xr:uid="{00000000-0005-0000-0000-0000E7350000}"/>
    <cellStyle name="Comma 2 3 2 3" xfId="13803" xr:uid="{00000000-0005-0000-0000-0000E8350000}"/>
    <cellStyle name="Comma 2 3 2 3 2" xfId="13804" xr:uid="{00000000-0005-0000-0000-0000E9350000}"/>
    <cellStyle name="Comma 2 3 2 3 2 2" xfId="13805" xr:uid="{00000000-0005-0000-0000-0000EA350000}"/>
    <cellStyle name="Comma 2 3 2 3 3" xfId="13806" xr:uid="{00000000-0005-0000-0000-0000EB350000}"/>
    <cellStyle name="Comma 2 3 2 3 3 2" xfId="13807" xr:uid="{00000000-0005-0000-0000-0000EC350000}"/>
    <cellStyle name="Comma 2 3 2 3 4" xfId="13808" xr:uid="{00000000-0005-0000-0000-0000ED350000}"/>
    <cellStyle name="Comma 2 3 2 30" xfId="13809" xr:uid="{00000000-0005-0000-0000-0000EE350000}"/>
    <cellStyle name="Comma 2 3 2 31" xfId="13810" xr:uid="{00000000-0005-0000-0000-0000EF350000}"/>
    <cellStyle name="Comma 2 3 2 32" xfId="13811" xr:uid="{00000000-0005-0000-0000-0000F0350000}"/>
    <cellStyle name="Comma 2 3 2 4" xfId="13812" xr:uid="{00000000-0005-0000-0000-0000F1350000}"/>
    <cellStyle name="Comma 2 3 2 5" xfId="13813" xr:uid="{00000000-0005-0000-0000-0000F2350000}"/>
    <cellStyle name="Comma 2 3 2 6" xfId="13814" xr:uid="{00000000-0005-0000-0000-0000F3350000}"/>
    <cellStyle name="Comma 2 3 2 6 2" xfId="13815" xr:uid="{00000000-0005-0000-0000-0000F4350000}"/>
    <cellStyle name="Comma 2 3 2 6 2 2" xfId="13816" xr:uid="{00000000-0005-0000-0000-0000F5350000}"/>
    <cellStyle name="Comma 2 3 2 6 2 2 2" xfId="13817" xr:uid="{00000000-0005-0000-0000-0000F6350000}"/>
    <cellStyle name="Comma 2 3 2 6 3" xfId="13818" xr:uid="{00000000-0005-0000-0000-0000F7350000}"/>
    <cellStyle name="Comma 2 3 2 7" xfId="13819" xr:uid="{00000000-0005-0000-0000-0000F8350000}"/>
    <cellStyle name="Comma 2 3 2 8" xfId="13820" xr:uid="{00000000-0005-0000-0000-0000F9350000}"/>
    <cellStyle name="Comma 2 3 2 9" xfId="13821" xr:uid="{00000000-0005-0000-0000-0000FA350000}"/>
    <cellStyle name="Comma 2 3 2 9 2" xfId="13822" xr:uid="{00000000-0005-0000-0000-0000FB350000}"/>
    <cellStyle name="Comma 2 3 2 9 2 2" xfId="13823" xr:uid="{00000000-0005-0000-0000-0000FC350000}"/>
    <cellStyle name="Comma 2 3 2 9 3" xfId="13824" xr:uid="{00000000-0005-0000-0000-0000FD350000}"/>
    <cellStyle name="Comma 2 3 20" xfId="13825" xr:uid="{00000000-0005-0000-0000-0000FE350000}"/>
    <cellStyle name="Comma 2 3 21" xfId="13826" xr:uid="{00000000-0005-0000-0000-0000FF350000}"/>
    <cellStyle name="Comma 2 3 22" xfId="13827" xr:uid="{00000000-0005-0000-0000-000000360000}"/>
    <cellStyle name="Comma 2 3 3" xfId="13828" xr:uid="{00000000-0005-0000-0000-000001360000}"/>
    <cellStyle name="Comma 2 3 3 10" xfId="13829" xr:uid="{00000000-0005-0000-0000-000002360000}"/>
    <cellStyle name="Comma 2 3 3 11" xfId="13830" xr:uid="{00000000-0005-0000-0000-000003360000}"/>
    <cellStyle name="Comma 2 3 3 12" xfId="13831" xr:uid="{00000000-0005-0000-0000-000004360000}"/>
    <cellStyle name="Comma 2 3 3 2" xfId="13832" xr:uid="{00000000-0005-0000-0000-000005360000}"/>
    <cellStyle name="Comma 2 3 3 2 2" xfId="13833" xr:uid="{00000000-0005-0000-0000-000006360000}"/>
    <cellStyle name="Comma 2 3 3 2 3" xfId="13834" xr:uid="{00000000-0005-0000-0000-000007360000}"/>
    <cellStyle name="Comma 2 3 3 2 4" xfId="13835" xr:uid="{00000000-0005-0000-0000-000008360000}"/>
    <cellStyle name="Comma 2 3 3 3" xfId="13836" xr:uid="{00000000-0005-0000-0000-000009360000}"/>
    <cellStyle name="Comma 2 3 3 3 2" xfId="13837" xr:uid="{00000000-0005-0000-0000-00000A360000}"/>
    <cellStyle name="Comma 2 3 3 4" xfId="13838" xr:uid="{00000000-0005-0000-0000-00000B360000}"/>
    <cellStyle name="Comma 2 3 3 4 2" xfId="13839" xr:uid="{00000000-0005-0000-0000-00000C360000}"/>
    <cellStyle name="Comma 2 3 3 5" xfId="13840" xr:uid="{00000000-0005-0000-0000-00000D360000}"/>
    <cellStyle name="Comma 2 3 3 5 2" xfId="13841" xr:uid="{00000000-0005-0000-0000-00000E360000}"/>
    <cellStyle name="Comma 2 3 3 6" xfId="13842" xr:uid="{00000000-0005-0000-0000-00000F360000}"/>
    <cellStyle name="Comma 2 3 3 6 2" xfId="13843" xr:uid="{00000000-0005-0000-0000-000010360000}"/>
    <cellStyle name="Comma 2 3 3 7" xfId="13844" xr:uid="{00000000-0005-0000-0000-000011360000}"/>
    <cellStyle name="Comma 2 3 3 8" xfId="13845" xr:uid="{00000000-0005-0000-0000-000012360000}"/>
    <cellStyle name="Comma 2 3 3 9" xfId="13846" xr:uid="{00000000-0005-0000-0000-000013360000}"/>
    <cellStyle name="Comma 2 3 4" xfId="13847" xr:uid="{00000000-0005-0000-0000-000014360000}"/>
    <cellStyle name="Comma 2 3 4 10" xfId="13848" xr:uid="{00000000-0005-0000-0000-000015360000}"/>
    <cellStyle name="Comma 2 3 4 11" xfId="13849" xr:uid="{00000000-0005-0000-0000-000016360000}"/>
    <cellStyle name="Comma 2 3 4 12" xfId="13850" xr:uid="{00000000-0005-0000-0000-000017360000}"/>
    <cellStyle name="Comma 2 3 4 2" xfId="13851" xr:uid="{00000000-0005-0000-0000-000018360000}"/>
    <cellStyle name="Comma 2 3 4 2 2" xfId="13852" xr:uid="{00000000-0005-0000-0000-000019360000}"/>
    <cellStyle name="Comma 2 3 4 3" xfId="13853" xr:uid="{00000000-0005-0000-0000-00001A360000}"/>
    <cellStyle name="Comma 2 3 4 3 2" xfId="13854" xr:uid="{00000000-0005-0000-0000-00001B360000}"/>
    <cellStyle name="Comma 2 3 4 4" xfId="13855" xr:uid="{00000000-0005-0000-0000-00001C360000}"/>
    <cellStyle name="Comma 2 3 4 4 2" xfId="13856" xr:uid="{00000000-0005-0000-0000-00001D360000}"/>
    <cellStyle name="Comma 2 3 4 5" xfId="13857" xr:uid="{00000000-0005-0000-0000-00001E360000}"/>
    <cellStyle name="Comma 2 3 4 5 2" xfId="13858" xr:uid="{00000000-0005-0000-0000-00001F360000}"/>
    <cellStyle name="Comma 2 3 4 6" xfId="13859" xr:uid="{00000000-0005-0000-0000-000020360000}"/>
    <cellStyle name="Comma 2 3 4 6 2" xfId="13860" xr:uid="{00000000-0005-0000-0000-000021360000}"/>
    <cellStyle name="Comma 2 3 4 7" xfId="13861" xr:uid="{00000000-0005-0000-0000-000022360000}"/>
    <cellStyle name="Comma 2 3 4 8" xfId="13862" xr:uid="{00000000-0005-0000-0000-000023360000}"/>
    <cellStyle name="Comma 2 3 4 9" xfId="13863" xr:uid="{00000000-0005-0000-0000-000024360000}"/>
    <cellStyle name="Comma 2 3 5" xfId="13864" xr:uid="{00000000-0005-0000-0000-000025360000}"/>
    <cellStyle name="Comma 2 3 5 10" xfId="13865" xr:uid="{00000000-0005-0000-0000-000026360000}"/>
    <cellStyle name="Comma 2 3 5 11" xfId="13866" xr:uid="{00000000-0005-0000-0000-000027360000}"/>
    <cellStyle name="Comma 2 3 5 12" xfId="13867" xr:uid="{00000000-0005-0000-0000-000028360000}"/>
    <cellStyle name="Comma 2 3 5 2" xfId="13868" xr:uid="{00000000-0005-0000-0000-000029360000}"/>
    <cellStyle name="Comma 2 3 5 2 2" xfId="13869" xr:uid="{00000000-0005-0000-0000-00002A360000}"/>
    <cellStyle name="Comma 2 3 5 3" xfId="13870" xr:uid="{00000000-0005-0000-0000-00002B360000}"/>
    <cellStyle name="Comma 2 3 5 3 2" xfId="13871" xr:uid="{00000000-0005-0000-0000-00002C360000}"/>
    <cellStyle name="Comma 2 3 5 4" xfId="13872" xr:uid="{00000000-0005-0000-0000-00002D360000}"/>
    <cellStyle name="Comma 2 3 5 4 2" xfId="13873" xr:uid="{00000000-0005-0000-0000-00002E360000}"/>
    <cellStyle name="Comma 2 3 5 5" xfId="13874" xr:uid="{00000000-0005-0000-0000-00002F360000}"/>
    <cellStyle name="Comma 2 3 5 5 2" xfId="13875" xr:uid="{00000000-0005-0000-0000-000030360000}"/>
    <cellStyle name="Comma 2 3 5 6" xfId="13876" xr:uid="{00000000-0005-0000-0000-000031360000}"/>
    <cellStyle name="Comma 2 3 5 6 2" xfId="13877" xr:uid="{00000000-0005-0000-0000-000032360000}"/>
    <cellStyle name="Comma 2 3 5 7" xfId="13878" xr:uid="{00000000-0005-0000-0000-000033360000}"/>
    <cellStyle name="Comma 2 3 5 8" xfId="13879" xr:uid="{00000000-0005-0000-0000-000034360000}"/>
    <cellStyle name="Comma 2 3 5 9" xfId="13880" xr:uid="{00000000-0005-0000-0000-000035360000}"/>
    <cellStyle name="Comma 2 3 6" xfId="13881" xr:uid="{00000000-0005-0000-0000-000036360000}"/>
    <cellStyle name="Comma 2 3 6 10" xfId="13882" xr:uid="{00000000-0005-0000-0000-000037360000}"/>
    <cellStyle name="Comma 2 3 6 11" xfId="13883" xr:uid="{00000000-0005-0000-0000-000038360000}"/>
    <cellStyle name="Comma 2 3 6 12" xfId="13884" xr:uid="{00000000-0005-0000-0000-000039360000}"/>
    <cellStyle name="Comma 2 3 6 2" xfId="13885" xr:uid="{00000000-0005-0000-0000-00003A360000}"/>
    <cellStyle name="Comma 2 3 6 2 2" xfId="13886" xr:uid="{00000000-0005-0000-0000-00003B360000}"/>
    <cellStyle name="Comma 2 3 6 3" xfId="13887" xr:uid="{00000000-0005-0000-0000-00003C360000}"/>
    <cellStyle name="Comma 2 3 6 3 2" xfId="13888" xr:uid="{00000000-0005-0000-0000-00003D360000}"/>
    <cellStyle name="Comma 2 3 6 4" xfId="13889" xr:uid="{00000000-0005-0000-0000-00003E360000}"/>
    <cellStyle name="Comma 2 3 6 4 2" xfId="13890" xr:uid="{00000000-0005-0000-0000-00003F360000}"/>
    <cellStyle name="Comma 2 3 6 5" xfId="13891" xr:uid="{00000000-0005-0000-0000-000040360000}"/>
    <cellStyle name="Comma 2 3 6 5 2" xfId="13892" xr:uid="{00000000-0005-0000-0000-000041360000}"/>
    <cellStyle name="Comma 2 3 6 6" xfId="13893" xr:uid="{00000000-0005-0000-0000-000042360000}"/>
    <cellStyle name="Comma 2 3 6 6 2" xfId="13894" xr:uid="{00000000-0005-0000-0000-000043360000}"/>
    <cellStyle name="Comma 2 3 6 7" xfId="13895" xr:uid="{00000000-0005-0000-0000-000044360000}"/>
    <cellStyle name="Comma 2 3 6 8" xfId="13896" xr:uid="{00000000-0005-0000-0000-000045360000}"/>
    <cellStyle name="Comma 2 3 6 9" xfId="13897" xr:uid="{00000000-0005-0000-0000-000046360000}"/>
    <cellStyle name="Comma 2 3 7" xfId="13898" xr:uid="{00000000-0005-0000-0000-000047360000}"/>
    <cellStyle name="Comma 2 3 7 10" xfId="13899" xr:uid="{00000000-0005-0000-0000-000048360000}"/>
    <cellStyle name="Comma 2 3 7 11" xfId="13900" xr:uid="{00000000-0005-0000-0000-000049360000}"/>
    <cellStyle name="Comma 2 3 7 12" xfId="13901" xr:uid="{00000000-0005-0000-0000-00004A360000}"/>
    <cellStyle name="Comma 2 3 7 2" xfId="13902" xr:uid="{00000000-0005-0000-0000-00004B360000}"/>
    <cellStyle name="Comma 2 3 7 2 2" xfId="13903" xr:uid="{00000000-0005-0000-0000-00004C360000}"/>
    <cellStyle name="Comma 2 3 7 3" xfId="13904" xr:uid="{00000000-0005-0000-0000-00004D360000}"/>
    <cellStyle name="Comma 2 3 7 3 2" xfId="13905" xr:uid="{00000000-0005-0000-0000-00004E360000}"/>
    <cellStyle name="Comma 2 3 7 4" xfId="13906" xr:uid="{00000000-0005-0000-0000-00004F360000}"/>
    <cellStyle name="Comma 2 3 7 4 2" xfId="13907" xr:uid="{00000000-0005-0000-0000-000050360000}"/>
    <cellStyle name="Comma 2 3 7 5" xfId="13908" xr:uid="{00000000-0005-0000-0000-000051360000}"/>
    <cellStyle name="Comma 2 3 7 5 2" xfId="13909" xr:uid="{00000000-0005-0000-0000-000052360000}"/>
    <cellStyle name="Comma 2 3 7 6" xfId="13910" xr:uid="{00000000-0005-0000-0000-000053360000}"/>
    <cellStyle name="Comma 2 3 7 6 2" xfId="13911" xr:uid="{00000000-0005-0000-0000-000054360000}"/>
    <cellStyle name="Comma 2 3 7 7" xfId="13912" xr:uid="{00000000-0005-0000-0000-000055360000}"/>
    <cellStyle name="Comma 2 3 7 8" xfId="13913" xr:uid="{00000000-0005-0000-0000-000056360000}"/>
    <cellStyle name="Comma 2 3 7 9" xfId="13914" xr:uid="{00000000-0005-0000-0000-000057360000}"/>
    <cellStyle name="Comma 2 3 8" xfId="13915" xr:uid="{00000000-0005-0000-0000-000058360000}"/>
    <cellStyle name="Comma 2 3 8 10" xfId="13916" xr:uid="{00000000-0005-0000-0000-000059360000}"/>
    <cellStyle name="Comma 2 3 8 11" xfId="13917" xr:uid="{00000000-0005-0000-0000-00005A360000}"/>
    <cellStyle name="Comma 2 3 8 12" xfId="13918" xr:uid="{00000000-0005-0000-0000-00005B360000}"/>
    <cellStyle name="Comma 2 3 8 2" xfId="13919" xr:uid="{00000000-0005-0000-0000-00005C360000}"/>
    <cellStyle name="Comma 2 3 8 2 2" xfId="13920" xr:uid="{00000000-0005-0000-0000-00005D360000}"/>
    <cellStyle name="Comma 2 3 8 3" xfId="13921" xr:uid="{00000000-0005-0000-0000-00005E360000}"/>
    <cellStyle name="Comma 2 3 8 3 2" xfId="13922" xr:uid="{00000000-0005-0000-0000-00005F360000}"/>
    <cellStyle name="Comma 2 3 8 4" xfId="13923" xr:uid="{00000000-0005-0000-0000-000060360000}"/>
    <cellStyle name="Comma 2 3 8 4 2" xfId="13924" xr:uid="{00000000-0005-0000-0000-000061360000}"/>
    <cellStyle name="Comma 2 3 8 5" xfId="13925" xr:uid="{00000000-0005-0000-0000-000062360000}"/>
    <cellStyle name="Comma 2 3 8 5 2" xfId="13926" xr:uid="{00000000-0005-0000-0000-000063360000}"/>
    <cellStyle name="Comma 2 3 8 6" xfId="13927" xr:uid="{00000000-0005-0000-0000-000064360000}"/>
    <cellStyle name="Comma 2 3 8 6 2" xfId="13928" xr:uid="{00000000-0005-0000-0000-000065360000}"/>
    <cellStyle name="Comma 2 3 8 7" xfId="13929" xr:uid="{00000000-0005-0000-0000-000066360000}"/>
    <cellStyle name="Comma 2 3 8 8" xfId="13930" xr:uid="{00000000-0005-0000-0000-000067360000}"/>
    <cellStyle name="Comma 2 3 8 9" xfId="13931" xr:uid="{00000000-0005-0000-0000-000068360000}"/>
    <cellStyle name="Comma 2 3 9" xfId="13932" xr:uid="{00000000-0005-0000-0000-000069360000}"/>
    <cellStyle name="Comma 2 3 9 2" xfId="13933" xr:uid="{00000000-0005-0000-0000-00006A360000}"/>
    <cellStyle name="Comma 2 3 9 2 2" xfId="13934" xr:uid="{00000000-0005-0000-0000-00006B360000}"/>
    <cellStyle name="Comma 2 3 9 3" xfId="13935" xr:uid="{00000000-0005-0000-0000-00006C360000}"/>
    <cellStyle name="Comma 2 3 9 4" xfId="13936" xr:uid="{00000000-0005-0000-0000-00006D360000}"/>
    <cellStyle name="Comma 2 3 9 5" xfId="13937" xr:uid="{00000000-0005-0000-0000-00006E360000}"/>
    <cellStyle name="Comma 2 3 9 6" xfId="13938" xr:uid="{00000000-0005-0000-0000-00006F360000}"/>
    <cellStyle name="Comma 2 3 9 7" xfId="13939" xr:uid="{00000000-0005-0000-0000-000070360000}"/>
    <cellStyle name="Comma 2 3 9 8" xfId="13940" xr:uid="{00000000-0005-0000-0000-000071360000}"/>
    <cellStyle name="Comma 2 3 9 9" xfId="13941" xr:uid="{00000000-0005-0000-0000-000072360000}"/>
    <cellStyle name="Comma 2 30" xfId="13942" xr:uid="{00000000-0005-0000-0000-000073360000}"/>
    <cellStyle name="Comma 2 30 2" xfId="13943" xr:uid="{00000000-0005-0000-0000-000074360000}"/>
    <cellStyle name="Comma 2 31" xfId="13944" xr:uid="{00000000-0005-0000-0000-000075360000}"/>
    <cellStyle name="Comma 2 31 2" xfId="13945" xr:uid="{00000000-0005-0000-0000-000076360000}"/>
    <cellStyle name="Comma 2 31 2 2" xfId="13946" xr:uid="{00000000-0005-0000-0000-000077360000}"/>
    <cellStyle name="Comma 2 31 3" xfId="13947" xr:uid="{00000000-0005-0000-0000-000078360000}"/>
    <cellStyle name="Comma 2 31 4" xfId="13948" xr:uid="{00000000-0005-0000-0000-000079360000}"/>
    <cellStyle name="Comma 2 31 5" xfId="13949" xr:uid="{00000000-0005-0000-0000-00007A360000}"/>
    <cellStyle name="Comma 2 31 6" xfId="13950" xr:uid="{00000000-0005-0000-0000-00007B360000}"/>
    <cellStyle name="Comma 2 31 7" xfId="13951" xr:uid="{00000000-0005-0000-0000-00007C360000}"/>
    <cellStyle name="Comma 2 31 8" xfId="13952" xr:uid="{00000000-0005-0000-0000-00007D360000}"/>
    <cellStyle name="Comma 2 32" xfId="13953" xr:uid="{00000000-0005-0000-0000-00007E360000}"/>
    <cellStyle name="Comma 2 32 2" xfId="13954" xr:uid="{00000000-0005-0000-0000-00007F360000}"/>
    <cellStyle name="Comma 2 33" xfId="13955" xr:uid="{00000000-0005-0000-0000-000080360000}"/>
    <cellStyle name="Comma 2 33 2" xfId="13956" xr:uid="{00000000-0005-0000-0000-000081360000}"/>
    <cellStyle name="Comma 2 34" xfId="13957" xr:uid="{00000000-0005-0000-0000-000082360000}"/>
    <cellStyle name="Comma 2 34 2" xfId="13958" xr:uid="{00000000-0005-0000-0000-000083360000}"/>
    <cellStyle name="Comma 2 35" xfId="13959" xr:uid="{00000000-0005-0000-0000-000084360000}"/>
    <cellStyle name="Comma 2 35 2" xfId="13960" xr:uid="{00000000-0005-0000-0000-000085360000}"/>
    <cellStyle name="Comma 2 36" xfId="13961" xr:uid="{00000000-0005-0000-0000-000086360000}"/>
    <cellStyle name="Comma 2 36 2" xfId="13962" xr:uid="{00000000-0005-0000-0000-000087360000}"/>
    <cellStyle name="Comma 2 36 3" xfId="13963" xr:uid="{00000000-0005-0000-0000-000088360000}"/>
    <cellStyle name="Comma 2 37" xfId="13964" xr:uid="{00000000-0005-0000-0000-000089360000}"/>
    <cellStyle name="Comma 2 37 2" xfId="13965" xr:uid="{00000000-0005-0000-0000-00008A360000}"/>
    <cellStyle name="Comma 2 37 3" xfId="13966" xr:uid="{00000000-0005-0000-0000-00008B360000}"/>
    <cellStyle name="Comma 2 38" xfId="13967" xr:uid="{00000000-0005-0000-0000-00008C360000}"/>
    <cellStyle name="Comma 2 38 2" xfId="13968" xr:uid="{00000000-0005-0000-0000-00008D360000}"/>
    <cellStyle name="Comma 2 39" xfId="13969" xr:uid="{00000000-0005-0000-0000-00008E360000}"/>
    <cellStyle name="Comma 2 39 2" xfId="13970" xr:uid="{00000000-0005-0000-0000-00008F360000}"/>
    <cellStyle name="Comma 2 39 2 2" xfId="13971" xr:uid="{00000000-0005-0000-0000-000090360000}"/>
    <cellStyle name="Comma 2 39 2 2 2" xfId="13972" xr:uid="{00000000-0005-0000-0000-000091360000}"/>
    <cellStyle name="Comma 2 39 3" xfId="13973" xr:uid="{00000000-0005-0000-0000-000092360000}"/>
    <cellStyle name="Comma 2 39 4" xfId="13974" xr:uid="{00000000-0005-0000-0000-000093360000}"/>
    <cellStyle name="Comma 2 39 5" xfId="13975" xr:uid="{00000000-0005-0000-0000-000094360000}"/>
    <cellStyle name="Comma 2 39 6" xfId="13976" xr:uid="{00000000-0005-0000-0000-000095360000}"/>
    <cellStyle name="Comma 2 4" xfId="13977" xr:uid="{00000000-0005-0000-0000-000096360000}"/>
    <cellStyle name="Comma 2 4 10" xfId="13978" xr:uid="{00000000-0005-0000-0000-000097360000}"/>
    <cellStyle name="Comma 2 4 10 2" xfId="13979" xr:uid="{00000000-0005-0000-0000-000098360000}"/>
    <cellStyle name="Comma 2 4 11" xfId="13980" xr:uid="{00000000-0005-0000-0000-000099360000}"/>
    <cellStyle name="Comma 2 4 11 2" xfId="13981" xr:uid="{00000000-0005-0000-0000-00009A360000}"/>
    <cellStyle name="Comma 2 4 12" xfId="13982" xr:uid="{00000000-0005-0000-0000-00009B360000}"/>
    <cellStyle name="Comma 2 4 12 2" xfId="13983" xr:uid="{00000000-0005-0000-0000-00009C360000}"/>
    <cellStyle name="Comma 2 4 13" xfId="13984" xr:uid="{00000000-0005-0000-0000-00009D360000}"/>
    <cellStyle name="Comma 2 4 13 2" xfId="13985" xr:uid="{00000000-0005-0000-0000-00009E360000}"/>
    <cellStyle name="Comma 2 4 14" xfId="13986" xr:uid="{00000000-0005-0000-0000-00009F360000}"/>
    <cellStyle name="Comma 2 4 14 2" xfId="13987" xr:uid="{00000000-0005-0000-0000-0000A0360000}"/>
    <cellStyle name="Comma 2 4 15" xfId="13988" xr:uid="{00000000-0005-0000-0000-0000A1360000}"/>
    <cellStyle name="Comma 2 4 15 2" xfId="13989" xr:uid="{00000000-0005-0000-0000-0000A2360000}"/>
    <cellStyle name="Comma 2 4 16" xfId="13990" xr:uid="{00000000-0005-0000-0000-0000A3360000}"/>
    <cellStyle name="Comma 2 4 16 2" xfId="13991" xr:uid="{00000000-0005-0000-0000-0000A4360000}"/>
    <cellStyle name="Comma 2 4 17" xfId="13992" xr:uid="{00000000-0005-0000-0000-0000A5360000}"/>
    <cellStyle name="Comma 2 4 17 2" xfId="13993" xr:uid="{00000000-0005-0000-0000-0000A6360000}"/>
    <cellStyle name="Comma 2 4 18" xfId="13994" xr:uid="{00000000-0005-0000-0000-0000A7360000}"/>
    <cellStyle name="Comma 2 4 18 2" xfId="13995" xr:uid="{00000000-0005-0000-0000-0000A8360000}"/>
    <cellStyle name="Comma 2 4 19" xfId="13996" xr:uid="{00000000-0005-0000-0000-0000A9360000}"/>
    <cellStyle name="Comma 2 4 19 2" xfId="13997" xr:uid="{00000000-0005-0000-0000-0000AA360000}"/>
    <cellStyle name="Comma 2 4 2" xfId="13998" xr:uid="{00000000-0005-0000-0000-0000AB360000}"/>
    <cellStyle name="Comma 2 4 2 10" xfId="13999" xr:uid="{00000000-0005-0000-0000-0000AC360000}"/>
    <cellStyle name="Comma 2 4 2 10 2" xfId="14000" xr:uid="{00000000-0005-0000-0000-0000AD360000}"/>
    <cellStyle name="Comma 2 4 2 10 2 2" xfId="14001" xr:uid="{00000000-0005-0000-0000-0000AE360000}"/>
    <cellStyle name="Comma 2 4 2 10 3" xfId="14002" xr:uid="{00000000-0005-0000-0000-0000AF360000}"/>
    <cellStyle name="Comma 2 4 2 10 4" xfId="14003" xr:uid="{00000000-0005-0000-0000-0000B0360000}"/>
    <cellStyle name="Comma 2 4 2 10 5" xfId="14004" xr:uid="{00000000-0005-0000-0000-0000B1360000}"/>
    <cellStyle name="Comma 2 4 2 10 6" xfId="14005" xr:uid="{00000000-0005-0000-0000-0000B2360000}"/>
    <cellStyle name="Comma 2 4 2 10 7" xfId="14006" xr:uid="{00000000-0005-0000-0000-0000B3360000}"/>
    <cellStyle name="Comma 2 4 2 10 8" xfId="14007" xr:uid="{00000000-0005-0000-0000-0000B4360000}"/>
    <cellStyle name="Comma 2 4 2 11" xfId="14008" xr:uid="{00000000-0005-0000-0000-0000B5360000}"/>
    <cellStyle name="Comma 2 4 2 11 2" xfId="14009" xr:uid="{00000000-0005-0000-0000-0000B6360000}"/>
    <cellStyle name="Comma 2 4 2 11 2 2" xfId="14010" xr:uid="{00000000-0005-0000-0000-0000B7360000}"/>
    <cellStyle name="Comma 2 4 2 11 3" xfId="14011" xr:uid="{00000000-0005-0000-0000-0000B8360000}"/>
    <cellStyle name="Comma 2 4 2 11 4" xfId="14012" xr:uid="{00000000-0005-0000-0000-0000B9360000}"/>
    <cellStyle name="Comma 2 4 2 11 5" xfId="14013" xr:uid="{00000000-0005-0000-0000-0000BA360000}"/>
    <cellStyle name="Comma 2 4 2 11 6" xfId="14014" xr:uid="{00000000-0005-0000-0000-0000BB360000}"/>
    <cellStyle name="Comma 2 4 2 11 7" xfId="14015" xr:uid="{00000000-0005-0000-0000-0000BC360000}"/>
    <cellStyle name="Comma 2 4 2 11 8" xfId="14016" xr:uid="{00000000-0005-0000-0000-0000BD360000}"/>
    <cellStyle name="Comma 2 4 2 12" xfId="14017" xr:uid="{00000000-0005-0000-0000-0000BE360000}"/>
    <cellStyle name="Comma 2 4 2 12 2" xfId="14018" xr:uid="{00000000-0005-0000-0000-0000BF360000}"/>
    <cellStyle name="Comma 2 4 2 12 2 2" xfId="14019" xr:uid="{00000000-0005-0000-0000-0000C0360000}"/>
    <cellStyle name="Comma 2 4 2 12 3" xfId="14020" xr:uid="{00000000-0005-0000-0000-0000C1360000}"/>
    <cellStyle name="Comma 2 4 2 12 4" xfId="14021" xr:uid="{00000000-0005-0000-0000-0000C2360000}"/>
    <cellStyle name="Comma 2 4 2 12 5" xfId="14022" xr:uid="{00000000-0005-0000-0000-0000C3360000}"/>
    <cellStyle name="Comma 2 4 2 12 6" xfId="14023" xr:uid="{00000000-0005-0000-0000-0000C4360000}"/>
    <cellStyle name="Comma 2 4 2 12 7" xfId="14024" xr:uid="{00000000-0005-0000-0000-0000C5360000}"/>
    <cellStyle name="Comma 2 4 2 12 8" xfId="14025" xr:uid="{00000000-0005-0000-0000-0000C6360000}"/>
    <cellStyle name="Comma 2 4 2 13" xfId="14026" xr:uid="{00000000-0005-0000-0000-0000C7360000}"/>
    <cellStyle name="Comma 2 4 2 13 2" xfId="14027" xr:uid="{00000000-0005-0000-0000-0000C8360000}"/>
    <cellStyle name="Comma 2 4 2 13 2 2" xfId="14028" xr:uid="{00000000-0005-0000-0000-0000C9360000}"/>
    <cellStyle name="Comma 2 4 2 13 3" xfId="14029" xr:uid="{00000000-0005-0000-0000-0000CA360000}"/>
    <cellStyle name="Comma 2 4 2 13 4" xfId="14030" xr:uid="{00000000-0005-0000-0000-0000CB360000}"/>
    <cellStyle name="Comma 2 4 2 13 5" xfId="14031" xr:uid="{00000000-0005-0000-0000-0000CC360000}"/>
    <cellStyle name="Comma 2 4 2 13 6" xfId="14032" xr:uid="{00000000-0005-0000-0000-0000CD360000}"/>
    <cellStyle name="Comma 2 4 2 13 7" xfId="14033" xr:uid="{00000000-0005-0000-0000-0000CE360000}"/>
    <cellStyle name="Comma 2 4 2 13 8" xfId="14034" xr:uid="{00000000-0005-0000-0000-0000CF360000}"/>
    <cellStyle name="Comma 2 4 2 14" xfId="14035" xr:uid="{00000000-0005-0000-0000-0000D0360000}"/>
    <cellStyle name="Comma 2 4 2 14 2" xfId="14036" xr:uid="{00000000-0005-0000-0000-0000D1360000}"/>
    <cellStyle name="Comma 2 4 2 14 2 2" xfId="14037" xr:uid="{00000000-0005-0000-0000-0000D2360000}"/>
    <cellStyle name="Comma 2 4 2 14 3" xfId="14038" xr:uid="{00000000-0005-0000-0000-0000D3360000}"/>
    <cellStyle name="Comma 2 4 2 14 4" xfId="14039" xr:uid="{00000000-0005-0000-0000-0000D4360000}"/>
    <cellStyle name="Comma 2 4 2 14 5" xfId="14040" xr:uid="{00000000-0005-0000-0000-0000D5360000}"/>
    <cellStyle name="Comma 2 4 2 14 6" xfId="14041" xr:uid="{00000000-0005-0000-0000-0000D6360000}"/>
    <cellStyle name="Comma 2 4 2 14 7" xfId="14042" xr:uid="{00000000-0005-0000-0000-0000D7360000}"/>
    <cellStyle name="Comma 2 4 2 14 8" xfId="14043" xr:uid="{00000000-0005-0000-0000-0000D8360000}"/>
    <cellStyle name="Comma 2 4 2 15" xfId="14044" xr:uid="{00000000-0005-0000-0000-0000D9360000}"/>
    <cellStyle name="Comma 2 4 2 15 2" xfId="14045" xr:uid="{00000000-0005-0000-0000-0000DA360000}"/>
    <cellStyle name="Comma 2 4 2 15 2 2" xfId="14046" xr:uid="{00000000-0005-0000-0000-0000DB360000}"/>
    <cellStyle name="Comma 2 4 2 15 3" xfId="14047" xr:uid="{00000000-0005-0000-0000-0000DC360000}"/>
    <cellStyle name="Comma 2 4 2 15 4" xfId="14048" xr:uid="{00000000-0005-0000-0000-0000DD360000}"/>
    <cellStyle name="Comma 2 4 2 15 5" xfId="14049" xr:uid="{00000000-0005-0000-0000-0000DE360000}"/>
    <cellStyle name="Comma 2 4 2 15 6" xfId="14050" xr:uid="{00000000-0005-0000-0000-0000DF360000}"/>
    <cellStyle name="Comma 2 4 2 15 7" xfId="14051" xr:uid="{00000000-0005-0000-0000-0000E0360000}"/>
    <cellStyle name="Comma 2 4 2 15 8" xfId="14052" xr:uid="{00000000-0005-0000-0000-0000E1360000}"/>
    <cellStyle name="Comma 2 4 2 16" xfId="14053" xr:uid="{00000000-0005-0000-0000-0000E2360000}"/>
    <cellStyle name="Comma 2 4 2 16 2" xfId="14054" xr:uid="{00000000-0005-0000-0000-0000E3360000}"/>
    <cellStyle name="Comma 2 4 2 16 2 2" xfId="14055" xr:uid="{00000000-0005-0000-0000-0000E4360000}"/>
    <cellStyle name="Comma 2 4 2 16 3" xfId="14056" xr:uid="{00000000-0005-0000-0000-0000E5360000}"/>
    <cellStyle name="Comma 2 4 2 16 4" xfId="14057" xr:uid="{00000000-0005-0000-0000-0000E6360000}"/>
    <cellStyle name="Comma 2 4 2 16 5" xfId="14058" xr:uid="{00000000-0005-0000-0000-0000E7360000}"/>
    <cellStyle name="Comma 2 4 2 16 6" xfId="14059" xr:uid="{00000000-0005-0000-0000-0000E8360000}"/>
    <cellStyle name="Comma 2 4 2 16 7" xfId="14060" xr:uid="{00000000-0005-0000-0000-0000E9360000}"/>
    <cellStyle name="Comma 2 4 2 16 8" xfId="14061" xr:uid="{00000000-0005-0000-0000-0000EA360000}"/>
    <cellStyle name="Comma 2 4 2 17" xfId="14062" xr:uid="{00000000-0005-0000-0000-0000EB360000}"/>
    <cellStyle name="Comma 2 4 2 17 2" xfId="14063" xr:uid="{00000000-0005-0000-0000-0000EC360000}"/>
    <cellStyle name="Comma 2 4 2 2" xfId="14064" xr:uid="{00000000-0005-0000-0000-0000ED360000}"/>
    <cellStyle name="Comma 2 4 2 2 10" xfId="14065" xr:uid="{00000000-0005-0000-0000-0000EE360000}"/>
    <cellStyle name="Comma 2 4 2 2 10 2" xfId="14066" xr:uid="{00000000-0005-0000-0000-0000EF360000}"/>
    <cellStyle name="Comma 2 4 2 2 11" xfId="14067" xr:uid="{00000000-0005-0000-0000-0000F0360000}"/>
    <cellStyle name="Comma 2 4 2 2 11 2" xfId="14068" xr:uid="{00000000-0005-0000-0000-0000F1360000}"/>
    <cellStyle name="Comma 2 4 2 2 12" xfId="14069" xr:uid="{00000000-0005-0000-0000-0000F2360000}"/>
    <cellStyle name="Comma 2 4 2 2 12 2" xfId="14070" xr:uid="{00000000-0005-0000-0000-0000F3360000}"/>
    <cellStyle name="Comma 2 4 2 2 13" xfId="14071" xr:uid="{00000000-0005-0000-0000-0000F4360000}"/>
    <cellStyle name="Comma 2 4 2 2 13 2" xfId="14072" xr:uid="{00000000-0005-0000-0000-0000F5360000}"/>
    <cellStyle name="Comma 2 4 2 2 14" xfId="14073" xr:uid="{00000000-0005-0000-0000-0000F6360000}"/>
    <cellStyle name="Comma 2 4 2 2 14 2" xfId="14074" xr:uid="{00000000-0005-0000-0000-0000F7360000}"/>
    <cellStyle name="Comma 2 4 2 2 15" xfId="14075" xr:uid="{00000000-0005-0000-0000-0000F8360000}"/>
    <cellStyle name="Comma 2 4 2 2 15 2" xfId="14076" xr:uid="{00000000-0005-0000-0000-0000F9360000}"/>
    <cellStyle name="Comma 2 4 2 2 16" xfId="14077" xr:uid="{00000000-0005-0000-0000-0000FA360000}"/>
    <cellStyle name="Comma 2 4 2 2 16 2" xfId="14078" xr:uid="{00000000-0005-0000-0000-0000FB360000}"/>
    <cellStyle name="Comma 2 4 2 2 17" xfId="14079" xr:uid="{00000000-0005-0000-0000-0000FC360000}"/>
    <cellStyle name="Comma 2 4 2 2 17 2" xfId="14080" xr:uid="{00000000-0005-0000-0000-0000FD360000}"/>
    <cellStyle name="Comma 2 4 2 2 18" xfId="14081" xr:uid="{00000000-0005-0000-0000-0000FE360000}"/>
    <cellStyle name="Comma 2 4 2 2 18 2" xfId="14082" xr:uid="{00000000-0005-0000-0000-0000FF360000}"/>
    <cellStyle name="Comma 2 4 2 2 19" xfId="14083" xr:uid="{00000000-0005-0000-0000-000000370000}"/>
    <cellStyle name="Comma 2 4 2 2 19 2" xfId="14084" xr:uid="{00000000-0005-0000-0000-000001370000}"/>
    <cellStyle name="Comma 2 4 2 2 2" xfId="14085" xr:uid="{00000000-0005-0000-0000-000002370000}"/>
    <cellStyle name="Comma 2 4 2 2 2 2" xfId="14086" xr:uid="{00000000-0005-0000-0000-000003370000}"/>
    <cellStyle name="Comma 2 4 2 2 2 2 2" xfId="14087" xr:uid="{00000000-0005-0000-0000-000004370000}"/>
    <cellStyle name="Comma 2 4 2 2 2 2 3" xfId="14088" xr:uid="{00000000-0005-0000-0000-000005370000}"/>
    <cellStyle name="Comma 2 4 2 2 2 3" xfId="14089" xr:uid="{00000000-0005-0000-0000-000006370000}"/>
    <cellStyle name="Comma 2 4 2 2 2 3 2" xfId="14090" xr:uid="{00000000-0005-0000-0000-000007370000}"/>
    <cellStyle name="Comma 2 4 2 2 20" xfId="14091" xr:uid="{00000000-0005-0000-0000-000008370000}"/>
    <cellStyle name="Comma 2 4 2 2 20 2" xfId="14092" xr:uid="{00000000-0005-0000-0000-000009370000}"/>
    <cellStyle name="Comma 2 4 2 2 21" xfId="14093" xr:uid="{00000000-0005-0000-0000-00000A370000}"/>
    <cellStyle name="Comma 2 4 2 2 21 2" xfId="14094" xr:uid="{00000000-0005-0000-0000-00000B370000}"/>
    <cellStyle name="Comma 2 4 2 2 21 3" xfId="14095" xr:uid="{00000000-0005-0000-0000-00000C370000}"/>
    <cellStyle name="Comma 2 4 2 2 22" xfId="14096" xr:uid="{00000000-0005-0000-0000-00000D370000}"/>
    <cellStyle name="Comma 2 4 2 2 22 2" xfId="14097" xr:uid="{00000000-0005-0000-0000-00000E370000}"/>
    <cellStyle name="Comma 2 4 2 2 23" xfId="14098" xr:uid="{00000000-0005-0000-0000-00000F370000}"/>
    <cellStyle name="Comma 2 4 2 2 23 2" xfId="14099" xr:uid="{00000000-0005-0000-0000-000010370000}"/>
    <cellStyle name="Comma 2 4 2 2 24" xfId="14100" xr:uid="{00000000-0005-0000-0000-000011370000}"/>
    <cellStyle name="Comma 2 4 2 2 25" xfId="14101" xr:uid="{00000000-0005-0000-0000-000012370000}"/>
    <cellStyle name="Comma 2 4 2 2 26" xfId="14102" xr:uid="{00000000-0005-0000-0000-000013370000}"/>
    <cellStyle name="Comma 2 4 2 2 27" xfId="14103" xr:uid="{00000000-0005-0000-0000-000014370000}"/>
    <cellStyle name="Comma 2 4 2 2 28" xfId="14104" xr:uid="{00000000-0005-0000-0000-000015370000}"/>
    <cellStyle name="Comma 2 4 2 2 29" xfId="14105" xr:uid="{00000000-0005-0000-0000-000016370000}"/>
    <cellStyle name="Comma 2 4 2 2 3" xfId="14106" xr:uid="{00000000-0005-0000-0000-000017370000}"/>
    <cellStyle name="Comma 2 4 2 2 3 2" xfId="14107" xr:uid="{00000000-0005-0000-0000-000018370000}"/>
    <cellStyle name="Comma 2 4 2 2 3 2 2" xfId="14108" xr:uid="{00000000-0005-0000-0000-000019370000}"/>
    <cellStyle name="Comma 2 4 2 2 3 3" xfId="14109" xr:uid="{00000000-0005-0000-0000-00001A370000}"/>
    <cellStyle name="Comma 2 4 2 2 3 3 2" xfId="14110" xr:uid="{00000000-0005-0000-0000-00001B370000}"/>
    <cellStyle name="Comma 2 4 2 2 30" xfId="14111" xr:uid="{00000000-0005-0000-0000-00001C370000}"/>
    <cellStyle name="Comma 2 4 2 2 31" xfId="14112" xr:uid="{00000000-0005-0000-0000-00001D370000}"/>
    <cellStyle name="Comma 2 4 2 2 32" xfId="14113" xr:uid="{00000000-0005-0000-0000-00001E370000}"/>
    <cellStyle name="Comma 2 4 2 2 4" xfId="14114" xr:uid="{00000000-0005-0000-0000-00001F370000}"/>
    <cellStyle name="Comma 2 4 2 2 5" xfId="14115" xr:uid="{00000000-0005-0000-0000-000020370000}"/>
    <cellStyle name="Comma 2 4 2 2 6" xfId="14116" xr:uid="{00000000-0005-0000-0000-000021370000}"/>
    <cellStyle name="Comma 2 4 2 2 6 2" xfId="14117" xr:uid="{00000000-0005-0000-0000-000022370000}"/>
    <cellStyle name="Comma 2 4 2 2 6 2 2" xfId="14118" xr:uid="{00000000-0005-0000-0000-000023370000}"/>
    <cellStyle name="Comma 2 4 2 2 6 2 2 2" xfId="14119" xr:uid="{00000000-0005-0000-0000-000024370000}"/>
    <cellStyle name="Comma 2 4 2 2 6 3" xfId="14120" xr:uid="{00000000-0005-0000-0000-000025370000}"/>
    <cellStyle name="Comma 2 4 2 2 7" xfId="14121" xr:uid="{00000000-0005-0000-0000-000026370000}"/>
    <cellStyle name="Comma 2 4 2 2 8" xfId="14122" xr:uid="{00000000-0005-0000-0000-000027370000}"/>
    <cellStyle name="Comma 2 4 2 2 9" xfId="14123" xr:uid="{00000000-0005-0000-0000-000028370000}"/>
    <cellStyle name="Comma 2 4 2 2 9 2" xfId="14124" xr:uid="{00000000-0005-0000-0000-000029370000}"/>
    <cellStyle name="Comma 2 4 2 2 9 3" xfId="14125" xr:uid="{00000000-0005-0000-0000-00002A370000}"/>
    <cellStyle name="Comma 2 4 2 3" xfId="14126" xr:uid="{00000000-0005-0000-0000-00002B370000}"/>
    <cellStyle name="Comma 2 4 2 3 10" xfId="14127" xr:uid="{00000000-0005-0000-0000-00002C370000}"/>
    <cellStyle name="Comma 2 4 2 3 11" xfId="14128" xr:uid="{00000000-0005-0000-0000-00002D370000}"/>
    <cellStyle name="Comma 2 4 2 3 12" xfId="14129" xr:uid="{00000000-0005-0000-0000-00002E370000}"/>
    <cellStyle name="Comma 2 4 2 3 2" xfId="14130" xr:uid="{00000000-0005-0000-0000-00002F370000}"/>
    <cellStyle name="Comma 2 4 2 3 2 2" xfId="14131" xr:uid="{00000000-0005-0000-0000-000030370000}"/>
    <cellStyle name="Comma 2 4 2 3 2 3" xfId="14132" xr:uid="{00000000-0005-0000-0000-000031370000}"/>
    <cellStyle name="Comma 2 4 2 3 2 4" xfId="14133" xr:uid="{00000000-0005-0000-0000-000032370000}"/>
    <cellStyle name="Comma 2 4 2 3 3" xfId="14134" xr:uid="{00000000-0005-0000-0000-000033370000}"/>
    <cellStyle name="Comma 2 4 2 3 3 2" xfId="14135" xr:uid="{00000000-0005-0000-0000-000034370000}"/>
    <cellStyle name="Comma 2 4 2 3 4" xfId="14136" xr:uid="{00000000-0005-0000-0000-000035370000}"/>
    <cellStyle name="Comma 2 4 2 3 4 2" xfId="14137" xr:uid="{00000000-0005-0000-0000-000036370000}"/>
    <cellStyle name="Comma 2 4 2 3 5" xfId="14138" xr:uid="{00000000-0005-0000-0000-000037370000}"/>
    <cellStyle name="Comma 2 4 2 3 5 2" xfId="14139" xr:uid="{00000000-0005-0000-0000-000038370000}"/>
    <cellStyle name="Comma 2 4 2 3 6" xfId="14140" xr:uid="{00000000-0005-0000-0000-000039370000}"/>
    <cellStyle name="Comma 2 4 2 3 6 2" xfId="14141" xr:uid="{00000000-0005-0000-0000-00003A370000}"/>
    <cellStyle name="Comma 2 4 2 3 7" xfId="14142" xr:uid="{00000000-0005-0000-0000-00003B370000}"/>
    <cellStyle name="Comma 2 4 2 3 8" xfId="14143" xr:uid="{00000000-0005-0000-0000-00003C370000}"/>
    <cellStyle name="Comma 2 4 2 3 9" xfId="14144" xr:uid="{00000000-0005-0000-0000-00003D370000}"/>
    <cellStyle name="Comma 2 4 2 4" xfId="14145" xr:uid="{00000000-0005-0000-0000-00003E370000}"/>
    <cellStyle name="Comma 2 4 2 4 10" xfId="14146" xr:uid="{00000000-0005-0000-0000-00003F370000}"/>
    <cellStyle name="Comma 2 4 2 4 11" xfId="14147" xr:uid="{00000000-0005-0000-0000-000040370000}"/>
    <cellStyle name="Comma 2 4 2 4 12" xfId="14148" xr:uid="{00000000-0005-0000-0000-000041370000}"/>
    <cellStyle name="Comma 2 4 2 4 2" xfId="14149" xr:uid="{00000000-0005-0000-0000-000042370000}"/>
    <cellStyle name="Comma 2 4 2 4 2 2" xfId="14150" xr:uid="{00000000-0005-0000-0000-000043370000}"/>
    <cellStyle name="Comma 2 4 2 4 3" xfId="14151" xr:uid="{00000000-0005-0000-0000-000044370000}"/>
    <cellStyle name="Comma 2 4 2 4 3 2" xfId="14152" xr:uid="{00000000-0005-0000-0000-000045370000}"/>
    <cellStyle name="Comma 2 4 2 4 4" xfId="14153" xr:uid="{00000000-0005-0000-0000-000046370000}"/>
    <cellStyle name="Comma 2 4 2 4 4 2" xfId="14154" xr:uid="{00000000-0005-0000-0000-000047370000}"/>
    <cellStyle name="Comma 2 4 2 4 5" xfId="14155" xr:uid="{00000000-0005-0000-0000-000048370000}"/>
    <cellStyle name="Comma 2 4 2 4 5 2" xfId="14156" xr:uid="{00000000-0005-0000-0000-000049370000}"/>
    <cellStyle name="Comma 2 4 2 4 6" xfId="14157" xr:uid="{00000000-0005-0000-0000-00004A370000}"/>
    <cellStyle name="Comma 2 4 2 4 6 2" xfId="14158" xr:uid="{00000000-0005-0000-0000-00004B370000}"/>
    <cellStyle name="Comma 2 4 2 4 7" xfId="14159" xr:uid="{00000000-0005-0000-0000-00004C370000}"/>
    <cellStyle name="Comma 2 4 2 4 8" xfId="14160" xr:uid="{00000000-0005-0000-0000-00004D370000}"/>
    <cellStyle name="Comma 2 4 2 4 9" xfId="14161" xr:uid="{00000000-0005-0000-0000-00004E370000}"/>
    <cellStyle name="Comma 2 4 2 5" xfId="14162" xr:uid="{00000000-0005-0000-0000-00004F370000}"/>
    <cellStyle name="Comma 2 4 2 5 10" xfId="14163" xr:uid="{00000000-0005-0000-0000-000050370000}"/>
    <cellStyle name="Comma 2 4 2 5 11" xfId="14164" xr:uid="{00000000-0005-0000-0000-000051370000}"/>
    <cellStyle name="Comma 2 4 2 5 12" xfId="14165" xr:uid="{00000000-0005-0000-0000-000052370000}"/>
    <cellStyle name="Comma 2 4 2 5 2" xfId="14166" xr:uid="{00000000-0005-0000-0000-000053370000}"/>
    <cellStyle name="Comma 2 4 2 5 2 2" xfId="14167" xr:uid="{00000000-0005-0000-0000-000054370000}"/>
    <cellStyle name="Comma 2 4 2 5 3" xfId="14168" xr:uid="{00000000-0005-0000-0000-000055370000}"/>
    <cellStyle name="Comma 2 4 2 5 3 2" xfId="14169" xr:uid="{00000000-0005-0000-0000-000056370000}"/>
    <cellStyle name="Comma 2 4 2 5 4" xfId="14170" xr:uid="{00000000-0005-0000-0000-000057370000}"/>
    <cellStyle name="Comma 2 4 2 5 4 2" xfId="14171" xr:uid="{00000000-0005-0000-0000-000058370000}"/>
    <cellStyle name="Comma 2 4 2 5 5" xfId="14172" xr:uid="{00000000-0005-0000-0000-000059370000}"/>
    <cellStyle name="Comma 2 4 2 5 5 2" xfId="14173" xr:uid="{00000000-0005-0000-0000-00005A370000}"/>
    <cellStyle name="Comma 2 4 2 5 6" xfId="14174" xr:uid="{00000000-0005-0000-0000-00005B370000}"/>
    <cellStyle name="Comma 2 4 2 5 6 2" xfId="14175" xr:uid="{00000000-0005-0000-0000-00005C370000}"/>
    <cellStyle name="Comma 2 4 2 5 7" xfId="14176" xr:uid="{00000000-0005-0000-0000-00005D370000}"/>
    <cellStyle name="Comma 2 4 2 5 8" xfId="14177" xr:uid="{00000000-0005-0000-0000-00005E370000}"/>
    <cellStyle name="Comma 2 4 2 5 9" xfId="14178" xr:uid="{00000000-0005-0000-0000-00005F370000}"/>
    <cellStyle name="Comma 2 4 2 6" xfId="14179" xr:uid="{00000000-0005-0000-0000-000060370000}"/>
    <cellStyle name="Comma 2 4 2 6 10" xfId="14180" xr:uid="{00000000-0005-0000-0000-000061370000}"/>
    <cellStyle name="Comma 2 4 2 6 11" xfId="14181" xr:uid="{00000000-0005-0000-0000-000062370000}"/>
    <cellStyle name="Comma 2 4 2 6 12" xfId="14182" xr:uid="{00000000-0005-0000-0000-000063370000}"/>
    <cellStyle name="Comma 2 4 2 6 2" xfId="14183" xr:uid="{00000000-0005-0000-0000-000064370000}"/>
    <cellStyle name="Comma 2 4 2 6 2 2" xfId="14184" xr:uid="{00000000-0005-0000-0000-000065370000}"/>
    <cellStyle name="Comma 2 4 2 6 3" xfId="14185" xr:uid="{00000000-0005-0000-0000-000066370000}"/>
    <cellStyle name="Comma 2 4 2 6 3 2" xfId="14186" xr:uid="{00000000-0005-0000-0000-000067370000}"/>
    <cellStyle name="Comma 2 4 2 6 4" xfId="14187" xr:uid="{00000000-0005-0000-0000-000068370000}"/>
    <cellStyle name="Comma 2 4 2 6 4 2" xfId="14188" xr:uid="{00000000-0005-0000-0000-000069370000}"/>
    <cellStyle name="Comma 2 4 2 6 5" xfId="14189" xr:uid="{00000000-0005-0000-0000-00006A370000}"/>
    <cellStyle name="Comma 2 4 2 6 5 2" xfId="14190" xr:uid="{00000000-0005-0000-0000-00006B370000}"/>
    <cellStyle name="Comma 2 4 2 6 6" xfId="14191" xr:uid="{00000000-0005-0000-0000-00006C370000}"/>
    <cellStyle name="Comma 2 4 2 6 6 2" xfId="14192" xr:uid="{00000000-0005-0000-0000-00006D370000}"/>
    <cellStyle name="Comma 2 4 2 6 7" xfId="14193" xr:uid="{00000000-0005-0000-0000-00006E370000}"/>
    <cellStyle name="Comma 2 4 2 6 8" xfId="14194" xr:uid="{00000000-0005-0000-0000-00006F370000}"/>
    <cellStyle name="Comma 2 4 2 6 9" xfId="14195" xr:uid="{00000000-0005-0000-0000-000070370000}"/>
    <cellStyle name="Comma 2 4 2 7" xfId="14196" xr:uid="{00000000-0005-0000-0000-000071370000}"/>
    <cellStyle name="Comma 2 4 2 7 10" xfId="14197" xr:uid="{00000000-0005-0000-0000-000072370000}"/>
    <cellStyle name="Comma 2 4 2 7 11" xfId="14198" xr:uid="{00000000-0005-0000-0000-000073370000}"/>
    <cellStyle name="Comma 2 4 2 7 12" xfId="14199" xr:uid="{00000000-0005-0000-0000-000074370000}"/>
    <cellStyle name="Comma 2 4 2 7 2" xfId="14200" xr:uid="{00000000-0005-0000-0000-000075370000}"/>
    <cellStyle name="Comma 2 4 2 7 2 2" xfId="14201" xr:uid="{00000000-0005-0000-0000-000076370000}"/>
    <cellStyle name="Comma 2 4 2 7 3" xfId="14202" xr:uid="{00000000-0005-0000-0000-000077370000}"/>
    <cellStyle name="Comma 2 4 2 7 3 2" xfId="14203" xr:uid="{00000000-0005-0000-0000-000078370000}"/>
    <cellStyle name="Comma 2 4 2 7 4" xfId="14204" xr:uid="{00000000-0005-0000-0000-000079370000}"/>
    <cellStyle name="Comma 2 4 2 7 4 2" xfId="14205" xr:uid="{00000000-0005-0000-0000-00007A370000}"/>
    <cellStyle name="Comma 2 4 2 7 5" xfId="14206" xr:uid="{00000000-0005-0000-0000-00007B370000}"/>
    <cellStyle name="Comma 2 4 2 7 5 2" xfId="14207" xr:uid="{00000000-0005-0000-0000-00007C370000}"/>
    <cellStyle name="Comma 2 4 2 7 6" xfId="14208" xr:uid="{00000000-0005-0000-0000-00007D370000}"/>
    <cellStyle name="Comma 2 4 2 7 6 2" xfId="14209" xr:uid="{00000000-0005-0000-0000-00007E370000}"/>
    <cellStyle name="Comma 2 4 2 7 7" xfId="14210" xr:uid="{00000000-0005-0000-0000-00007F370000}"/>
    <cellStyle name="Comma 2 4 2 7 8" xfId="14211" xr:uid="{00000000-0005-0000-0000-000080370000}"/>
    <cellStyle name="Comma 2 4 2 7 9" xfId="14212" xr:uid="{00000000-0005-0000-0000-000081370000}"/>
    <cellStyle name="Comma 2 4 2 8" xfId="14213" xr:uid="{00000000-0005-0000-0000-000082370000}"/>
    <cellStyle name="Comma 2 4 2 8 10" xfId="14214" xr:uid="{00000000-0005-0000-0000-000083370000}"/>
    <cellStyle name="Comma 2 4 2 8 11" xfId="14215" xr:uid="{00000000-0005-0000-0000-000084370000}"/>
    <cellStyle name="Comma 2 4 2 8 12" xfId="14216" xr:uid="{00000000-0005-0000-0000-000085370000}"/>
    <cellStyle name="Comma 2 4 2 8 2" xfId="14217" xr:uid="{00000000-0005-0000-0000-000086370000}"/>
    <cellStyle name="Comma 2 4 2 8 2 2" xfId="14218" xr:uid="{00000000-0005-0000-0000-000087370000}"/>
    <cellStyle name="Comma 2 4 2 8 3" xfId="14219" xr:uid="{00000000-0005-0000-0000-000088370000}"/>
    <cellStyle name="Comma 2 4 2 8 3 2" xfId="14220" xr:uid="{00000000-0005-0000-0000-000089370000}"/>
    <cellStyle name="Comma 2 4 2 8 4" xfId="14221" xr:uid="{00000000-0005-0000-0000-00008A370000}"/>
    <cellStyle name="Comma 2 4 2 8 4 2" xfId="14222" xr:uid="{00000000-0005-0000-0000-00008B370000}"/>
    <cellStyle name="Comma 2 4 2 8 5" xfId="14223" xr:uid="{00000000-0005-0000-0000-00008C370000}"/>
    <cellStyle name="Comma 2 4 2 8 5 2" xfId="14224" xr:uid="{00000000-0005-0000-0000-00008D370000}"/>
    <cellStyle name="Comma 2 4 2 8 6" xfId="14225" xr:uid="{00000000-0005-0000-0000-00008E370000}"/>
    <cellStyle name="Comma 2 4 2 8 6 2" xfId="14226" xr:uid="{00000000-0005-0000-0000-00008F370000}"/>
    <cellStyle name="Comma 2 4 2 8 7" xfId="14227" xr:uid="{00000000-0005-0000-0000-000090370000}"/>
    <cellStyle name="Comma 2 4 2 8 8" xfId="14228" xr:uid="{00000000-0005-0000-0000-000091370000}"/>
    <cellStyle name="Comma 2 4 2 8 9" xfId="14229" xr:uid="{00000000-0005-0000-0000-000092370000}"/>
    <cellStyle name="Comma 2 4 2 9" xfId="14230" xr:uid="{00000000-0005-0000-0000-000093370000}"/>
    <cellStyle name="Comma 2 4 2 9 2" xfId="14231" xr:uid="{00000000-0005-0000-0000-000094370000}"/>
    <cellStyle name="Comma 2 4 2 9 2 2" xfId="14232" xr:uid="{00000000-0005-0000-0000-000095370000}"/>
    <cellStyle name="Comma 2 4 2 9 3" xfId="14233" xr:uid="{00000000-0005-0000-0000-000096370000}"/>
    <cellStyle name="Comma 2 4 2 9 4" xfId="14234" xr:uid="{00000000-0005-0000-0000-000097370000}"/>
    <cellStyle name="Comma 2 4 2 9 5" xfId="14235" xr:uid="{00000000-0005-0000-0000-000098370000}"/>
    <cellStyle name="Comma 2 4 2 9 6" xfId="14236" xr:uid="{00000000-0005-0000-0000-000099370000}"/>
    <cellStyle name="Comma 2 4 2 9 7" xfId="14237" xr:uid="{00000000-0005-0000-0000-00009A370000}"/>
    <cellStyle name="Comma 2 4 2 9 8" xfId="14238" xr:uid="{00000000-0005-0000-0000-00009B370000}"/>
    <cellStyle name="Comma 2 4 20" xfId="14239" xr:uid="{00000000-0005-0000-0000-00009C370000}"/>
    <cellStyle name="Comma 2 4 20 2" xfId="14240" xr:uid="{00000000-0005-0000-0000-00009D370000}"/>
    <cellStyle name="Comma 2 4 21" xfId="14241" xr:uid="{00000000-0005-0000-0000-00009E370000}"/>
    <cellStyle name="Comma 2 4 21 2" xfId="14242" xr:uid="{00000000-0005-0000-0000-00009F370000}"/>
    <cellStyle name="Comma 2 4 22" xfId="14243" xr:uid="{00000000-0005-0000-0000-0000A0370000}"/>
    <cellStyle name="Comma 2 4 22 2" xfId="14244" xr:uid="{00000000-0005-0000-0000-0000A1370000}"/>
    <cellStyle name="Comma 2 4 23" xfId="14245" xr:uid="{00000000-0005-0000-0000-0000A2370000}"/>
    <cellStyle name="Comma 2 4 23 2" xfId="14246" xr:uid="{00000000-0005-0000-0000-0000A3370000}"/>
    <cellStyle name="Comma 2 4 24" xfId="14247" xr:uid="{00000000-0005-0000-0000-0000A4370000}"/>
    <cellStyle name="Comma 2 4 24 2" xfId="14248" xr:uid="{00000000-0005-0000-0000-0000A5370000}"/>
    <cellStyle name="Comma 2 4 25" xfId="14249" xr:uid="{00000000-0005-0000-0000-0000A6370000}"/>
    <cellStyle name="Comma 2 4 25 2" xfId="14250" xr:uid="{00000000-0005-0000-0000-0000A7370000}"/>
    <cellStyle name="Comma 2 4 26" xfId="14251" xr:uid="{00000000-0005-0000-0000-0000A8370000}"/>
    <cellStyle name="Comma 2 4 26 2" xfId="14252" xr:uid="{00000000-0005-0000-0000-0000A9370000}"/>
    <cellStyle name="Comma 2 4 26 2 2" xfId="14253" xr:uid="{00000000-0005-0000-0000-0000AA370000}"/>
    <cellStyle name="Comma 2 4 26 2 2 2" xfId="14254" xr:uid="{00000000-0005-0000-0000-0000AB370000}"/>
    <cellStyle name="Comma 2 4 26 3" xfId="14255" xr:uid="{00000000-0005-0000-0000-0000AC370000}"/>
    <cellStyle name="Comma 2 4 26 4" xfId="14256" xr:uid="{00000000-0005-0000-0000-0000AD370000}"/>
    <cellStyle name="Comma 2 4 26 5" xfId="14257" xr:uid="{00000000-0005-0000-0000-0000AE370000}"/>
    <cellStyle name="Comma 2 4 26 6" xfId="14258" xr:uid="{00000000-0005-0000-0000-0000AF370000}"/>
    <cellStyle name="Comma 2 4 27" xfId="14259" xr:uid="{00000000-0005-0000-0000-0000B0370000}"/>
    <cellStyle name="Comma 2 4 27 2" xfId="14260" xr:uid="{00000000-0005-0000-0000-0000B1370000}"/>
    <cellStyle name="Comma 2 4 28" xfId="14261" xr:uid="{00000000-0005-0000-0000-0000B2370000}"/>
    <cellStyle name="Comma 2 4 28 2" xfId="14262" xr:uid="{00000000-0005-0000-0000-0000B3370000}"/>
    <cellStyle name="Comma 2 4 28 2 2" xfId="14263" xr:uid="{00000000-0005-0000-0000-0000B4370000}"/>
    <cellStyle name="Comma 2 4 29" xfId="14264" xr:uid="{00000000-0005-0000-0000-0000B5370000}"/>
    <cellStyle name="Comma 2 4 3" xfId="14265" xr:uid="{00000000-0005-0000-0000-0000B6370000}"/>
    <cellStyle name="Comma 2 4 3 2" xfId="14266" xr:uid="{00000000-0005-0000-0000-0000B7370000}"/>
    <cellStyle name="Comma 2 4 3 2 2" xfId="14267" xr:uid="{00000000-0005-0000-0000-0000B8370000}"/>
    <cellStyle name="Comma 2 4 3 2 3" xfId="14268" xr:uid="{00000000-0005-0000-0000-0000B9370000}"/>
    <cellStyle name="Comma 2 4 3 3" xfId="14269" xr:uid="{00000000-0005-0000-0000-0000BA370000}"/>
    <cellStyle name="Comma 2 4 30" xfId="14270" xr:uid="{00000000-0005-0000-0000-0000BB370000}"/>
    <cellStyle name="Comma 2 4 31" xfId="14271" xr:uid="{00000000-0005-0000-0000-0000BC370000}"/>
    <cellStyle name="Comma 2 4 32" xfId="14272" xr:uid="{00000000-0005-0000-0000-0000BD370000}"/>
    <cellStyle name="Comma 2 4 33" xfId="14273" xr:uid="{00000000-0005-0000-0000-0000BE370000}"/>
    <cellStyle name="Comma 2 4 34" xfId="14274" xr:uid="{00000000-0005-0000-0000-0000BF370000}"/>
    <cellStyle name="Comma 2 4 35" xfId="14275" xr:uid="{00000000-0005-0000-0000-0000C0370000}"/>
    <cellStyle name="Comma 2 4 4" xfId="14276" xr:uid="{00000000-0005-0000-0000-0000C1370000}"/>
    <cellStyle name="Comma 2 4 4 2" xfId="14277" xr:uid="{00000000-0005-0000-0000-0000C2370000}"/>
    <cellStyle name="Comma 2 4 4 2 2" xfId="14278" xr:uid="{00000000-0005-0000-0000-0000C3370000}"/>
    <cellStyle name="Comma 2 4 4 2 3" xfId="14279" xr:uid="{00000000-0005-0000-0000-0000C4370000}"/>
    <cellStyle name="Comma 2 4 4 3" xfId="14280" xr:uid="{00000000-0005-0000-0000-0000C5370000}"/>
    <cellStyle name="Comma 2 4 5" xfId="14281" xr:uid="{00000000-0005-0000-0000-0000C6370000}"/>
    <cellStyle name="Comma 2 4 5 2" xfId="14282" xr:uid="{00000000-0005-0000-0000-0000C7370000}"/>
    <cellStyle name="Comma 2 4 5 2 2" xfId="14283" xr:uid="{00000000-0005-0000-0000-0000C8370000}"/>
    <cellStyle name="Comma 2 4 5 2 3" xfId="14284" xr:uid="{00000000-0005-0000-0000-0000C9370000}"/>
    <cellStyle name="Comma 2 4 5 3" xfId="14285" xr:uid="{00000000-0005-0000-0000-0000CA370000}"/>
    <cellStyle name="Comma 2 4 6" xfId="14286" xr:uid="{00000000-0005-0000-0000-0000CB370000}"/>
    <cellStyle name="Comma 2 4 6 2" xfId="14287" xr:uid="{00000000-0005-0000-0000-0000CC370000}"/>
    <cellStyle name="Comma 2 4 6 2 2" xfId="14288" xr:uid="{00000000-0005-0000-0000-0000CD370000}"/>
    <cellStyle name="Comma 2 4 6 2 3" xfId="14289" xr:uid="{00000000-0005-0000-0000-0000CE370000}"/>
    <cellStyle name="Comma 2 4 6 3" xfId="14290" xr:uid="{00000000-0005-0000-0000-0000CF370000}"/>
    <cellStyle name="Comma 2 4 7" xfId="14291" xr:uid="{00000000-0005-0000-0000-0000D0370000}"/>
    <cellStyle name="Comma 2 4 7 2" xfId="14292" xr:uid="{00000000-0005-0000-0000-0000D1370000}"/>
    <cellStyle name="Comma 2 4 8" xfId="14293" xr:uid="{00000000-0005-0000-0000-0000D2370000}"/>
    <cellStyle name="Comma 2 4 8 2" xfId="14294" xr:uid="{00000000-0005-0000-0000-0000D3370000}"/>
    <cellStyle name="Comma 2 4 9" xfId="14295" xr:uid="{00000000-0005-0000-0000-0000D4370000}"/>
    <cellStyle name="Comma 2 4 9 2" xfId="14296" xr:uid="{00000000-0005-0000-0000-0000D5370000}"/>
    <cellStyle name="Comma 2 40" xfId="14297" xr:uid="{00000000-0005-0000-0000-0000D6370000}"/>
    <cellStyle name="Comma 2 40 2" xfId="14298" xr:uid="{00000000-0005-0000-0000-0000D7370000}"/>
    <cellStyle name="Comma 2 41" xfId="14299" xr:uid="{00000000-0005-0000-0000-0000D8370000}"/>
    <cellStyle name="Comma 2 42" xfId="14300" xr:uid="{00000000-0005-0000-0000-0000D9370000}"/>
    <cellStyle name="Comma 2 43" xfId="14301" xr:uid="{00000000-0005-0000-0000-0000DA370000}"/>
    <cellStyle name="Comma 2 44" xfId="14302" xr:uid="{00000000-0005-0000-0000-0000DB370000}"/>
    <cellStyle name="Comma 2 45" xfId="14303" xr:uid="{00000000-0005-0000-0000-0000DC370000}"/>
    <cellStyle name="Comma 2 46" xfId="14304" xr:uid="{00000000-0005-0000-0000-0000DD370000}"/>
    <cellStyle name="Comma 2 5" xfId="14305" xr:uid="{00000000-0005-0000-0000-0000DE370000}"/>
    <cellStyle name="Comma 2 5 2" xfId="14306" xr:uid="{00000000-0005-0000-0000-0000DF370000}"/>
    <cellStyle name="Comma 2 5 2 2" xfId="14307" xr:uid="{00000000-0005-0000-0000-0000E0370000}"/>
    <cellStyle name="Comma 2 5 2 3" xfId="14308" xr:uid="{00000000-0005-0000-0000-0000E1370000}"/>
    <cellStyle name="Comma 2 5 2 4" xfId="14309" xr:uid="{00000000-0005-0000-0000-0000E2370000}"/>
    <cellStyle name="Comma 2 5 3" xfId="14310" xr:uid="{00000000-0005-0000-0000-0000E3370000}"/>
    <cellStyle name="Comma 2 5 4" xfId="14311" xr:uid="{00000000-0005-0000-0000-0000E4370000}"/>
    <cellStyle name="Comma 2 5 5" xfId="14312" xr:uid="{00000000-0005-0000-0000-0000E5370000}"/>
    <cellStyle name="Comma 2 5 6" xfId="14313" xr:uid="{00000000-0005-0000-0000-0000E6370000}"/>
    <cellStyle name="Comma 2 6" xfId="14314" xr:uid="{00000000-0005-0000-0000-0000E7370000}"/>
    <cellStyle name="Comma 2 6 2" xfId="14315" xr:uid="{00000000-0005-0000-0000-0000E8370000}"/>
    <cellStyle name="Comma 2 6 2 2" xfId="14316" xr:uid="{00000000-0005-0000-0000-0000E9370000}"/>
    <cellStyle name="Comma 2 7" xfId="14317" xr:uid="{00000000-0005-0000-0000-0000EA370000}"/>
    <cellStyle name="Comma 2 7 2" xfId="14318" xr:uid="{00000000-0005-0000-0000-0000EB370000}"/>
    <cellStyle name="Comma 2 7 2 2" xfId="14319" xr:uid="{00000000-0005-0000-0000-0000EC370000}"/>
    <cellStyle name="Comma 2 8" xfId="14320" xr:uid="{00000000-0005-0000-0000-0000ED370000}"/>
    <cellStyle name="Comma 2 9" xfId="14321" xr:uid="{00000000-0005-0000-0000-0000EE370000}"/>
    <cellStyle name="Comma 2 9 2" xfId="14322" xr:uid="{00000000-0005-0000-0000-0000EF370000}"/>
    <cellStyle name="Comma 2 9 2 2" xfId="14323" xr:uid="{00000000-0005-0000-0000-0000F0370000}"/>
    <cellStyle name="Comma 2 9 2 3" xfId="14324" xr:uid="{00000000-0005-0000-0000-0000F1370000}"/>
    <cellStyle name="Comma 2 9 3" xfId="14325" xr:uid="{00000000-0005-0000-0000-0000F2370000}"/>
    <cellStyle name="Comma 2 9 4" xfId="14326" xr:uid="{00000000-0005-0000-0000-0000F3370000}"/>
    <cellStyle name="Comma 20" xfId="14327" xr:uid="{00000000-0005-0000-0000-0000F4370000}"/>
    <cellStyle name="Comma 21" xfId="14328" xr:uid="{00000000-0005-0000-0000-0000F5370000}"/>
    <cellStyle name="Comma 22" xfId="14329" xr:uid="{00000000-0005-0000-0000-0000F6370000}"/>
    <cellStyle name="Comma 23" xfId="14330" xr:uid="{00000000-0005-0000-0000-0000F7370000}"/>
    <cellStyle name="Comma 23 2" xfId="14331" xr:uid="{00000000-0005-0000-0000-0000F8370000}"/>
    <cellStyle name="Comma 23 2 2" xfId="14332" xr:uid="{00000000-0005-0000-0000-0000F9370000}"/>
    <cellStyle name="Comma 23 2 3" xfId="14333" xr:uid="{00000000-0005-0000-0000-0000FA370000}"/>
    <cellStyle name="Comma 24" xfId="16217" xr:uid="{00000000-0005-0000-0000-0000FB370000}"/>
    <cellStyle name="Comma 3" xfId="14334" xr:uid="{00000000-0005-0000-0000-0000FC370000}"/>
    <cellStyle name="Comma 3 10" xfId="14335" xr:uid="{00000000-0005-0000-0000-0000FD370000}"/>
    <cellStyle name="Comma 3 11" xfId="14336" xr:uid="{00000000-0005-0000-0000-0000FE370000}"/>
    <cellStyle name="Comma 3 11 2" xfId="14337" xr:uid="{00000000-0005-0000-0000-0000FF370000}"/>
    <cellStyle name="Comma 3 11 3" xfId="14338" xr:uid="{00000000-0005-0000-0000-000000380000}"/>
    <cellStyle name="Comma 3 12" xfId="14339" xr:uid="{00000000-0005-0000-0000-000001380000}"/>
    <cellStyle name="Comma 3 12 2" xfId="14340" xr:uid="{00000000-0005-0000-0000-000002380000}"/>
    <cellStyle name="Comma 3 13" xfId="14341" xr:uid="{00000000-0005-0000-0000-000003380000}"/>
    <cellStyle name="Comma 3 13 2" xfId="14342" xr:uid="{00000000-0005-0000-0000-000004380000}"/>
    <cellStyle name="Comma 3 14" xfId="14343" xr:uid="{00000000-0005-0000-0000-000005380000}"/>
    <cellStyle name="Comma 3 14 2" xfId="14344" xr:uid="{00000000-0005-0000-0000-000006380000}"/>
    <cellStyle name="Comma 3 15" xfId="14345" xr:uid="{00000000-0005-0000-0000-000007380000}"/>
    <cellStyle name="Comma 3 15 2" xfId="14346" xr:uid="{00000000-0005-0000-0000-000008380000}"/>
    <cellStyle name="Comma 3 16" xfId="14347" xr:uid="{00000000-0005-0000-0000-000009380000}"/>
    <cellStyle name="Comma 3 16 2" xfId="14348" xr:uid="{00000000-0005-0000-0000-00000A380000}"/>
    <cellStyle name="Comma 3 17" xfId="14349" xr:uid="{00000000-0005-0000-0000-00000B380000}"/>
    <cellStyle name="Comma 3 17 2" xfId="14350" xr:uid="{00000000-0005-0000-0000-00000C380000}"/>
    <cellStyle name="Comma 3 18" xfId="14351" xr:uid="{00000000-0005-0000-0000-00000D380000}"/>
    <cellStyle name="Comma 3 18 2" xfId="14352" xr:uid="{00000000-0005-0000-0000-00000E380000}"/>
    <cellStyle name="Comma 3 19" xfId="14353" xr:uid="{00000000-0005-0000-0000-00000F380000}"/>
    <cellStyle name="Comma 3 19 2" xfId="14354" xr:uid="{00000000-0005-0000-0000-000010380000}"/>
    <cellStyle name="Comma 3 2" xfId="14355" xr:uid="{00000000-0005-0000-0000-000011380000}"/>
    <cellStyle name="Comma 3 2 2" xfId="14356" xr:uid="{00000000-0005-0000-0000-000012380000}"/>
    <cellStyle name="Comma 3 2 2 2" xfId="14357" xr:uid="{00000000-0005-0000-0000-000013380000}"/>
    <cellStyle name="Comma 3 2 2 3" xfId="14358" xr:uid="{00000000-0005-0000-0000-000014380000}"/>
    <cellStyle name="Comma 3 2 3" xfId="14359" xr:uid="{00000000-0005-0000-0000-000015380000}"/>
    <cellStyle name="Comma 3 2 4" xfId="14360" xr:uid="{00000000-0005-0000-0000-000016380000}"/>
    <cellStyle name="Comma 3 2 5" xfId="14361" xr:uid="{00000000-0005-0000-0000-000017380000}"/>
    <cellStyle name="Comma 3 2 6" xfId="14362" xr:uid="{00000000-0005-0000-0000-000018380000}"/>
    <cellStyle name="Comma 3 20" xfId="14363" xr:uid="{00000000-0005-0000-0000-000019380000}"/>
    <cellStyle name="Comma 3 21" xfId="14364" xr:uid="{00000000-0005-0000-0000-00001A380000}"/>
    <cellStyle name="Comma 3 22" xfId="14365" xr:uid="{00000000-0005-0000-0000-00001B380000}"/>
    <cellStyle name="Comma 3 3" xfId="14366" xr:uid="{00000000-0005-0000-0000-00001C380000}"/>
    <cellStyle name="Comma 3 4" xfId="14367" xr:uid="{00000000-0005-0000-0000-00001D380000}"/>
    <cellStyle name="Comma 3 5" xfId="14368" xr:uid="{00000000-0005-0000-0000-00001E380000}"/>
    <cellStyle name="Comma 3 6" xfId="14369" xr:uid="{00000000-0005-0000-0000-00001F380000}"/>
    <cellStyle name="Comma 3 7" xfId="14370" xr:uid="{00000000-0005-0000-0000-000020380000}"/>
    <cellStyle name="Comma 3 8" xfId="14371" xr:uid="{00000000-0005-0000-0000-000021380000}"/>
    <cellStyle name="Comma 3 9" xfId="14372" xr:uid="{00000000-0005-0000-0000-000022380000}"/>
    <cellStyle name="Comma 4" xfId="14373" xr:uid="{00000000-0005-0000-0000-000023380000}"/>
    <cellStyle name="Comma 4 10" xfId="14374" xr:uid="{00000000-0005-0000-0000-000024380000}"/>
    <cellStyle name="Comma 4 10 2" xfId="14375" xr:uid="{00000000-0005-0000-0000-000025380000}"/>
    <cellStyle name="Comma 4 10 2 2" xfId="14376" xr:uid="{00000000-0005-0000-0000-000026380000}"/>
    <cellStyle name="Comma 4 10 3" xfId="14377" xr:uid="{00000000-0005-0000-0000-000027380000}"/>
    <cellStyle name="Comma 4 10 4" xfId="14378" xr:uid="{00000000-0005-0000-0000-000028380000}"/>
    <cellStyle name="Comma 4 10 5" xfId="14379" xr:uid="{00000000-0005-0000-0000-000029380000}"/>
    <cellStyle name="Comma 4 10 6" xfId="14380" xr:uid="{00000000-0005-0000-0000-00002A380000}"/>
    <cellStyle name="Comma 4 10 7" xfId="14381" xr:uid="{00000000-0005-0000-0000-00002B380000}"/>
    <cellStyle name="Comma 4 10 8" xfId="14382" xr:uid="{00000000-0005-0000-0000-00002C380000}"/>
    <cellStyle name="Comma 4 11" xfId="14383" xr:uid="{00000000-0005-0000-0000-00002D380000}"/>
    <cellStyle name="Comma 4 11 2" xfId="14384" xr:uid="{00000000-0005-0000-0000-00002E380000}"/>
    <cellStyle name="Comma 4 12" xfId="14385" xr:uid="{00000000-0005-0000-0000-00002F380000}"/>
    <cellStyle name="Comma 4 12 2" xfId="14386" xr:uid="{00000000-0005-0000-0000-000030380000}"/>
    <cellStyle name="Comma 4 12 2 2" xfId="14387" xr:uid="{00000000-0005-0000-0000-000031380000}"/>
    <cellStyle name="Comma 4 12 3" xfId="14388" xr:uid="{00000000-0005-0000-0000-000032380000}"/>
    <cellStyle name="Comma 4 12 4" xfId="14389" xr:uid="{00000000-0005-0000-0000-000033380000}"/>
    <cellStyle name="Comma 4 12 5" xfId="14390" xr:uid="{00000000-0005-0000-0000-000034380000}"/>
    <cellStyle name="Comma 4 12 6" xfId="14391" xr:uid="{00000000-0005-0000-0000-000035380000}"/>
    <cellStyle name="Comma 4 12 7" xfId="14392" xr:uid="{00000000-0005-0000-0000-000036380000}"/>
    <cellStyle name="Comma 4 12 8" xfId="14393" xr:uid="{00000000-0005-0000-0000-000037380000}"/>
    <cellStyle name="Comma 4 13" xfId="14394" xr:uid="{00000000-0005-0000-0000-000038380000}"/>
    <cellStyle name="Comma 4 13 2" xfId="14395" xr:uid="{00000000-0005-0000-0000-000039380000}"/>
    <cellStyle name="Comma 4 13 2 2" xfId="14396" xr:uid="{00000000-0005-0000-0000-00003A380000}"/>
    <cellStyle name="Comma 4 13 3" xfId="14397" xr:uid="{00000000-0005-0000-0000-00003B380000}"/>
    <cellStyle name="Comma 4 13 4" xfId="14398" xr:uid="{00000000-0005-0000-0000-00003C380000}"/>
    <cellStyle name="Comma 4 13 5" xfId="14399" xr:uid="{00000000-0005-0000-0000-00003D380000}"/>
    <cellStyle name="Comma 4 13 6" xfId="14400" xr:uid="{00000000-0005-0000-0000-00003E380000}"/>
    <cellStyle name="Comma 4 13 7" xfId="14401" xr:uid="{00000000-0005-0000-0000-00003F380000}"/>
    <cellStyle name="Comma 4 13 8" xfId="14402" xr:uid="{00000000-0005-0000-0000-000040380000}"/>
    <cellStyle name="Comma 4 14" xfId="14403" xr:uid="{00000000-0005-0000-0000-000041380000}"/>
    <cellStyle name="Comma 4 14 2" xfId="14404" xr:uid="{00000000-0005-0000-0000-000042380000}"/>
    <cellStyle name="Comma 4 14 2 2" xfId="14405" xr:uid="{00000000-0005-0000-0000-000043380000}"/>
    <cellStyle name="Comma 4 14 3" xfId="14406" xr:uid="{00000000-0005-0000-0000-000044380000}"/>
    <cellStyle name="Comma 4 14 4" xfId="14407" xr:uid="{00000000-0005-0000-0000-000045380000}"/>
    <cellStyle name="Comma 4 14 5" xfId="14408" xr:uid="{00000000-0005-0000-0000-000046380000}"/>
    <cellStyle name="Comma 4 14 6" xfId="14409" xr:uid="{00000000-0005-0000-0000-000047380000}"/>
    <cellStyle name="Comma 4 14 7" xfId="14410" xr:uid="{00000000-0005-0000-0000-000048380000}"/>
    <cellStyle name="Comma 4 14 8" xfId="14411" xr:uid="{00000000-0005-0000-0000-000049380000}"/>
    <cellStyle name="Comma 4 15" xfId="14412" xr:uid="{00000000-0005-0000-0000-00004A380000}"/>
    <cellStyle name="Comma 4 15 2" xfId="14413" xr:uid="{00000000-0005-0000-0000-00004B380000}"/>
    <cellStyle name="Comma 4 15 2 2" xfId="14414" xr:uid="{00000000-0005-0000-0000-00004C380000}"/>
    <cellStyle name="Comma 4 15 3" xfId="14415" xr:uid="{00000000-0005-0000-0000-00004D380000}"/>
    <cellStyle name="Comma 4 15 4" xfId="14416" xr:uid="{00000000-0005-0000-0000-00004E380000}"/>
    <cellStyle name="Comma 4 15 5" xfId="14417" xr:uid="{00000000-0005-0000-0000-00004F380000}"/>
    <cellStyle name="Comma 4 15 6" xfId="14418" xr:uid="{00000000-0005-0000-0000-000050380000}"/>
    <cellStyle name="Comma 4 15 7" xfId="14419" xr:uid="{00000000-0005-0000-0000-000051380000}"/>
    <cellStyle name="Comma 4 15 8" xfId="14420" xr:uid="{00000000-0005-0000-0000-000052380000}"/>
    <cellStyle name="Comma 4 16" xfId="14421" xr:uid="{00000000-0005-0000-0000-000053380000}"/>
    <cellStyle name="Comma 4 16 2" xfId="14422" xr:uid="{00000000-0005-0000-0000-000054380000}"/>
    <cellStyle name="Comma 4 16 2 2" xfId="14423" xr:uid="{00000000-0005-0000-0000-000055380000}"/>
    <cellStyle name="Comma 4 16 3" xfId="14424" xr:uid="{00000000-0005-0000-0000-000056380000}"/>
    <cellStyle name="Comma 4 16 4" xfId="14425" xr:uid="{00000000-0005-0000-0000-000057380000}"/>
    <cellStyle name="Comma 4 16 5" xfId="14426" xr:uid="{00000000-0005-0000-0000-000058380000}"/>
    <cellStyle name="Comma 4 16 6" xfId="14427" xr:uid="{00000000-0005-0000-0000-000059380000}"/>
    <cellStyle name="Comma 4 16 7" xfId="14428" xr:uid="{00000000-0005-0000-0000-00005A380000}"/>
    <cellStyle name="Comma 4 16 8" xfId="14429" xr:uid="{00000000-0005-0000-0000-00005B380000}"/>
    <cellStyle name="Comma 4 17" xfId="14430" xr:uid="{00000000-0005-0000-0000-00005C380000}"/>
    <cellStyle name="Comma 4 17 2" xfId="14431" xr:uid="{00000000-0005-0000-0000-00005D380000}"/>
    <cellStyle name="Comma 4 17 2 2" xfId="14432" xr:uid="{00000000-0005-0000-0000-00005E380000}"/>
    <cellStyle name="Comma 4 17 3" xfId="14433" xr:uid="{00000000-0005-0000-0000-00005F380000}"/>
    <cellStyle name="Comma 4 17 4" xfId="14434" xr:uid="{00000000-0005-0000-0000-000060380000}"/>
    <cellStyle name="Comma 4 17 5" xfId="14435" xr:uid="{00000000-0005-0000-0000-000061380000}"/>
    <cellStyle name="Comma 4 17 6" xfId="14436" xr:uid="{00000000-0005-0000-0000-000062380000}"/>
    <cellStyle name="Comma 4 17 7" xfId="14437" xr:uid="{00000000-0005-0000-0000-000063380000}"/>
    <cellStyle name="Comma 4 17 8" xfId="14438" xr:uid="{00000000-0005-0000-0000-000064380000}"/>
    <cellStyle name="Comma 4 18" xfId="14439" xr:uid="{00000000-0005-0000-0000-000065380000}"/>
    <cellStyle name="Comma 4 18 2" xfId="14440" xr:uid="{00000000-0005-0000-0000-000066380000}"/>
    <cellStyle name="Comma 4 18 2 2" xfId="14441" xr:uid="{00000000-0005-0000-0000-000067380000}"/>
    <cellStyle name="Comma 4 18 3" xfId="14442" xr:uid="{00000000-0005-0000-0000-000068380000}"/>
    <cellStyle name="Comma 4 18 4" xfId="14443" xr:uid="{00000000-0005-0000-0000-000069380000}"/>
    <cellStyle name="Comma 4 18 5" xfId="14444" xr:uid="{00000000-0005-0000-0000-00006A380000}"/>
    <cellStyle name="Comma 4 18 6" xfId="14445" xr:uid="{00000000-0005-0000-0000-00006B380000}"/>
    <cellStyle name="Comma 4 18 7" xfId="14446" xr:uid="{00000000-0005-0000-0000-00006C380000}"/>
    <cellStyle name="Comma 4 18 8" xfId="14447" xr:uid="{00000000-0005-0000-0000-00006D380000}"/>
    <cellStyle name="Comma 4 19" xfId="14448" xr:uid="{00000000-0005-0000-0000-00006E380000}"/>
    <cellStyle name="Comma 4 19 2" xfId="14449" xr:uid="{00000000-0005-0000-0000-00006F380000}"/>
    <cellStyle name="Comma 4 2" xfId="14450" xr:uid="{00000000-0005-0000-0000-000070380000}"/>
    <cellStyle name="Comma 4 2 2" xfId="14451" xr:uid="{00000000-0005-0000-0000-000071380000}"/>
    <cellStyle name="Comma 4 2 2 2" xfId="14452" xr:uid="{00000000-0005-0000-0000-000072380000}"/>
    <cellStyle name="Comma 4 2 2 3" xfId="14453" xr:uid="{00000000-0005-0000-0000-000073380000}"/>
    <cellStyle name="Comma 4 2 3" xfId="14454" xr:uid="{00000000-0005-0000-0000-000074380000}"/>
    <cellStyle name="Comma 4 2 4" xfId="14455" xr:uid="{00000000-0005-0000-0000-000075380000}"/>
    <cellStyle name="Comma 4 20" xfId="14456" xr:uid="{00000000-0005-0000-0000-000076380000}"/>
    <cellStyle name="Comma 4 20 2" xfId="14457" xr:uid="{00000000-0005-0000-0000-000077380000}"/>
    <cellStyle name="Comma 4 21" xfId="14458" xr:uid="{00000000-0005-0000-0000-000078380000}"/>
    <cellStyle name="Comma 4 22" xfId="14459" xr:uid="{00000000-0005-0000-0000-000079380000}"/>
    <cellStyle name="Comma 4 23" xfId="14460" xr:uid="{00000000-0005-0000-0000-00007A380000}"/>
    <cellStyle name="Comma 4 24" xfId="14461" xr:uid="{00000000-0005-0000-0000-00007B380000}"/>
    <cellStyle name="Comma 4 25" xfId="14462" xr:uid="{00000000-0005-0000-0000-00007C380000}"/>
    <cellStyle name="Comma 4 26" xfId="14463" xr:uid="{00000000-0005-0000-0000-00007D380000}"/>
    <cellStyle name="Comma 4 27" xfId="14464" xr:uid="{00000000-0005-0000-0000-00007E380000}"/>
    <cellStyle name="Comma 4 28" xfId="14465" xr:uid="{00000000-0005-0000-0000-00007F380000}"/>
    <cellStyle name="Comma 4 29" xfId="16219" xr:uid="{00000000-0005-0000-0000-000080380000}"/>
    <cellStyle name="Comma 4 3" xfId="14466" xr:uid="{00000000-0005-0000-0000-000081380000}"/>
    <cellStyle name="Comma 4 3 2" xfId="14467" xr:uid="{00000000-0005-0000-0000-000082380000}"/>
    <cellStyle name="Comma 4 3 2 2" xfId="14468" xr:uid="{00000000-0005-0000-0000-000083380000}"/>
    <cellStyle name="Comma 4 3 2 3" xfId="14469" xr:uid="{00000000-0005-0000-0000-000084380000}"/>
    <cellStyle name="Comma 4 3 3" xfId="14470" xr:uid="{00000000-0005-0000-0000-000085380000}"/>
    <cellStyle name="Comma 4 3 3 2" xfId="14471" xr:uid="{00000000-0005-0000-0000-000086380000}"/>
    <cellStyle name="Comma 4 3 4" xfId="14472" xr:uid="{00000000-0005-0000-0000-000087380000}"/>
    <cellStyle name="Comma 4 3 5" xfId="14473" xr:uid="{00000000-0005-0000-0000-000088380000}"/>
    <cellStyle name="Comma 4 3 6" xfId="14474" xr:uid="{00000000-0005-0000-0000-000089380000}"/>
    <cellStyle name="Comma 4 4" xfId="14475" xr:uid="{00000000-0005-0000-0000-00008A380000}"/>
    <cellStyle name="Comma 4 4 2" xfId="14476" xr:uid="{00000000-0005-0000-0000-00008B380000}"/>
    <cellStyle name="Comma 4 4 3" xfId="14477" xr:uid="{00000000-0005-0000-0000-00008C380000}"/>
    <cellStyle name="Comma 4 4 4" xfId="14478" xr:uid="{00000000-0005-0000-0000-00008D380000}"/>
    <cellStyle name="Comma 4 4 5" xfId="14479" xr:uid="{00000000-0005-0000-0000-00008E380000}"/>
    <cellStyle name="Comma 4 5" xfId="14480" xr:uid="{00000000-0005-0000-0000-00008F380000}"/>
    <cellStyle name="Comma 4 5 2" xfId="14481" xr:uid="{00000000-0005-0000-0000-000090380000}"/>
    <cellStyle name="Comma 4 5 3" xfId="14482" xr:uid="{00000000-0005-0000-0000-000091380000}"/>
    <cellStyle name="Comma 4 5 4" xfId="14483" xr:uid="{00000000-0005-0000-0000-000092380000}"/>
    <cellStyle name="Comma 4 5 5" xfId="14484" xr:uid="{00000000-0005-0000-0000-000093380000}"/>
    <cellStyle name="Comma 4 6" xfId="14485" xr:uid="{00000000-0005-0000-0000-000094380000}"/>
    <cellStyle name="Comma 4 6 2" xfId="14486" xr:uid="{00000000-0005-0000-0000-000095380000}"/>
    <cellStyle name="Comma 4 6 2 2" xfId="14487" xr:uid="{00000000-0005-0000-0000-000096380000}"/>
    <cellStyle name="Comma 4 6 2 2 2" xfId="14488" xr:uid="{00000000-0005-0000-0000-000097380000}"/>
    <cellStyle name="Comma 4 6 3" xfId="14489" xr:uid="{00000000-0005-0000-0000-000098380000}"/>
    <cellStyle name="Comma 4 6 4" xfId="14490" xr:uid="{00000000-0005-0000-0000-000099380000}"/>
    <cellStyle name="Comma 4 6 5" xfId="14491" xr:uid="{00000000-0005-0000-0000-00009A380000}"/>
    <cellStyle name="Comma 4 6 6" xfId="14492" xr:uid="{00000000-0005-0000-0000-00009B380000}"/>
    <cellStyle name="Comma 4 6 7" xfId="14493" xr:uid="{00000000-0005-0000-0000-00009C380000}"/>
    <cellStyle name="Comma 4 7" xfId="14494" xr:uid="{00000000-0005-0000-0000-00009D380000}"/>
    <cellStyle name="Comma 4 7 2" xfId="14495" xr:uid="{00000000-0005-0000-0000-00009E380000}"/>
    <cellStyle name="Comma 4 7 3" xfId="14496" xr:uid="{00000000-0005-0000-0000-00009F380000}"/>
    <cellStyle name="Comma 4 7 4" xfId="14497" xr:uid="{00000000-0005-0000-0000-0000A0380000}"/>
    <cellStyle name="Comma 4 8" xfId="14498" xr:uid="{00000000-0005-0000-0000-0000A1380000}"/>
    <cellStyle name="Comma 4 8 2" xfId="14499" xr:uid="{00000000-0005-0000-0000-0000A2380000}"/>
    <cellStyle name="Comma 4 9" xfId="14500" xr:uid="{00000000-0005-0000-0000-0000A3380000}"/>
    <cellStyle name="Comma 4 9 2" xfId="14501" xr:uid="{00000000-0005-0000-0000-0000A4380000}"/>
    <cellStyle name="Comma 5" xfId="14502" xr:uid="{00000000-0005-0000-0000-0000A5380000}"/>
    <cellStyle name="Comma 5 2" xfId="14503" xr:uid="{00000000-0005-0000-0000-0000A6380000}"/>
    <cellStyle name="Comma 5 2 2" xfId="14504" xr:uid="{00000000-0005-0000-0000-0000A7380000}"/>
    <cellStyle name="Comma 5 2 2 2" xfId="14505" xr:uid="{00000000-0005-0000-0000-0000A8380000}"/>
    <cellStyle name="Comma 5 2 2 3" xfId="14506" xr:uid="{00000000-0005-0000-0000-0000A9380000}"/>
    <cellStyle name="Comma 5 2 3" xfId="14507" xr:uid="{00000000-0005-0000-0000-0000AA380000}"/>
    <cellStyle name="Comma 5 2 4" xfId="14508" xr:uid="{00000000-0005-0000-0000-0000AB380000}"/>
    <cellStyle name="Comma 5 3" xfId="14509" xr:uid="{00000000-0005-0000-0000-0000AC380000}"/>
    <cellStyle name="Comma 5 3 2" xfId="14510" xr:uid="{00000000-0005-0000-0000-0000AD380000}"/>
    <cellStyle name="Comma 5 3 2 2" xfId="14511" xr:uid="{00000000-0005-0000-0000-0000AE380000}"/>
    <cellStyle name="Comma 5 3 2 3" xfId="14512" xr:uid="{00000000-0005-0000-0000-0000AF380000}"/>
    <cellStyle name="Comma 5 3 3" xfId="14513" xr:uid="{00000000-0005-0000-0000-0000B0380000}"/>
    <cellStyle name="Comma 5 3 4" xfId="14514" xr:uid="{00000000-0005-0000-0000-0000B1380000}"/>
    <cellStyle name="Comma 5 4" xfId="14515" xr:uid="{00000000-0005-0000-0000-0000B2380000}"/>
    <cellStyle name="Comma 5 4 2" xfId="14516" xr:uid="{00000000-0005-0000-0000-0000B3380000}"/>
    <cellStyle name="Comma 5 5" xfId="14517" xr:uid="{00000000-0005-0000-0000-0000B4380000}"/>
    <cellStyle name="Comma 5 5 2" xfId="14518" xr:uid="{00000000-0005-0000-0000-0000B5380000}"/>
    <cellStyle name="Comma 5 6" xfId="14519" xr:uid="{00000000-0005-0000-0000-0000B6380000}"/>
    <cellStyle name="Comma 5 6 2" xfId="14520" xr:uid="{00000000-0005-0000-0000-0000B7380000}"/>
    <cellStyle name="Comma 6" xfId="14521" xr:uid="{00000000-0005-0000-0000-0000B8380000}"/>
    <cellStyle name="Comma 6 10" xfId="14522" xr:uid="{00000000-0005-0000-0000-0000B9380000}"/>
    <cellStyle name="Comma 6 11" xfId="14523" xr:uid="{00000000-0005-0000-0000-0000BA380000}"/>
    <cellStyle name="Comma 6 11 2" xfId="14524" xr:uid="{00000000-0005-0000-0000-0000BB380000}"/>
    <cellStyle name="Comma 6 11 3" xfId="14525" xr:uid="{00000000-0005-0000-0000-0000BC380000}"/>
    <cellStyle name="Comma 6 12" xfId="14526" xr:uid="{00000000-0005-0000-0000-0000BD380000}"/>
    <cellStyle name="Comma 6 13" xfId="14527" xr:uid="{00000000-0005-0000-0000-0000BE380000}"/>
    <cellStyle name="Comma 6 14" xfId="14528" xr:uid="{00000000-0005-0000-0000-0000BF380000}"/>
    <cellStyle name="Comma 6 2" xfId="14529" xr:uid="{00000000-0005-0000-0000-0000C0380000}"/>
    <cellStyle name="Comma 6 3" xfId="14530" xr:uid="{00000000-0005-0000-0000-0000C1380000}"/>
    <cellStyle name="Comma 6 4" xfId="14531" xr:uid="{00000000-0005-0000-0000-0000C2380000}"/>
    <cellStyle name="Comma 6 5" xfId="14532" xr:uid="{00000000-0005-0000-0000-0000C3380000}"/>
    <cellStyle name="Comma 6 6" xfId="14533" xr:uid="{00000000-0005-0000-0000-0000C4380000}"/>
    <cellStyle name="Comma 6 7" xfId="14534" xr:uid="{00000000-0005-0000-0000-0000C5380000}"/>
    <cellStyle name="Comma 6 8" xfId="14535" xr:uid="{00000000-0005-0000-0000-0000C6380000}"/>
    <cellStyle name="Comma 6 9" xfId="14536" xr:uid="{00000000-0005-0000-0000-0000C7380000}"/>
    <cellStyle name="Comma 7" xfId="14537" xr:uid="{00000000-0005-0000-0000-0000C8380000}"/>
    <cellStyle name="Comma 7 2" xfId="14538" xr:uid="{00000000-0005-0000-0000-0000C9380000}"/>
    <cellStyle name="Comma 7 2 2" xfId="14539" xr:uid="{00000000-0005-0000-0000-0000CA380000}"/>
    <cellStyle name="Comma 7 3" xfId="14540" xr:uid="{00000000-0005-0000-0000-0000CB380000}"/>
    <cellStyle name="Comma 7 3 2" xfId="14541" xr:uid="{00000000-0005-0000-0000-0000CC380000}"/>
    <cellStyle name="Comma 7 4" xfId="14542" xr:uid="{00000000-0005-0000-0000-0000CD380000}"/>
    <cellStyle name="Comma 7 4 2" xfId="14543" xr:uid="{00000000-0005-0000-0000-0000CE380000}"/>
    <cellStyle name="Comma 8" xfId="14544" xr:uid="{00000000-0005-0000-0000-0000CF380000}"/>
    <cellStyle name="Comma 8 2" xfId="14545" xr:uid="{00000000-0005-0000-0000-0000D0380000}"/>
    <cellStyle name="Comma 8 2 2" xfId="14546" xr:uid="{00000000-0005-0000-0000-0000D1380000}"/>
    <cellStyle name="Comma 8 2 2 2" xfId="14547" xr:uid="{00000000-0005-0000-0000-0000D2380000}"/>
    <cellStyle name="Comma 8 2 3" xfId="14548" xr:uid="{00000000-0005-0000-0000-0000D3380000}"/>
    <cellStyle name="Comma 8 2 4" xfId="14549" xr:uid="{00000000-0005-0000-0000-0000D4380000}"/>
    <cellStyle name="Comma 8 2 5" xfId="14550" xr:uid="{00000000-0005-0000-0000-0000D5380000}"/>
    <cellStyle name="Comma 8 2 6" xfId="14551" xr:uid="{00000000-0005-0000-0000-0000D6380000}"/>
    <cellStyle name="Comma 8 2 7" xfId="14552" xr:uid="{00000000-0005-0000-0000-0000D7380000}"/>
    <cellStyle name="Comma 8 2 8" xfId="14553" xr:uid="{00000000-0005-0000-0000-0000D8380000}"/>
    <cellStyle name="Comma 8 3" xfId="14554" xr:uid="{00000000-0005-0000-0000-0000D9380000}"/>
    <cellStyle name="Comma 8 3 2" xfId="14555" xr:uid="{00000000-0005-0000-0000-0000DA380000}"/>
    <cellStyle name="Comma 8 3 3" xfId="14556" xr:uid="{00000000-0005-0000-0000-0000DB380000}"/>
    <cellStyle name="Comma 8 4" xfId="14557" xr:uid="{00000000-0005-0000-0000-0000DC380000}"/>
    <cellStyle name="Comma 9" xfId="14558" xr:uid="{00000000-0005-0000-0000-0000DD380000}"/>
    <cellStyle name="Comma 9 2" xfId="14559" xr:uid="{00000000-0005-0000-0000-0000DE380000}"/>
    <cellStyle name="Comma 9 2 2" xfId="14560" xr:uid="{00000000-0005-0000-0000-0000DF380000}"/>
    <cellStyle name="Comma 9 2 2 2" xfId="14561" xr:uid="{00000000-0005-0000-0000-0000E0380000}"/>
    <cellStyle name="Comma 9 2 2 3" xfId="14562" xr:uid="{00000000-0005-0000-0000-0000E1380000}"/>
    <cellStyle name="Comma 9 2 3" xfId="14563" xr:uid="{00000000-0005-0000-0000-0000E2380000}"/>
    <cellStyle name="Comma 9 3" xfId="14564" xr:uid="{00000000-0005-0000-0000-0000E3380000}"/>
    <cellStyle name="Comma 9 3 2" xfId="14565" xr:uid="{00000000-0005-0000-0000-0000E4380000}"/>
    <cellStyle name="Comma 9 3 2 2" xfId="14566" xr:uid="{00000000-0005-0000-0000-0000E5380000}"/>
    <cellStyle name="Comma 9 3 2 3" xfId="14567" xr:uid="{00000000-0005-0000-0000-0000E6380000}"/>
    <cellStyle name="Comma 9 3 3" xfId="14568" xr:uid="{00000000-0005-0000-0000-0000E7380000}"/>
    <cellStyle name="Comma 9 4" xfId="14569" xr:uid="{00000000-0005-0000-0000-0000E8380000}"/>
    <cellStyle name="Comma 9 4 2" xfId="14570" xr:uid="{00000000-0005-0000-0000-0000E9380000}"/>
    <cellStyle name="Comma 9 5" xfId="14571" xr:uid="{00000000-0005-0000-0000-0000EA380000}"/>
    <cellStyle name="Comma 9 5 2" xfId="14572" xr:uid="{00000000-0005-0000-0000-0000EB380000}"/>
    <cellStyle name="Currency 2" xfId="14573" xr:uid="{00000000-0005-0000-0000-0000EC380000}"/>
    <cellStyle name="Currency 2 10" xfId="14574" xr:uid="{00000000-0005-0000-0000-0000ED380000}"/>
    <cellStyle name="Currency 2 11" xfId="14575" xr:uid="{00000000-0005-0000-0000-0000EE380000}"/>
    <cellStyle name="Currency 2 12" xfId="14576" xr:uid="{00000000-0005-0000-0000-0000EF380000}"/>
    <cellStyle name="Currency 2 12 2" xfId="14577" xr:uid="{00000000-0005-0000-0000-0000F0380000}"/>
    <cellStyle name="Currency 2 12 2 2" xfId="14578" xr:uid="{00000000-0005-0000-0000-0000F1380000}"/>
    <cellStyle name="Currency 2 12 2 2 2" xfId="14579" xr:uid="{00000000-0005-0000-0000-0000F2380000}"/>
    <cellStyle name="Currency 2 12 3" xfId="14580" xr:uid="{00000000-0005-0000-0000-0000F3380000}"/>
    <cellStyle name="Currency 2 12 4" xfId="14581" xr:uid="{00000000-0005-0000-0000-0000F4380000}"/>
    <cellStyle name="Currency 2 12 5" xfId="14582" xr:uid="{00000000-0005-0000-0000-0000F5380000}"/>
    <cellStyle name="Currency 2 12 6" xfId="14583" xr:uid="{00000000-0005-0000-0000-0000F6380000}"/>
    <cellStyle name="Currency 2 12 7" xfId="14584" xr:uid="{00000000-0005-0000-0000-0000F7380000}"/>
    <cellStyle name="Currency 2 13" xfId="14585" xr:uid="{00000000-0005-0000-0000-0000F8380000}"/>
    <cellStyle name="Currency 2 14" xfId="14586" xr:uid="{00000000-0005-0000-0000-0000F9380000}"/>
    <cellStyle name="Currency 2 15" xfId="14587" xr:uid="{00000000-0005-0000-0000-0000FA380000}"/>
    <cellStyle name="Currency 2 16" xfId="14588" xr:uid="{00000000-0005-0000-0000-0000FB380000}"/>
    <cellStyle name="Currency 2 2" xfId="14589" xr:uid="{00000000-0005-0000-0000-0000FC380000}"/>
    <cellStyle name="Currency 2 2 10" xfId="14590" xr:uid="{00000000-0005-0000-0000-0000FD380000}"/>
    <cellStyle name="Currency 2 2 10 2" xfId="14591" xr:uid="{00000000-0005-0000-0000-0000FE380000}"/>
    <cellStyle name="Currency 2 2 10 3" xfId="14592" xr:uid="{00000000-0005-0000-0000-0000FF380000}"/>
    <cellStyle name="Currency 2 2 11" xfId="14593" xr:uid="{00000000-0005-0000-0000-000000390000}"/>
    <cellStyle name="Currency 2 2 11 2" xfId="14594" xr:uid="{00000000-0005-0000-0000-000001390000}"/>
    <cellStyle name="Currency 2 2 11 3" xfId="14595" xr:uid="{00000000-0005-0000-0000-000002390000}"/>
    <cellStyle name="Currency 2 2 12" xfId="14596" xr:uid="{00000000-0005-0000-0000-000003390000}"/>
    <cellStyle name="Currency 2 2 12 2" xfId="14597" xr:uid="{00000000-0005-0000-0000-000004390000}"/>
    <cellStyle name="Currency 2 2 12 2 2" xfId="14598" xr:uid="{00000000-0005-0000-0000-000005390000}"/>
    <cellStyle name="Currency 2 2 12 2 2 2" xfId="14599" xr:uid="{00000000-0005-0000-0000-000006390000}"/>
    <cellStyle name="Currency 2 2 12 3" xfId="14600" xr:uid="{00000000-0005-0000-0000-000007390000}"/>
    <cellStyle name="Currency 2 2 12 4" xfId="14601" xr:uid="{00000000-0005-0000-0000-000008390000}"/>
    <cellStyle name="Currency 2 2 12 5" xfId="14602" xr:uid="{00000000-0005-0000-0000-000009390000}"/>
    <cellStyle name="Currency 2 2 12 6" xfId="14603" xr:uid="{00000000-0005-0000-0000-00000A390000}"/>
    <cellStyle name="Currency 2 2 12 7" xfId="14604" xr:uid="{00000000-0005-0000-0000-00000B390000}"/>
    <cellStyle name="Currency 2 2 13" xfId="14605" xr:uid="{00000000-0005-0000-0000-00000C390000}"/>
    <cellStyle name="Currency 2 2 13 2" xfId="14606" xr:uid="{00000000-0005-0000-0000-00000D390000}"/>
    <cellStyle name="Currency 2 2 13 2 2" xfId="14607" xr:uid="{00000000-0005-0000-0000-00000E390000}"/>
    <cellStyle name="Currency 2 2 14" xfId="14608" xr:uid="{00000000-0005-0000-0000-00000F390000}"/>
    <cellStyle name="Currency 2 2 15" xfId="14609" xr:uid="{00000000-0005-0000-0000-000010390000}"/>
    <cellStyle name="Currency 2 2 16" xfId="14610" xr:uid="{00000000-0005-0000-0000-000011390000}"/>
    <cellStyle name="Currency 2 2 17" xfId="14611" xr:uid="{00000000-0005-0000-0000-000012390000}"/>
    <cellStyle name="Currency 2 2 18" xfId="14612" xr:uid="{00000000-0005-0000-0000-000013390000}"/>
    <cellStyle name="Currency 2 2 19" xfId="14613" xr:uid="{00000000-0005-0000-0000-000014390000}"/>
    <cellStyle name="Currency 2 2 2" xfId="14614" xr:uid="{00000000-0005-0000-0000-000015390000}"/>
    <cellStyle name="Currency 2 2 2 10" xfId="14615" xr:uid="{00000000-0005-0000-0000-000016390000}"/>
    <cellStyle name="Currency 2 2 2 11" xfId="14616" xr:uid="{00000000-0005-0000-0000-000017390000}"/>
    <cellStyle name="Currency 2 2 2 11 2" xfId="14617" xr:uid="{00000000-0005-0000-0000-000018390000}"/>
    <cellStyle name="Currency 2 2 2 12" xfId="14618" xr:uid="{00000000-0005-0000-0000-000019390000}"/>
    <cellStyle name="Currency 2 2 2 12 2" xfId="14619" xr:uid="{00000000-0005-0000-0000-00001A390000}"/>
    <cellStyle name="Currency 2 2 2 13" xfId="14620" xr:uid="{00000000-0005-0000-0000-00001B390000}"/>
    <cellStyle name="Currency 2 2 2 13 2" xfId="14621" xr:uid="{00000000-0005-0000-0000-00001C390000}"/>
    <cellStyle name="Currency 2 2 2 13 2 2" xfId="14622" xr:uid="{00000000-0005-0000-0000-00001D390000}"/>
    <cellStyle name="Currency 2 2 2 14" xfId="14623" xr:uid="{00000000-0005-0000-0000-00001E390000}"/>
    <cellStyle name="Currency 2 2 2 15" xfId="14624" xr:uid="{00000000-0005-0000-0000-00001F390000}"/>
    <cellStyle name="Currency 2 2 2 16" xfId="14625" xr:uid="{00000000-0005-0000-0000-000020390000}"/>
    <cellStyle name="Currency 2 2 2 2" xfId="14626" xr:uid="{00000000-0005-0000-0000-000021390000}"/>
    <cellStyle name="Currency 2 2 2 2 10" xfId="14627" xr:uid="{00000000-0005-0000-0000-000022390000}"/>
    <cellStyle name="Currency 2 2 2 2 11" xfId="14628" xr:uid="{00000000-0005-0000-0000-000023390000}"/>
    <cellStyle name="Currency 2 2 2 2 11 2" xfId="14629" xr:uid="{00000000-0005-0000-0000-000024390000}"/>
    <cellStyle name="Currency 2 2 2 2 12" xfId="14630" xr:uid="{00000000-0005-0000-0000-000025390000}"/>
    <cellStyle name="Currency 2 2 2 2 12 2" xfId="14631" xr:uid="{00000000-0005-0000-0000-000026390000}"/>
    <cellStyle name="Currency 2 2 2 2 12 2 2" xfId="14632" xr:uid="{00000000-0005-0000-0000-000027390000}"/>
    <cellStyle name="Currency 2 2 2 2 13" xfId="14633" xr:uid="{00000000-0005-0000-0000-000028390000}"/>
    <cellStyle name="Currency 2 2 2 2 14" xfId="14634" xr:uid="{00000000-0005-0000-0000-000029390000}"/>
    <cellStyle name="Currency 2 2 2 2 15" xfId="14635" xr:uid="{00000000-0005-0000-0000-00002A390000}"/>
    <cellStyle name="Currency 2 2 2 2 2" xfId="14636" xr:uid="{00000000-0005-0000-0000-00002B390000}"/>
    <cellStyle name="Currency 2 2 2 2 2 10" xfId="14637" xr:uid="{00000000-0005-0000-0000-00002C390000}"/>
    <cellStyle name="Currency 2 2 2 2 2 10 2" xfId="14638" xr:uid="{00000000-0005-0000-0000-00002D390000}"/>
    <cellStyle name="Currency 2 2 2 2 2 11" xfId="14639" xr:uid="{00000000-0005-0000-0000-00002E390000}"/>
    <cellStyle name="Currency 2 2 2 2 2 11 2" xfId="14640" xr:uid="{00000000-0005-0000-0000-00002F390000}"/>
    <cellStyle name="Currency 2 2 2 2 2 12" xfId="14641" xr:uid="{00000000-0005-0000-0000-000030390000}"/>
    <cellStyle name="Currency 2 2 2 2 2 12 2" xfId="14642" xr:uid="{00000000-0005-0000-0000-000031390000}"/>
    <cellStyle name="Currency 2 2 2 2 2 12 2 2" xfId="14643" xr:uid="{00000000-0005-0000-0000-000032390000}"/>
    <cellStyle name="Currency 2 2 2 2 2 13" xfId="14644" xr:uid="{00000000-0005-0000-0000-000033390000}"/>
    <cellStyle name="Currency 2 2 2 2 2 14" xfId="14645" xr:uid="{00000000-0005-0000-0000-000034390000}"/>
    <cellStyle name="Currency 2 2 2 2 2 15" xfId="14646" xr:uid="{00000000-0005-0000-0000-000035390000}"/>
    <cellStyle name="Currency 2 2 2 2 2 2" xfId="14647" xr:uid="{00000000-0005-0000-0000-000036390000}"/>
    <cellStyle name="Currency 2 2 2 2 2 2 10" xfId="14648" xr:uid="{00000000-0005-0000-0000-000037390000}"/>
    <cellStyle name="Currency 2 2 2 2 2 2 10 2" xfId="14649" xr:uid="{00000000-0005-0000-0000-000038390000}"/>
    <cellStyle name="Currency 2 2 2 2 2 2 11" xfId="14650" xr:uid="{00000000-0005-0000-0000-000039390000}"/>
    <cellStyle name="Currency 2 2 2 2 2 2 11 2" xfId="14651" xr:uid="{00000000-0005-0000-0000-00003A390000}"/>
    <cellStyle name="Currency 2 2 2 2 2 2 12" xfId="14652" xr:uid="{00000000-0005-0000-0000-00003B390000}"/>
    <cellStyle name="Currency 2 2 2 2 2 2 12 2" xfId="14653" xr:uid="{00000000-0005-0000-0000-00003C390000}"/>
    <cellStyle name="Currency 2 2 2 2 2 2 12 2 2" xfId="14654" xr:uid="{00000000-0005-0000-0000-00003D390000}"/>
    <cellStyle name="Currency 2 2 2 2 2 2 13" xfId="14655" xr:uid="{00000000-0005-0000-0000-00003E390000}"/>
    <cellStyle name="Currency 2 2 2 2 2 2 14" xfId="14656" xr:uid="{00000000-0005-0000-0000-00003F390000}"/>
    <cellStyle name="Currency 2 2 2 2 2 2 15" xfId="14657" xr:uid="{00000000-0005-0000-0000-000040390000}"/>
    <cellStyle name="Currency 2 2 2 2 2 2 2" xfId="14658" xr:uid="{00000000-0005-0000-0000-000041390000}"/>
    <cellStyle name="Currency 2 2 2 2 2 2 2 2" xfId="14659" xr:uid="{00000000-0005-0000-0000-000042390000}"/>
    <cellStyle name="Currency 2 2 2 2 2 2 2 2 2" xfId="14660" xr:uid="{00000000-0005-0000-0000-000043390000}"/>
    <cellStyle name="Currency 2 2 2 2 2 2 2 3" xfId="14661" xr:uid="{00000000-0005-0000-0000-000044390000}"/>
    <cellStyle name="Currency 2 2 2 2 2 2 2 3 2" xfId="14662" xr:uid="{00000000-0005-0000-0000-000045390000}"/>
    <cellStyle name="Currency 2 2 2 2 2 2 2 4" xfId="14663" xr:uid="{00000000-0005-0000-0000-000046390000}"/>
    <cellStyle name="Currency 2 2 2 2 2 2 2 5" xfId="14664" xr:uid="{00000000-0005-0000-0000-000047390000}"/>
    <cellStyle name="Currency 2 2 2 2 2 2 3" xfId="14665" xr:uid="{00000000-0005-0000-0000-000048390000}"/>
    <cellStyle name="Currency 2 2 2 2 2 2 3 2" xfId="14666" xr:uid="{00000000-0005-0000-0000-000049390000}"/>
    <cellStyle name="Currency 2 2 2 2 2 2 4" xfId="14667" xr:uid="{00000000-0005-0000-0000-00004A390000}"/>
    <cellStyle name="Currency 2 2 2 2 2 2 4 2" xfId="14668" xr:uid="{00000000-0005-0000-0000-00004B390000}"/>
    <cellStyle name="Currency 2 2 2 2 2 2 5" xfId="14669" xr:uid="{00000000-0005-0000-0000-00004C390000}"/>
    <cellStyle name="Currency 2 2 2 2 2 2 5 2" xfId="14670" xr:uid="{00000000-0005-0000-0000-00004D390000}"/>
    <cellStyle name="Currency 2 2 2 2 2 2 6" xfId="14671" xr:uid="{00000000-0005-0000-0000-00004E390000}"/>
    <cellStyle name="Currency 2 2 2 2 2 2 6 2" xfId="14672" xr:uid="{00000000-0005-0000-0000-00004F390000}"/>
    <cellStyle name="Currency 2 2 2 2 2 2 7" xfId="14673" xr:uid="{00000000-0005-0000-0000-000050390000}"/>
    <cellStyle name="Currency 2 2 2 2 2 2 7 2" xfId="14674" xr:uid="{00000000-0005-0000-0000-000051390000}"/>
    <cellStyle name="Currency 2 2 2 2 2 2 8" xfId="14675" xr:uid="{00000000-0005-0000-0000-000052390000}"/>
    <cellStyle name="Currency 2 2 2 2 2 2 8 2" xfId="14676" xr:uid="{00000000-0005-0000-0000-000053390000}"/>
    <cellStyle name="Currency 2 2 2 2 2 2 9" xfId="14677" xr:uid="{00000000-0005-0000-0000-000054390000}"/>
    <cellStyle name="Currency 2 2 2 2 2 2 9 2" xfId="14678" xr:uid="{00000000-0005-0000-0000-000055390000}"/>
    <cellStyle name="Currency 2 2 2 2 2 3" xfId="14679" xr:uid="{00000000-0005-0000-0000-000056390000}"/>
    <cellStyle name="Currency 2 2 2 2 2 3 2" xfId="14680" xr:uid="{00000000-0005-0000-0000-000057390000}"/>
    <cellStyle name="Currency 2 2 2 2 2 3 3" xfId="14681" xr:uid="{00000000-0005-0000-0000-000058390000}"/>
    <cellStyle name="Currency 2 2 2 2 2 4" xfId="14682" xr:uid="{00000000-0005-0000-0000-000059390000}"/>
    <cellStyle name="Currency 2 2 2 2 2 4 2" xfId="14683" xr:uid="{00000000-0005-0000-0000-00005A390000}"/>
    <cellStyle name="Currency 2 2 2 2 2 5" xfId="14684" xr:uid="{00000000-0005-0000-0000-00005B390000}"/>
    <cellStyle name="Currency 2 2 2 2 2 5 2" xfId="14685" xr:uid="{00000000-0005-0000-0000-00005C390000}"/>
    <cellStyle name="Currency 2 2 2 2 2 6" xfId="14686" xr:uid="{00000000-0005-0000-0000-00005D390000}"/>
    <cellStyle name="Currency 2 2 2 2 2 6 2" xfId="14687" xr:uid="{00000000-0005-0000-0000-00005E390000}"/>
    <cellStyle name="Currency 2 2 2 2 2 7" xfId="14688" xr:uid="{00000000-0005-0000-0000-00005F390000}"/>
    <cellStyle name="Currency 2 2 2 2 2 7 2" xfId="14689" xr:uid="{00000000-0005-0000-0000-000060390000}"/>
    <cellStyle name="Currency 2 2 2 2 2 8" xfId="14690" xr:uid="{00000000-0005-0000-0000-000061390000}"/>
    <cellStyle name="Currency 2 2 2 2 2 8 2" xfId="14691" xr:uid="{00000000-0005-0000-0000-000062390000}"/>
    <cellStyle name="Currency 2 2 2 2 2 9" xfId="14692" xr:uid="{00000000-0005-0000-0000-000063390000}"/>
    <cellStyle name="Currency 2 2 2 2 2 9 2" xfId="14693" xr:uid="{00000000-0005-0000-0000-000064390000}"/>
    <cellStyle name="Currency 2 2 2 2 3" xfId="14694" xr:uid="{00000000-0005-0000-0000-000065390000}"/>
    <cellStyle name="Currency 2 2 2 2 4" xfId="14695" xr:uid="{00000000-0005-0000-0000-000066390000}"/>
    <cellStyle name="Currency 2 2 2 2 5" xfId="14696" xr:uid="{00000000-0005-0000-0000-000067390000}"/>
    <cellStyle name="Currency 2 2 2 2 5 2" xfId="14697" xr:uid="{00000000-0005-0000-0000-000068390000}"/>
    <cellStyle name="Currency 2 2 2 2 5 3" xfId="14698" xr:uid="{00000000-0005-0000-0000-000069390000}"/>
    <cellStyle name="Currency 2 2 2 2 5 4" xfId="14699" xr:uid="{00000000-0005-0000-0000-00006A390000}"/>
    <cellStyle name="Currency 2 2 2 2 6" xfId="14700" xr:uid="{00000000-0005-0000-0000-00006B390000}"/>
    <cellStyle name="Currency 2 2 2 2 6 2" xfId="14701" xr:uid="{00000000-0005-0000-0000-00006C390000}"/>
    <cellStyle name="Currency 2 2 2 2 6 3" xfId="14702" xr:uid="{00000000-0005-0000-0000-00006D390000}"/>
    <cellStyle name="Currency 2 2 2 2 7" xfId="14703" xr:uid="{00000000-0005-0000-0000-00006E390000}"/>
    <cellStyle name="Currency 2 2 2 2 7 2" xfId="14704" xr:uid="{00000000-0005-0000-0000-00006F390000}"/>
    <cellStyle name="Currency 2 2 2 2 7 3" xfId="14705" xr:uid="{00000000-0005-0000-0000-000070390000}"/>
    <cellStyle name="Currency 2 2 2 2 8" xfId="14706" xr:uid="{00000000-0005-0000-0000-000071390000}"/>
    <cellStyle name="Currency 2 2 2 2 8 2" xfId="14707" xr:uid="{00000000-0005-0000-0000-000072390000}"/>
    <cellStyle name="Currency 2 2 2 2 8 3" xfId="14708" xr:uid="{00000000-0005-0000-0000-000073390000}"/>
    <cellStyle name="Currency 2 2 2 2 9" xfId="14709" xr:uid="{00000000-0005-0000-0000-000074390000}"/>
    <cellStyle name="Currency 2 2 2 2 9 2" xfId="14710" xr:uid="{00000000-0005-0000-0000-000075390000}"/>
    <cellStyle name="Currency 2 2 2 2 9 3" xfId="14711" xr:uid="{00000000-0005-0000-0000-000076390000}"/>
    <cellStyle name="Currency 2 2 2 3" xfId="14712" xr:uid="{00000000-0005-0000-0000-000077390000}"/>
    <cellStyle name="Currency 2 2 2 3 2" xfId="14713" xr:uid="{00000000-0005-0000-0000-000078390000}"/>
    <cellStyle name="Currency 2 2 2 3 2 2" xfId="14714" xr:uid="{00000000-0005-0000-0000-000079390000}"/>
    <cellStyle name="Currency 2 2 2 3 3" xfId="14715" xr:uid="{00000000-0005-0000-0000-00007A390000}"/>
    <cellStyle name="Currency 2 2 2 3 4" xfId="14716" xr:uid="{00000000-0005-0000-0000-00007B390000}"/>
    <cellStyle name="Currency 2 2 2 3 5" xfId="14717" xr:uid="{00000000-0005-0000-0000-00007C390000}"/>
    <cellStyle name="Currency 2 2 2 4" xfId="14718" xr:uid="{00000000-0005-0000-0000-00007D390000}"/>
    <cellStyle name="Currency 2 2 2 4 2" xfId="14719" xr:uid="{00000000-0005-0000-0000-00007E390000}"/>
    <cellStyle name="Currency 2 2 2 4 3" xfId="14720" xr:uid="{00000000-0005-0000-0000-00007F390000}"/>
    <cellStyle name="Currency 2 2 2 4 4" xfId="14721" xr:uid="{00000000-0005-0000-0000-000080390000}"/>
    <cellStyle name="Currency 2 2 2 5" xfId="14722" xr:uid="{00000000-0005-0000-0000-000081390000}"/>
    <cellStyle name="Currency 2 2 2 5 2" xfId="14723" xr:uid="{00000000-0005-0000-0000-000082390000}"/>
    <cellStyle name="Currency 2 2 2 5 3" xfId="14724" xr:uid="{00000000-0005-0000-0000-000083390000}"/>
    <cellStyle name="Currency 2 2 2 5 4" xfId="14725" xr:uid="{00000000-0005-0000-0000-000084390000}"/>
    <cellStyle name="Currency 2 2 2 6" xfId="14726" xr:uid="{00000000-0005-0000-0000-000085390000}"/>
    <cellStyle name="Currency 2 2 2 6 2" xfId="14727" xr:uid="{00000000-0005-0000-0000-000086390000}"/>
    <cellStyle name="Currency 2 2 2 6 3" xfId="14728" xr:uid="{00000000-0005-0000-0000-000087390000}"/>
    <cellStyle name="Currency 2 2 2 6 4" xfId="14729" xr:uid="{00000000-0005-0000-0000-000088390000}"/>
    <cellStyle name="Currency 2 2 2 7" xfId="14730" xr:uid="{00000000-0005-0000-0000-000089390000}"/>
    <cellStyle name="Currency 2 2 2 7 2" xfId="14731" xr:uid="{00000000-0005-0000-0000-00008A390000}"/>
    <cellStyle name="Currency 2 2 2 7 3" xfId="14732" xr:uid="{00000000-0005-0000-0000-00008B390000}"/>
    <cellStyle name="Currency 2 2 2 8" xfId="14733" xr:uid="{00000000-0005-0000-0000-00008C390000}"/>
    <cellStyle name="Currency 2 2 2 8 2" xfId="14734" xr:uid="{00000000-0005-0000-0000-00008D390000}"/>
    <cellStyle name="Currency 2 2 2 8 3" xfId="14735" xr:uid="{00000000-0005-0000-0000-00008E390000}"/>
    <cellStyle name="Currency 2 2 2 9" xfId="14736" xr:uid="{00000000-0005-0000-0000-00008F390000}"/>
    <cellStyle name="Currency 2 2 2 9 2" xfId="14737" xr:uid="{00000000-0005-0000-0000-000090390000}"/>
    <cellStyle name="Currency 2 2 2 9 3" xfId="14738" xr:uid="{00000000-0005-0000-0000-000091390000}"/>
    <cellStyle name="Currency 2 2 3" xfId="14739" xr:uid="{00000000-0005-0000-0000-000092390000}"/>
    <cellStyle name="Currency 2 2 3 2" xfId="14740" xr:uid="{00000000-0005-0000-0000-000093390000}"/>
    <cellStyle name="Currency 2 2 3 2 2" xfId="14741" xr:uid="{00000000-0005-0000-0000-000094390000}"/>
    <cellStyle name="Currency 2 2 3 2 2 2" xfId="14742" xr:uid="{00000000-0005-0000-0000-000095390000}"/>
    <cellStyle name="Currency 2 2 3 2 2 3" xfId="14743" xr:uid="{00000000-0005-0000-0000-000096390000}"/>
    <cellStyle name="Currency 2 2 3 2 2 4" xfId="14744" xr:uid="{00000000-0005-0000-0000-000097390000}"/>
    <cellStyle name="Currency 2 2 3 2 3" xfId="14745" xr:uid="{00000000-0005-0000-0000-000098390000}"/>
    <cellStyle name="Currency 2 2 3 2 4" xfId="14746" xr:uid="{00000000-0005-0000-0000-000099390000}"/>
    <cellStyle name="Currency 2 2 3 3" xfId="14747" xr:uid="{00000000-0005-0000-0000-00009A390000}"/>
    <cellStyle name="Currency 2 2 3 3 2" xfId="14748" xr:uid="{00000000-0005-0000-0000-00009B390000}"/>
    <cellStyle name="Currency 2 2 3 3 3" xfId="14749" xr:uid="{00000000-0005-0000-0000-00009C390000}"/>
    <cellStyle name="Currency 2 2 3 4" xfId="14750" xr:uid="{00000000-0005-0000-0000-00009D390000}"/>
    <cellStyle name="Currency 2 2 3 4 2" xfId="14751" xr:uid="{00000000-0005-0000-0000-00009E390000}"/>
    <cellStyle name="Currency 2 2 3 5" xfId="14752" xr:uid="{00000000-0005-0000-0000-00009F390000}"/>
    <cellStyle name="Currency 2 2 3 6" xfId="14753" xr:uid="{00000000-0005-0000-0000-0000A0390000}"/>
    <cellStyle name="Currency 2 2 3 7" xfId="14754" xr:uid="{00000000-0005-0000-0000-0000A1390000}"/>
    <cellStyle name="Currency 2 2 4" xfId="14755" xr:uid="{00000000-0005-0000-0000-0000A2390000}"/>
    <cellStyle name="Currency 2 2 4 2" xfId="14756" xr:uid="{00000000-0005-0000-0000-0000A3390000}"/>
    <cellStyle name="Currency 2 2 4 3" xfId="14757" xr:uid="{00000000-0005-0000-0000-0000A4390000}"/>
    <cellStyle name="Currency 2 2 4 4" xfId="14758" xr:uid="{00000000-0005-0000-0000-0000A5390000}"/>
    <cellStyle name="Currency 2 2 4 5" xfId="14759" xr:uid="{00000000-0005-0000-0000-0000A6390000}"/>
    <cellStyle name="Currency 2 2 4 6" xfId="14760" xr:uid="{00000000-0005-0000-0000-0000A7390000}"/>
    <cellStyle name="Currency 2 2 5" xfId="14761" xr:uid="{00000000-0005-0000-0000-0000A8390000}"/>
    <cellStyle name="Currency 2 2 5 2" xfId="14762" xr:uid="{00000000-0005-0000-0000-0000A9390000}"/>
    <cellStyle name="Currency 2 2 5 3" xfId="14763" xr:uid="{00000000-0005-0000-0000-0000AA390000}"/>
    <cellStyle name="Currency 2 2 5 4" xfId="14764" xr:uid="{00000000-0005-0000-0000-0000AB390000}"/>
    <cellStyle name="Currency 2 2 5 5" xfId="14765" xr:uid="{00000000-0005-0000-0000-0000AC390000}"/>
    <cellStyle name="Currency 2 2 6" xfId="14766" xr:uid="{00000000-0005-0000-0000-0000AD390000}"/>
    <cellStyle name="Currency 2 2 6 10" xfId="14767" xr:uid="{00000000-0005-0000-0000-0000AE390000}"/>
    <cellStyle name="Currency 2 2 6 2" xfId="14768" xr:uid="{00000000-0005-0000-0000-0000AF390000}"/>
    <cellStyle name="Currency 2 2 6 2 2" xfId="14769" xr:uid="{00000000-0005-0000-0000-0000B0390000}"/>
    <cellStyle name="Currency 2 2 6 2 2 2" xfId="14770" xr:uid="{00000000-0005-0000-0000-0000B1390000}"/>
    <cellStyle name="Currency 2 2 6 2 2 2 2" xfId="14771" xr:uid="{00000000-0005-0000-0000-0000B2390000}"/>
    <cellStyle name="Currency 2 2 6 2 3" xfId="14772" xr:uid="{00000000-0005-0000-0000-0000B3390000}"/>
    <cellStyle name="Currency 2 2 6 2 4" xfId="14773" xr:uid="{00000000-0005-0000-0000-0000B4390000}"/>
    <cellStyle name="Currency 2 2 6 3" xfId="14774" xr:uid="{00000000-0005-0000-0000-0000B5390000}"/>
    <cellStyle name="Currency 2 2 6 3 2" xfId="14775" xr:uid="{00000000-0005-0000-0000-0000B6390000}"/>
    <cellStyle name="Currency 2 2 6 4" xfId="14776" xr:uid="{00000000-0005-0000-0000-0000B7390000}"/>
    <cellStyle name="Currency 2 2 6 5" xfId="14777" xr:uid="{00000000-0005-0000-0000-0000B8390000}"/>
    <cellStyle name="Currency 2 2 6 6" xfId="14778" xr:uid="{00000000-0005-0000-0000-0000B9390000}"/>
    <cellStyle name="Currency 2 2 6 7" xfId="14779" xr:uid="{00000000-0005-0000-0000-0000BA390000}"/>
    <cellStyle name="Currency 2 2 6 8" xfId="14780" xr:uid="{00000000-0005-0000-0000-0000BB390000}"/>
    <cellStyle name="Currency 2 2 6 9" xfId="14781" xr:uid="{00000000-0005-0000-0000-0000BC390000}"/>
    <cellStyle name="Currency 2 2 7" xfId="14782" xr:uid="{00000000-0005-0000-0000-0000BD390000}"/>
    <cellStyle name="Currency 2 2 7 2" xfId="14783" xr:uid="{00000000-0005-0000-0000-0000BE390000}"/>
    <cellStyle name="Currency 2 2 7 2 2" xfId="14784" xr:uid="{00000000-0005-0000-0000-0000BF390000}"/>
    <cellStyle name="Currency 2 2 7 2 2 2" xfId="14785" xr:uid="{00000000-0005-0000-0000-0000C0390000}"/>
    <cellStyle name="Currency 2 2 7 3" xfId="14786" xr:uid="{00000000-0005-0000-0000-0000C1390000}"/>
    <cellStyle name="Currency 2 2 7 4" xfId="14787" xr:uid="{00000000-0005-0000-0000-0000C2390000}"/>
    <cellStyle name="Currency 2 2 7 5" xfId="14788" xr:uid="{00000000-0005-0000-0000-0000C3390000}"/>
    <cellStyle name="Currency 2 2 7 6" xfId="14789" xr:uid="{00000000-0005-0000-0000-0000C4390000}"/>
    <cellStyle name="Currency 2 2 8" xfId="14790" xr:uid="{00000000-0005-0000-0000-0000C5390000}"/>
    <cellStyle name="Currency 2 2 8 2" xfId="14791" xr:uid="{00000000-0005-0000-0000-0000C6390000}"/>
    <cellStyle name="Currency 2 2 8 2 2" xfId="14792" xr:uid="{00000000-0005-0000-0000-0000C7390000}"/>
    <cellStyle name="Currency 2 2 8 2 2 2" xfId="14793" xr:uid="{00000000-0005-0000-0000-0000C8390000}"/>
    <cellStyle name="Currency 2 2 8 3" xfId="14794" xr:uid="{00000000-0005-0000-0000-0000C9390000}"/>
    <cellStyle name="Currency 2 2 8 4" xfId="14795" xr:uid="{00000000-0005-0000-0000-0000CA390000}"/>
    <cellStyle name="Currency 2 2 8 5" xfId="14796" xr:uid="{00000000-0005-0000-0000-0000CB390000}"/>
    <cellStyle name="Currency 2 2 9" xfId="14797" xr:uid="{00000000-0005-0000-0000-0000CC390000}"/>
    <cellStyle name="Currency 2 2 9 2" xfId="14798" xr:uid="{00000000-0005-0000-0000-0000CD390000}"/>
    <cellStyle name="Currency 2 2 9 2 2" xfId="14799" xr:uid="{00000000-0005-0000-0000-0000CE390000}"/>
    <cellStyle name="Currency 2 2 9 2 2 2" xfId="14800" xr:uid="{00000000-0005-0000-0000-0000CF390000}"/>
    <cellStyle name="Currency 2 2 9 3" xfId="14801" xr:uid="{00000000-0005-0000-0000-0000D0390000}"/>
    <cellStyle name="Currency 2 2 9 4" xfId="14802" xr:uid="{00000000-0005-0000-0000-0000D1390000}"/>
    <cellStyle name="Currency 2 3" xfId="14803" xr:uid="{00000000-0005-0000-0000-0000D2390000}"/>
    <cellStyle name="Currency 2 3 2" xfId="14804" xr:uid="{00000000-0005-0000-0000-0000D3390000}"/>
    <cellStyle name="Currency 2 3 2 2" xfId="14805" xr:uid="{00000000-0005-0000-0000-0000D4390000}"/>
    <cellStyle name="Currency 2 3 2 3" xfId="14806" xr:uid="{00000000-0005-0000-0000-0000D5390000}"/>
    <cellStyle name="Currency 2 3 2 4" xfId="14807" xr:uid="{00000000-0005-0000-0000-0000D6390000}"/>
    <cellStyle name="Currency 2 3 3" xfId="14808" xr:uid="{00000000-0005-0000-0000-0000D7390000}"/>
    <cellStyle name="Currency 2 3 4" xfId="14809" xr:uid="{00000000-0005-0000-0000-0000D8390000}"/>
    <cellStyle name="Currency 2 4" xfId="14810" xr:uid="{00000000-0005-0000-0000-0000D9390000}"/>
    <cellStyle name="Currency 2 4 2" xfId="14811" xr:uid="{00000000-0005-0000-0000-0000DA390000}"/>
    <cellStyle name="Currency 2 4 3" xfId="14812" xr:uid="{00000000-0005-0000-0000-0000DB390000}"/>
    <cellStyle name="Currency 2 4 4" xfId="14813" xr:uid="{00000000-0005-0000-0000-0000DC390000}"/>
    <cellStyle name="Currency 2 5" xfId="14814" xr:uid="{00000000-0005-0000-0000-0000DD390000}"/>
    <cellStyle name="Currency 2 5 2" xfId="14815" xr:uid="{00000000-0005-0000-0000-0000DE390000}"/>
    <cellStyle name="Currency 2 5 3" xfId="14816" xr:uid="{00000000-0005-0000-0000-0000DF390000}"/>
    <cellStyle name="Currency 2 5 4" xfId="14817" xr:uid="{00000000-0005-0000-0000-0000E0390000}"/>
    <cellStyle name="Currency 2 6" xfId="14818" xr:uid="{00000000-0005-0000-0000-0000E1390000}"/>
    <cellStyle name="Currency 2 6 2" xfId="14819" xr:uid="{00000000-0005-0000-0000-0000E2390000}"/>
    <cellStyle name="Currency 2 6 3" xfId="14820" xr:uid="{00000000-0005-0000-0000-0000E3390000}"/>
    <cellStyle name="Currency 2 6 4" xfId="14821" xr:uid="{00000000-0005-0000-0000-0000E4390000}"/>
    <cellStyle name="Currency 2 7" xfId="14822" xr:uid="{00000000-0005-0000-0000-0000E5390000}"/>
    <cellStyle name="Currency 2 7 10" xfId="14823" xr:uid="{00000000-0005-0000-0000-0000E6390000}"/>
    <cellStyle name="Currency 2 7 2" xfId="14824" xr:uid="{00000000-0005-0000-0000-0000E7390000}"/>
    <cellStyle name="Currency 2 7 3" xfId="14825" xr:uid="{00000000-0005-0000-0000-0000E8390000}"/>
    <cellStyle name="Currency 2 7 4" xfId="14826" xr:uid="{00000000-0005-0000-0000-0000E9390000}"/>
    <cellStyle name="Currency 2 7 5" xfId="14827" xr:uid="{00000000-0005-0000-0000-0000EA390000}"/>
    <cellStyle name="Currency 2 7 6" xfId="14828" xr:uid="{00000000-0005-0000-0000-0000EB390000}"/>
    <cellStyle name="Currency 2 7 7" xfId="14829" xr:uid="{00000000-0005-0000-0000-0000EC390000}"/>
    <cellStyle name="Currency 2 7 8" xfId="14830" xr:uid="{00000000-0005-0000-0000-0000ED390000}"/>
    <cellStyle name="Currency 2 7 9" xfId="14831" xr:uid="{00000000-0005-0000-0000-0000EE390000}"/>
    <cellStyle name="Currency 2 8" xfId="14832" xr:uid="{00000000-0005-0000-0000-0000EF390000}"/>
    <cellStyle name="Currency 2 8 2" xfId="14833" xr:uid="{00000000-0005-0000-0000-0000F0390000}"/>
    <cellStyle name="Currency 2 8 2 2" xfId="14834" xr:uid="{00000000-0005-0000-0000-0000F1390000}"/>
    <cellStyle name="Currency 2 8 2 2 2" xfId="14835" xr:uid="{00000000-0005-0000-0000-0000F2390000}"/>
    <cellStyle name="Currency 2 8 3" xfId="14836" xr:uid="{00000000-0005-0000-0000-0000F3390000}"/>
    <cellStyle name="Currency 2 8 4" xfId="14837" xr:uid="{00000000-0005-0000-0000-0000F4390000}"/>
    <cellStyle name="Currency 2 9" xfId="14838" xr:uid="{00000000-0005-0000-0000-0000F5390000}"/>
    <cellStyle name="Currency 3" xfId="14839" xr:uid="{00000000-0005-0000-0000-0000F6390000}"/>
    <cellStyle name="Currency 3 2" xfId="14840" xr:uid="{00000000-0005-0000-0000-0000F7390000}"/>
    <cellStyle name="Currency 4" xfId="14841" xr:uid="{00000000-0005-0000-0000-0000F8390000}"/>
    <cellStyle name="Currency 4 2" xfId="14842" xr:uid="{00000000-0005-0000-0000-0000F9390000}"/>
    <cellStyle name="Currency 4 2 2" xfId="14843" xr:uid="{00000000-0005-0000-0000-0000FA390000}"/>
    <cellStyle name="Currency 4 3" xfId="14844" xr:uid="{00000000-0005-0000-0000-0000FB390000}"/>
    <cellStyle name="Currency 4 3 2" xfId="14845" xr:uid="{00000000-0005-0000-0000-0000FC390000}"/>
    <cellStyle name="Currency 4 3 2 2" xfId="14846" xr:uid="{00000000-0005-0000-0000-0000FD390000}"/>
    <cellStyle name="Currency 4 4" xfId="14847" xr:uid="{00000000-0005-0000-0000-0000FE390000}"/>
    <cellStyle name="Eingabe" xfId="14848" xr:uid="{00000000-0005-0000-0000-0000FF390000}"/>
    <cellStyle name="Ergebnis" xfId="14849" xr:uid="{00000000-0005-0000-0000-0000003A0000}"/>
    <cellStyle name="Erklärender Text" xfId="14850" xr:uid="{00000000-0005-0000-0000-0000013A0000}"/>
    <cellStyle name="Gut" xfId="14851" xr:uid="{00000000-0005-0000-0000-0000023A0000}"/>
    <cellStyle name="Normal" xfId="0" builtinId="0"/>
    <cellStyle name="Normal 10" xfId="14852" xr:uid="{00000000-0005-0000-0000-0000043A0000}"/>
    <cellStyle name="Normal 10 2" xfId="14853" xr:uid="{00000000-0005-0000-0000-0000053A0000}"/>
    <cellStyle name="Normal 10 2 2" xfId="14854" xr:uid="{00000000-0005-0000-0000-0000063A0000}"/>
    <cellStyle name="Normal 10 2 2 2" xfId="14855" xr:uid="{00000000-0005-0000-0000-0000073A0000}"/>
    <cellStyle name="Normal 10 2 3" xfId="14856" xr:uid="{00000000-0005-0000-0000-0000083A0000}"/>
    <cellStyle name="Normal 10 2 4" xfId="14857" xr:uid="{00000000-0005-0000-0000-0000093A0000}"/>
    <cellStyle name="Normal 10 3" xfId="14858" xr:uid="{00000000-0005-0000-0000-00000A3A0000}"/>
    <cellStyle name="Normal 10 3 2" xfId="14859" xr:uid="{00000000-0005-0000-0000-00000B3A0000}"/>
    <cellStyle name="Normal 10 3 3" xfId="14860" xr:uid="{00000000-0005-0000-0000-00000C3A0000}"/>
    <cellStyle name="Normal 10 4" xfId="14861" xr:uid="{00000000-0005-0000-0000-00000D3A0000}"/>
    <cellStyle name="Normal 10 4 2" xfId="14862" xr:uid="{00000000-0005-0000-0000-00000E3A0000}"/>
    <cellStyle name="Normal 10 5" xfId="14863" xr:uid="{00000000-0005-0000-0000-00000F3A0000}"/>
    <cellStyle name="Normal 10 5 2" xfId="14864" xr:uid="{00000000-0005-0000-0000-0000103A0000}"/>
    <cellStyle name="Normal 10 6" xfId="14865" xr:uid="{00000000-0005-0000-0000-0000113A0000}"/>
    <cellStyle name="Normal 10 7" xfId="14866" xr:uid="{00000000-0005-0000-0000-0000123A0000}"/>
    <cellStyle name="Normal 11" xfId="14867" xr:uid="{00000000-0005-0000-0000-0000133A0000}"/>
    <cellStyle name="Normal 11 2" xfId="14868" xr:uid="{00000000-0005-0000-0000-0000143A0000}"/>
    <cellStyle name="Normal 11 2 2" xfId="14869" xr:uid="{00000000-0005-0000-0000-0000153A0000}"/>
    <cellStyle name="Normal 11 2 2 2" xfId="14870" xr:uid="{00000000-0005-0000-0000-0000163A0000}"/>
    <cellStyle name="Normal 11 2 2 2 2" xfId="14871" xr:uid="{00000000-0005-0000-0000-0000173A0000}"/>
    <cellStyle name="Normal 11 2 3" xfId="14872" xr:uid="{00000000-0005-0000-0000-0000183A0000}"/>
    <cellStyle name="Normal 11 2 4" xfId="14873" xr:uid="{00000000-0005-0000-0000-0000193A0000}"/>
    <cellStyle name="Normal 11 2 5" xfId="14874" xr:uid="{00000000-0005-0000-0000-00001A3A0000}"/>
    <cellStyle name="Normal 11 3" xfId="14875" xr:uid="{00000000-0005-0000-0000-00001B3A0000}"/>
    <cellStyle name="Normal 11 3 2" xfId="14876" xr:uid="{00000000-0005-0000-0000-00001C3A0000}"/>
    <cellStyle name="Normal 11 3 3" xfId="14877" xr:uid="{00000000-0005-0000-0000-00001D3A0000}"/>
    <cellStyle name="Normal 11 3 4" xfId="14878" xr:uid="{00000000-0005-0000-0000-00001E3A0000}"/>
    <cellStyle name="Normal 11 4" xfId="14879" xr:uid="{00000000-0005-0000-0000-00001F3A0000}"/>
    <cellStyle name="Normal 11 4 2" xfId="14880" xr:uid="{00000000-0005-0000-0000-0000203A0000}"/>
    <cellStyle name="Normal 11 4 3" xfId="14881" xr:uid="{00000000-0005-0000-0000-0000213A0000}"/>
    <cellStyle name="Normal 11 4 4" xfId="14882" xr:uid="{00000000-0005-0000-0000-0000223A0000}"/>
    <cellStyle name="Normal 11 5" xfId="14883" xr:uid="{00000000-0005-0000-0000-0000233A0000}"/>
    <cellStyle name="Normal 11 5 2" xfId="14884" xr:uid="{00000000-0005-0000-0000-0000243A0000}"/>
    <cellStyle name="Normal 11 5 3" xfId="14885" xr:uid="{00000000-0005-0000-0000-0000253A0000}"/>
    <cellStyle name="Normal 11 5 4" xfId="14886" xr:uid="{00000000-0005-0000-0000-0000263A0000}"/>
    <cellStyle name="Normal 11 6" xfId="14887" xr:uid="{00000000-0005-0000-0000-0000273A0000}"/>
    <cellStyle name="Normal 11 6 2" xfId="14888" xr:uid="{00000000-0005-0000-0000-0000283A0000}"/>
    <cellStyle name="Normal 11 6 3" xfId="14889" xr:uid="{00000000-0005-0000-0000-0000293A0000}"/>
    <cellStyle name="Normal 11 7" xfId="14890" xr:uid="{00000000-0005-0000-0000-00002A3A0000}"/>
    <cellStyle name="Normal 11 8" xfId="14891" xr:uid="{00000000-0005-0000-0000-00002B3A0000}"/>
    <cellStyle name="Normal 12" xfId="14892" xr:uid="{00000000-0005-0000-0000-00002C3A0000}"/>
    <cellStyle name="Normal 12 2" xfId="14893" xr:uid="{00000000-0005-0000-0000-00002D3A0000}"/>
    <cellStyle name="Normal 13" xfId="14894" xr:uid="{00000000-0005-0000-0000-00002E3A0000}"/>
    <cellStyle name="Normal 13 2" xfId="14895" xr:uid="{00000000-0005-0000-0000-00002F3A0000}"/>
    <cellStyle name="Normal 13 2 2" xfId="14896" xr:uid="{00000000-0005-0000-0000-0000303A0000}"/>
    <cellStyle name="Normal 13 2 2 2" xfId="14897" xr:uid="{00000000-0005-0000-0000-0000313A0000}"/>
    <cellStyle name="Normal 13 2 2 2 2" xfId="14898" xr:uid="{00000000-0005-0000-0000-0000323A0000}"/>
    <cellStyle name="Normal 13 2 3" xfId="14899" xr:uid="{00000000-0005-0000-0000-0000333A0000}"/>
    <cellStyle name="Normal 13 2 4" xfId="14900" xr:uid="{00000000-0005-0000-0000-0000343A0000}"/>
    <cellStyle name="Normal 13 3" xfId="14901" xr:uid="{00000000-0005-0000-0000-0000353A0000}"/>
    <cellStyle name="Normal 13 4" xfId="14902" xr:uid="{00000000-0005-0000-0000-0000363A0000}"/>
    <cellStyle name="Normal 13 5" xfId="14903" xr:uid="{00000000-0005-0000-0000-0000373A0000}"/>
    <cellStyle name="Normal 13 6" xfId="14904" xr:uid="{00000000-0005-0000-0000-0000383A0000}"/>
    <cellStyle name="Normal 13 7" xfId="14905" xr:uid="{00000000-0005-0000-0000-0000393A0000}"/>
    <cellStyle name="Normal 13 8" xfId="14906" xr:uid="{00000000-0005-0000-0000-00003A3A0000}"/>
    <cellStyle name="Normal 13 9" xfId="14907" xr:uid="{00000000-0005-0000-0000-00003B3A0000}"/>
    <cellStyle name="Normal 14" xfId="14908" xr:uid="{00000000-0005-0000-0000-00003C3A0000}"/>
    <cellStyle name="Normal 14 2" xfId="14909" xr:uid="{00000000-0005-0000-0000-00003D3A0000}"/>
    <cellStyle name="Normal 14 2 2" xfId="14910" xr:uid="{00000000-0005-0000-0000-00003E3A0000}"/>
    <cellStyle name="Normal 14 2 2 2" xfId="14911" xr:uid="{00000000-0005-0000-0000-00003F3A0000}"/>
    <cellStyle name="Normal 14 2 2 2 2" xfId="14912" xr:uid="{00000000-0005-0000-0000-0000403A0000}"/>
    <cellStyle name="Normal 14 2 3" xfId="14913" xr:uid="{00000000-0005-0000-0000-0000413A0000}"/>
    <cellStyle name="Normal 14 2 4" xfId="14914" xr:uid="{00000000-0005-0000-0000-0000423A0000}"/>
    <cellStyle name="Normal 14 2 4 2" xfId="14915" xr:uid="{00000000-0005-0000-0000-0000433A0000}"/>
    <cellStyle name="Normal 14 2 5" xfId="14916" xr:uid="{00000000-0005-0000-0000-0000443A0000}"/>
    <cellStyle name="Normal 14 2 6" xfId="14917" xr:uid="{00000000-0005-0000-0000-0000453A0000}"/>
    <cellStyle name="Normal 14 3" xfId="14918" xr:uid="{00000000-0005-0000-0000-0000463A0000}"/>
    <cellStyle name="Normal 14 3 2" xfId="14919" xr:uid="{00000000-0005-0000-0000-0000473A0000}"/>
    <cellStyle name="Normal 14 3 3" xfId="14920" xr:uid="{00000000-0005-0000-0000-0000483A0000}"/>
    <cellStyle name="Normal 14 4" xfId="14921" xr:uid="{00000000-0005-0000-0000-0000493A0000}"/>
    <cellStyle name="Normal 14 5" xfId="14922" xr:uid="{00000000-0005-0000-0000-00004A3A0000}"/>
    <cellStyle name="Normal 14 6" xfId="14923" xr:uid="{00000000-0005-0000-0000-00004B3A0000}"/>
    <cellStyle name="Normal 14 7" xfId="14924" xr:uid="{00000000-0005-0000-0000-00004C3A0000}"/>
    <cellStyle name="Normal 14 8" xfId="14925" xr:uid="{00000000-0005-0000-0000-00004D3A0000}"/>
    <cellStyle name="Normal 14 9" xfId="14926" xr:uid="{00000000-0005-0000-0000-00004E3A0000}"/>
    <cellStyle name="Normal 15" xfId="14927" xr:uid="{00000000-0005-0000-0000-00004F3A0000}"/>
    <cellStyle name="Normal 15 2" xfId="14928" xr:uid="{00000000-0005-0000-0000-0000503A0000}"/>
    <cellStyle name="Normal 15 2 2" xfId="14929" xr:uid="{00000000-0005-0000-0000-0000513A0000}"/>
    <cellStyle name="Normal 15 2 2 2" xfId="14930" xr:uid="{00000000-0005-0000-0000-0000523A0000}"/>
    <cellStyle name="Normal 15 2 2 2 2" xfId="14931" xr:uid="{00000000-0005-0000-0000-0000533A0000}"/>
    <cellStyle name="Normal 15 2 3" xfId="14932" xr:uid="{00000000-0005-0000-0000-0000543A0000}"/>
    <cellStyle name="Normal 15 2 4" xfId="14933" xr:uid="{00000000-0005-0000-0000-0000553A0000}"/>
    <cellStyle name="Normal 15 3" xfId="14934" xr:uid="{00000000-0005-0000-0000-0000563A0000}"/>
    <cellStyle name="Normal 15 3 2" xfId="14935" xr:uid="{00000000-0005-0000-0000-0000573A0000}"/>
    <cellStyle name="Normal 15 3 3" xfId="14936" xr:uid="{00000000-0005-0000-0000-0000583A0000}"/>
    <cellStyle name="Normal 15 4" xfId="14937" xr:uid="{00000000-0005-0000-0000-0000593A0000}"/>
    <cellStyle name="Normal 15 4 2" xfId="14938" xr:uid="{00000000-0005-0000-0000-00005A3A0000}"/>
    <cellStyle name="Normal 15 4 3" xfId="14939" xr:uid="{00000000-0005-0000-0000-00005B3A0000}"/>
    <cellStyle name="Normal 15 5" xfId="14940" xr:uid="{00000000-0005-0000-0000-00005C3A0000}"/>
    <cellStyle name="Normal 15 5 2" xfId="14941" xr:uid="{00000000-0005-0000-0000-00005D3A0000}"/>
    <cellStyle name="Normal 15 5 3" xfId="14942" xr:uid="{00000000-0005-0000-0000-00005E3A0000}"/>
    <cellStyle name="Normal 15 6" xfId="14943" xr:uid="{00000000-0005-0000-0000-00005F3A0000}"/>
    <cellStyle name="Normal 15 6 2" xfId="14944" xr:uid="{00000000-0005-0000-0000-0000603A0000}"/>
    <cellStyle name="Normal 15 6 3" xfId="14945" xr:uid="{00000000-0005-0000-0000-0000613A0000}"/>
    <cellStyle name="Normal 16" xfId="14946" xr:uid="{00000000-0005-0000-0000-0000623A0000}"/>
    <cellStyle name="Normal 16 2" xfId="14947" xr:uid="{00000000-0005-0000-0000-0000633A0000}"/>
    <cellStyle name="Normal 17" xfId="14948" xr:uid="{00000000-0005-0000-0000-0000643A0000}"/>
    <cellStyle name="Normal 18" xfId="14949" xr:uid="{00000000-0005-0000-0000-0000653A0000}"/>
    <cellStyle name="Normal 19" xfId="14950" xr:uid="{00000000-0005-0000-0000-0000663A0000}"/>
    <cellStyle name="Normal 2" xfId="14951" xr:uid="{00000000-0005-0000-0000-0000673A0000}"/>
    <cellStyle name="Normal 2 10" xfId="14952" xr:uid="{00000000-0005-0000-0000-0000683A0000}"/>
    <cellStyle name="Normal 2 11" xfId="14953" xr:uid="{00000000-0005-0000-0000-0000693A0000}"/>
    <cellStyle name="Normal 2 12" xfId="14954" xr:uid="{00000000-0005-0000-0000-00006A3A0000}"/>
    <cellStyle name="Normal 2 13" xfId="14955" xr:uid="{00000000-0005-0000-0000-00006B3A0000}"/>
    <cellStyle name="Normal 2 14" xfId="14956" xr:uid="{00000000-0005-0000-0000-00006C3A0000}"/>
    <cellStyle name="Normal 2 15" xfId="14957" xr:uid="{00000000-0005-0000-0000-00006D3A0000}"/>
    <cellStyle name="Normal 2 15 10" xfId="14958" xr:uid="{00000000-0005-0000-0000-00006E3A0000}"/>
    <cellStyle name="Normal 2 15 10 2" xfId="14959" xr:uid="{00000000-0005-0000-0000-00006F3A0000}"/>
    <cellStyle name="Normal 2 15 10 3" xfId="14960" xr:uid="{00000000-0005-0000-0000-0000703A0000}"/>
    <cellStyle name="Normal 2 15 10 4" xfId="14961" xr:uid="{00000000-0005-0000-0000-0000713A0000}"/>
    <cellStyle name="Normal 2 15 11" xfId="14962" xr:uid="{00000000-0005-0000-0000-0000723A0000}"/>
    <cellStyle name="Normal 2 15 11 2" xfId="14963" xr:uid="{00000000-0005-0000-0000-0000733A0000}"/>
    <cellStyle name="Normal 2 15 11 3" xfId="14964" xr:uid="{00000000-0005-0000-0000-0000743A0000}"/>
    <cellStyle name="Normal 2 15 12" xfId="14965" xr:uid="{00000000-0005-0000-0000-0000753A0000}"/>
    <cellStyle name="Normal 2 15 12 2" xfId="14966" xr:uid="{00000000-0005-0000-0000-0000763A0000}"/>
    <cellStyle name="Normal 2 15 12 3" xfId="14967" xr:uid="{00000000-0005-0000-0000-0000773A0000}"/>
    <cellStyle name="Normal 2 15 2" xfId="14968" xr:uid="{00000000-0005-0000-0000-0000783A0000}"/>
    <cellStyle name="Normal 2 15 2 2" xfId="14969" xr:uid="{00000000-0005-0000-0000-0000793A0000}"/>
    <cellStyle name="Normal 2 15 2 2 2" xfId="14970" xr:uid="{00000000-0005-0000-0000-00007A3A0000}"/>
    <cellStyle name="Normal 2 15 2 2 2 2" xfId="14971" xr:uid="{00000000-0005-0000-0000-00007B3A0000}"/>
    <cellStyle name="Normal 2 15 2 2 3" xfId="14972" xr:uid="{00000000-0005-0000-0000-00007C3A0000}"/>
    <cellStyle name="Normal 2 15 2 3" xfId="14973" xr:uid="{00000000-0005-0000-0000-00007D3A0000}"/>
    <cellStyle name="Normal 2 15 3" xfId="14974" xr:uid="{00000000-0005-0000-0000-00007E3A0000}"/>
    <cellStyle name="Normal 2 15 3 2" xfId="14975" xr:uid="{00000000-0005-0000-0000-00007F3A0000}"/>
    <cellStyle name="Normal 2 15 4" xfId="14976" xr:uid="{00000000-0005-0000-0000-0000803A0000}"/>
    <cellStyle name="Normal 2 15 4 2" xfId="14977" xr:uid="{00000000-0005-0000-0000-0000813A0000}"/>
    <cellStyle name="Normal 2 15 5" xfId="14978" xr:uid="{00000000-0005-0000-0000-0000823A0000}"/>
    <cellStyle name="Normal 2 15 5 2" xfId="14979" xr:uid="{00000000-0005-0000-0000-0000833A0000}"/>
    <cellStyle name="Normal 2 15 6" xfId="14980" xr:uid="{00000000-0005-0000-0000-0000843A0000}"/>
    <cellStyle name="Normal 2 15 6 2" xfId="14981" xr:uid="{00000000-0005-0000-0000-0000853A0000}"/>
    <cellStyle name="Normal 2 15 7" xfId="14982" xr:uid="{00000000-0005-0000-0000-0000863A0000}"/>
    <cellStyle name="Normal 2 15 8" xfId="14983" xr:uid="{00000000-0005-0000-0000-0000873A0000}"/>
    <cellStyle name="Normal 2 15 8 2" xfId="14984" xr:uid="{00000000-0005-0000-0000-0000883A0000}"/>
    <cellStyle name="Normal 2 15 8 3" xfId="14985" xr:uid="{00000000-0005-0000-0000-0000893A0000}"/>
    <cellStyle name="Normal 2 15 8 4" xfId="14986" xr:uid="{00000000-0005-0000-0000-00008A3A0000}"/>
    <cellStyle name="Normal 2 15 9" xfId="14987" xr:uid="{00000000-0005-0000-0000-00008B3A0000}"/>
    <cellStyle name="Normal 2 15 9 2" xfId="14988" xr:uid="{00000000-0005-0000-0000-00008C3A0000}"/>
    <cellStyle name="Normal 2 15 9 3" xfId="14989" xr:uid="{00000000-0005-0000-0000-00008D3A0000}"/>
    <cellStyle name="Normal 2 15 9 4" xfId="14990" xr:uid="{00000000-0005-0000-0000-00008E3A0000}"/>
    <cellStyle name="Normal 2 16" xfId="14991" xr:uid="{00000000-0005-0000-0000-00008F3A0000}"/>
    <cellStyle name="Normal 2 16 2" xfId="14992" xr:uid="{00000000-0005-0000-0000-0000903A0000}"/>
    <cellStyle name="Normal 2 16 2 2" xfId="14993" xr:uid="{00000000-0005-0000-0000-0000913A0000}"/>
    <cellStyle name="Normal 2 16 2 2 2" xfId="14994" xr:uid="{00000000-0005-0000-0000-0000923A0000}"/>
    <cellStyle name="Normal 2 16 2 2 3" xfId="14995" xr:uid="{00000000-0005-0000-0000-0000933A0000}"/>
    <cellStyle name="Normal 2 16 2 2 4" xfId="14996" xr:uid="{00000000-0005-0000-0000-0000943A0000}"/>
    <cellStyle name="Normal 2 16 2 3" xfId="14997" xr:uid="{00000000-0005-0000-0000-0000953A0000}"/>
    <cellStyle name="Normal 2 16 2 4" xfId="14998" xr:uid="{00000000-0005-0000-0000-0000963A0000}"/>
    <cellStyle name="Normal 2 16 3" xfId="14999" xr:uid="{00000000-0005-0000-0000-0000973A0000}"/>
    <cellStyle name="Normal 2 16 4" xfId="15000" xr:uid="{00000000-0005-0000-0000-0000983A0000}"/>
    <cellStyle name="Normal 2 16 4 2" xfId="15001" xr:uid="{00000000-0005-0000-0000-0000993A0000}"/>
    <cellStyle name="Normal 2 16 5" xfId="15002" xr:uid="{00000000-0005-0000-0000-00009A3A0000}"/>
    <cellStyle name="Normal 2 17" xfId="15003" xr:uid="{00000000-0005-0000-0000-00009B3A0000}"/>
    <cellStyle name="Normal 2 17 2" xfId="15004" xr:uid="{00000000-0005-0000-0000-00009C3A0000}"/>
    <cellStyle name="Normal 2 17 2 2" xfId="15005" xr:uid="{00000000-0005-0000-0000-00009D3A0000}"/>
    <cellStyle name="Normal 2 17 2 2 2" xfId="15006" xr:uid="{00000000-0005-0000-0000-00009E3A0000}"/>
    <cellStyle name="Normal 2 17 2 3" xfId="15007" xr:uid="{00000000-0005-0000-0000-00009F3A0000}"/>
    <cellStyle name="Normal 2 17 3" xfId="15008" xr:uid="{00000000-0005-0000-0000-0000A03A0000}"/>
    <cellStyle name="Normal 2 17 3 2" xfId="15009" xr:uid="{00000000-0005-0000-0000-0000A13A0000}"/>
    <cellStyle name="Normal 2 17 4" xfId="15010" xr:uid="{00000000-0005-0000-0000-0000A23A0000}"/>
    <cellStyle name="Normal 2 17 4 2" xfId="15011" xr:uid="{00000000-0005-0000-0000-0000A33A0000}"/>
    <cellStyle name="Normal 2 17 5" xfId="15012" xr:uid="{00000000-0005-0000-0000-0000A43A0000}"/>
    <cellStyle name="Normal 2 18" xfId="15013" xr:uid="{00000000-0005-0000-0000-0000A53A0000}"/>
    <cellStyle name="Normal 2 18 2" xfId="15014" xr:uid="{00000000-0005-0000-0000-0000A63A0000}"/>
    <cellStyle name="Normal 2 18 2 2" xfId="15015" xr:uid="{00000000-0005-0000-0000-0000A73A0000}"/>
    <cellStyle name="Normal 2 18 2 2 2" xfId="15016" xr:uid="{00000000-0005-0000-0000-0000A83A0000}"/>
    <cellStyle name="Normal 2 18 2 3" xfId="15017" xr:uid="{00000000-0005-0000-0000-0000A93A0000}"/>
    <cellStyle name="Normal 2 18 3" xfId="15018" xr:uid="{00000000-0005-0000-0000-0000AA3A0000}"/>
    <cellStyle name="Normal 2 18 3 2" xfId="15019" xr:uid="{00000000-0005-0000-0000-0000AB3A0000}"/>
    <cellStyle name="Normal 2 18 4" xfId="15020" xr:uid="{00000000-0005-0000-0000-0000AC3A0000}"/>
    <cellStyle name="Normal 2 18 4 2" xfId="15021" xr:uid="{00000000-0005-0000-0000-0000AD3A0000}"/>
    <cellStyle name="Normal 2 18 5" xfId="15022" xr:uid="{00000000-0005-0000-0000-0000AE3A0000}"/>
    <cellStyle name="Normal 2 19" xfId="15023" xr:uid="{00000000-0005-0000-0000-0000AF3A0000}"/>
    <cellStyle name="Normal 2 19 2" xfId="15024" xr:uid="{00000000-0005-0000-0000-0000B03A0000}"/>
    <cellStyle name="Normal 2 19 2 2" xfId="15025" xr:uid="{00000000-0005-0000-0000-0000B13A0000}"/>
    <cellStyle name="Normal 2 19 2 2 2" xfId="15026" xr:uid="{00000000-0005-0000-0000-0000B23A0000}"/>
    <cellStyle name="Normal 2 19 2 3" xfId="15027" xr:uid="{00000000-0005-0000-0000-0000B33A0000}"/>
    <cellStyle name="Normal 2 19 3" xfId="15028" xr:uid="{00000000-0005-0000-0000-0000B43A0000}"/>
    <cellStyle name="Normal 2 19 3 2" xfId="15029" xr:uid="{00000000-0005-0000-0000-0000B53A0000}"/>
    <cellStyle name="Normal 2 19 4" xfId="15030" xr:uid="{00000000-0005-0000-0000-0000B63A0000}"/>
    <cellStyle name="Normal 2 19 4 2" xfId="15031" xr:uid="{00000000-0005-0000-0000-0000B73A0000}"/>
    <cellStyle name="Normal 2 19 5" xfId="15032" xr:uid="{00000000-0005-0000-0000-0000B83A0000}"/>
    <cellStyle name="Normal 2 2" xfId="15033" xr:uid="{00000000-0005-0000-0000-0000B93A0000}"/>
    <cellStyle name="Normal 2 2 10" xfId="15034" xr:uid="{00000000-0005-0000-0000-0000BA3A0000}"/>
    <cellStyle name="Normal 2 2 10 2" xfId="15035" xr:uid="{00000000-0005-0000-0000-0000BB3A0000}"/>
    <cellStyle name="Normal 2 2 10 2 2" xfId="15036" xr:uid="{00000000-0005-0000-0000-0000BC3A0000}"/>
    <cellStyle name="Normal 2 2 10 3" xfId="15037" xr:uid="{00000000-0005-0000-0000-0000BD3A0000}"/>
    <cellStyle name="Normal 2 2 10 3 2" xfId="15038" xr:uid="{00000000-0005-0000-0000-0000BE3A0000}"/>
    <cellStyle name="Normal 2 2 10 4" xfId="15039" xr:uid="{00000000-0005-0000-0000-0000BF3A0000}"/>
    <cellStyle name="Normal 2 2 10 4 2" xfId="15040" xr:uid="{00000000-0005-0000-0000-0000C03A0000}"/>
    <cellStyle name="Normal 2 2 10 5" xfId="15041" xr:uid="{00000000-0005-0000-0000-0000C13A0000}"/>
    <cellStyle name="Normal 2 2 11" xfId="15042" xr:uid="{00000000-0005-0000-0000-0000C23A0000}"/>
    <cellStyle name="Normal 2 2 11 2" xfId="15043" xr:uid="{00000000-0005-0000-0000-0000C33A0000}"/>
    <cellStyle name="Normal 2 2 12" xfId="15044" xr:uid="{00000000-0005-0000-0000-0000C43A0000}"/>
    <cellStyle name="Normal 2 2 12 2" xfId="15045" xr:uid="{00000000-0005-0000-0000-0000C53A0000}"/>
    <cellStyle name="Normal 2 2 12 2 2" xfId="15046" xr:uid="{00000000-0005-0000-0000-0000C63A0000}"/>
    <cellStyle name="Normal 2 2 12 2 2 2" xfId="15047" xr:uid="{00000000-0005-0000-0000-0000C73A0000}"/>
    <cellStyle name="Normal 2 2 12 2 3" xfId="15048" xr:uid="{00000000-0005-0000-0000-0000C83A0000}"/>
    <cellStyle name="Normal 2 2 12 2 3 2" xfId="15049" xr:uid="{00000000-0005-0000-0000-0000C93A0000}"/>
    <cellStyle name="Normal 2 2 12 3" xfId="15050" xr:uid="{00000000-0005-0000-0000-0000CA3A0000}"/>
    <cellStyle name="Normal 2 2 12 3 2" xfId="15051" xr:uid="{00000000-0005-0000-0000-0000CB3A0000}"/>
    <cellStyle name="Normal 2 2 12 3 2 2" xfId="15052" xr:uid="{00000000-0005-0000-0000-0000CC3A0000}"/>
    <cellStyle name="Normal 2 2 12 4" xfId="15053" xr:uid="{00000000-0005-0000-0000-0000CD3A0000}"/>
    <cellStyle name="Normal 2 2 12 4 2" xfId="15054" xr:uid="{00000000-0005-0000-0000-0000CE3A0000}"/>
    <cellStyle name="Normal 2 2 12 5" xfId="15055" xr:uid="{00000000-0005-0000-0000-0000CF3A0000}"/>
    <cellStyle name="Normal 2 2 13" xfId="15056" xr:uid="{00000000-0005-0000-0000-0000D03A0000}"/>
    <cellStyle name="Normal 2 2 13 2" xfId="15057" xr:uid="{00000000-0005-0000-0000-0000D13A0000}"/>
    <cellStyle name="Normal 2 2 13 2 2" xfId="15058" xr:uid="{00000000-0005-0000-0000-0000D23A0000}"/>
    <cellStyle name="Normal 2 2 13 3" xfId="15059" xr:uid="{00000000-0005-0000-0000-0000D33A0000}"/>
    <cellStyle name="Normal 2 2 13 3 2" xfId="15060" xr:uid="{00000000-0005-0000-0000-0000D43A0000}"/>
    <cellStyle name="Normal 2 2 13 4" xfId="15061" xr:uid="{00000000-0005-0000-0000-0000D53A0000}"/>
    <cellStyle name="Normal 2 2 13 4 2" xfId="15062" xr:uid="{00000000-0005-0000-0000-0000D63A0000}"/>
    <cellStyle name="Normal 2 2 13 5" xfId="15063" xr:uid="{00000000-0005-0000-0000-0000D73A0000}"/>
    <cellStyle name="Normal 2 2 14" xfId="15064" xr:uid="{00000000-0005-0000-0000-0000D83A0000}"/>
    <cellStyle name="Normal 2 2 14 2" xfId="15065" xr:uid="{00000000-0005-0000-0000-0000D93A0000}"/>
    <cellStyle name="Normal 2 2 14 3" xfId="15066" xr:uid="{00000000-0005-0000-0000-0000DA3A0000}"/>
    <cellStyle name="Normal 2 2 14 4" xfId="15067" xr:uid="{00000000-0005-0000-0000-0000DB3A0000}"/>
    <cellStyle name="Normal 2 2 15" xfId="15068" xr:uid="{00000000-0005-0000-0000-0000DC3A0000}"/>
    <cellStyle name="Normal 2 2 15 2" xfId="15069" xr:uid="{00000000-0005-0000-0000-0000DD3A0000}"/>
    <cellStyle name="Normal 2 2 15 3" xfId="15070" xr:uid="{00000000-0005-0000-0000-0000DE3A0000}"/>
    <cellStyle name="Normal 2 2 15 4" xfId="15071" xr:uid="{00000000-0005-0000-0000-0000DF3A0000}"/>
    <cellStyle name="Normal 2 2 16" xfId="15072" xr:uid="{00000000-0005-0000-0000-0000E03A0000}"/>
    <cellStyle name="Normal 2 2 16 2" xfId="15073" xr:uid="{00000000-0005-0000-0000-0000E13A0000}"/>
    <cellStyle name="Normal 2 2 16 3" xfId="15074" xr:uid="{00000000-0005-0000-0000-0000E23A0000}"/>
    <cellStyle name="Normal 2 2 16 4" xfId="15075" xr:uid="{00000000-0005-0000-0000-0000E33A0000}"/>
    <cellStyle name="Normal 2 2 17" xfId="15076" xr:uid="{00000000-0005-0000-0000-0000E43A0000}"/>
    <cellStyle name="Normal 2 2 17 2" xfId="15077" xr:uid="{00000000-0005-0000-0000-0000E53A0000}"/>
    <cellStyle name="Normal 2 2 17 3" xfId="15078" xr:uid="{00000000-0005-0000-0000-0000E63A0000}"/>
    <cellStyle name="Normal 2 2 17 4" xfId="15079" xr:uid="{00000000-0005-0000-0000-0000E73A0000}"/>
    <cellStyle name="Normal 2 2 18" xfId="15080" xr:uid="{00000000-0005-0000-0000-0000E83A0000}"/>
    <cellStyle name="Normal 2 2 18 2" xfId="15081" xr:uid="{00000000-0005-0000-0000-0000E93A0000}"/>
    <cellStyle name="Normal 2 2 18 3" xfId="15082" xr:uid="{00000000-0005-0000-0000-0000EA3A0000}"/>
    <cellStyle name="Normal 2 2 19" xfId="15083" xr:uid="{00000000-0005-0000-0000-0000EB3A0000}"/>
    <cellStyle name="Normal 2 2 19 2" xfId="15084" xr:uid="{00000000-0005-0000-0000-0000EC3A0000}"/>
    <cellStyle name="Normal 2 2 19 3" xfId="15085" xr:uid="{00000000-0005-0000-0000-0000ED3A0000}"/>
    <cellStyle name="Normal 2 2 2" xfId="15086" xr:uid="{00000000-0005-0000-0000-0000EE3A0000}"/>
    <cellStyle name="Normal 2 2 2 10" xfId="15087" xr:uid="{00000000-0005-0000-0000-0000EF3A0000}"/>
    <cellStyle name="Normal 2 2 2 10 2" xfId="15088" xr:uid="{00000000-0005-0000-0000-0000F03A0000}"/>
    <cellStyle name="Normal 2 2 2 11" xfId="15089" xr:uid="{00000000-0005-0000-0000-0000F13A0000}"/>
    <cellStyle name="Normal 2 2 2 11 2" xfId="15090" xr:uid="{00000000-0005-0000-0000-0000F23A0000}"/>
    <cellStyle name="Normal 2 2 2 12" xfId="15091" xr:uid="{00000000-0005-0000-0000-0000F33A0000}"/>
    <cellStyle name="Normal 2 2 2 12 2" xfId="15092" xr:uid="{00000000-0005-0000-0000-0000F43A0000}"/>
    <cellStyle name="Normal 2 2 2 13" xfId="15093" xr:uid="{00000000-0005-0000-0000-0000F53A0000}"/>
    <cellStyle name="Normal 2 2 2 13 2" xfId="15094" xr:uid="{00000000-0005-0000-0000-0000F63A0000}"/>
    <cellStyle name="Normal 2 2 2 14" xfId="15095" xr:uid="{00000000-0005-0000-0000-0000F73A0000}"/>
    <cellStyle name="Normal 2 2 2 14 2" xfId="15096" xr:uid="{00000000-0005-0000-0000-0000F83A0000}"/>
    <cellStyle name="Normal 2 2 2 14 3" xfId="15097" xr:uid="{00000000-0005-0000-0000-0000F93A0000}"/>
    <cellStyle name="Normal 2 2 2 14 4" xfId="15098" xr:uid="{00000000-0005-0000-0000-0000FA3A0000}"/>
    <cellStyle name="Normal 2 2 2 15" xfId="15099" xr:uid="{00000000-0005-0000-0000-0000FB3A0000}"/>
    <cellStyle name="Normal 2 2 2 15 2" xfId="15100" xr:uid="{00000000-0005-0000-0000-0000FC3A0000}"/>
    <cellStyle name="Normal 2 2 2 15 3" xfId="15101" xr:uid="{00000000-0005-0000-0000-0000FD3A0000}"/>
    <cellStyle name="Normal 2 2 2 15 4" xfId="15102" xr:uid="{00000000-0005-0000-0000-0000FE3A0000}"/>
    <cellStyle name="Normal 2 2 2 16" xfId="15103" xr:uid="{00000000-0005-0000-0000-0000FF3A0000}"/>
    <cellStyle name="Normal 2 2 2 16 2" xfId="15104" xr:uid="{00000000-0005-0000-0000-0000003B0000}"/>
    <cellStyle name="Normal 2 2 2 16 3" xfId="15105" xr:uid="{00000000-0005-0000-0000-0000013B0000}"/>
    <cellStyle name="Normal 2 2 2 16 4" xfId="15106" xr:uid="{00000000-0005-0000-0000-0000023B0000}"/>
    <cellStyle name="Normal 2 2 2 17" xfId="15107" xr:uid="{00000000-0005-0000-0000-0000033B0000}"/>
    <cellStyle name="Normal 2 2 2 17 2" xfId="15108" xr:uid="{00000000-0005-0000-0000-0000043B0000}"/>
    <cellStyle name="Normal 2 2 2 17 3" xfId="15109" xr:uid="{00000000-0005-0000-0000-0000053B0000}"/>
    <cellStyle name="Normal 2 2 2 17 4" xfId="15110" xr:uid="{00000000-0005-0000-0000-0000063B0000}"/>
    <cellStyle name="Normal 2 2 2 18" xfId="15111" xr:uid="{00000000-0005-0000-0000-0000073B0000}"/>
    <cellStyle name="Normal 2 2 2 18 2" xfId="15112" xr:uid="{00000000-0005-0000-0000-0000083B0000}"/>
    <cellStyle name="Normal 2 2 2 18 3" xfId="15113" xr:uid="{00000000-0005-0000-0000-0000093B0000}"/>
    <cellStyle name="Normal 2 2 2 19" xfId="15114" xr:uid="{00000000-0005-0000-0000-00000A3B0000}"/>
    <cellStyle name="Normal 2 2 2 19 2" xfId="15115" xr:uid="{00000000-0005-0000-0000-00000B3B0000}"/>
    <cellStyle name="Normal 2 2 2 19 3" xfId="15116" xr:uid="{00000000-0005-0000-0000-00000C3B0000}"/>
    <cellStyle name="Normal 2 2 2 2" xfId="15117" xr:uid="{00000000-0005-0000-0000-00000D3B0000}"/>
    <cellStyle name="Normal 2 2 2 2 10" xfId="15118" xr:uid="{00000000-0005-0000-0000-00000E3B0000}"/>
    <cellStyle name="Normal 2 2 2 2 11" xfId="15119" xr:uid="{00000000-0005-0000-0000-00000F3B0000}"/>
    <cellStyle name="Normal 2 2 2 2 12" xfId="15120" xr:uid="{00000000-0005-0000-0000-0000103B0000}"/>
    <cellStyle name="Normal 2 2 2 2 13" xfId="15121" xr:uid="{00000000-0005-0000-0000-0000113B0000}"/>
    <cellStyle name="Normal 2 2 2 2 2" xfId="15122" xr:uid="{00000000-0005-0000-0000-0000123B0000}"/>
    <cellStyle name="Normal 2 2 2 2 2 10" xfId="15123" xr:uid="{00000000-0005-0000-0000-0000133B0000}"/>
    <cellStyle name="Normal 2 2 2 2 2 11" xfId="15124" xr:uid="{00000000-0005-0000-0000-0000143B0000}"/>
    <cellStyle name="Normal 2 2 2 2 2 12" xfId="15125" xr:uid="{00000000-0005-0000-0000-0000153B0000}"/>
    <cellStyle name="Normal 2 2 2 2 2 13" xfId="15126" xr:uid="{00000000-0005-0000-0000-0000163B0000}"/>
    <cellStyle name="Normal 2 2 2 2 2 2" xfId="15127" xr:uid="{00000000-0005-0000-0000-0000173B0000}"/>
    <cellStyle name="Normal 2 2 2 2 2 2 10" xfId="15128" xr:uid="{00000000-0005-0000-0000-0000183B0000}"/>
    <cellStyle name="Normal 2 2 2 2 2 2 11" xfId="15129" xr:uid="{00000000-0005-0000-0000-0000193B0000}"/>
    <cellStyle name="Normal 2 2 2 2 2 2 2" xfId="15130" xr:uid="{00000000-0005-0000-0000-00001A3B0000}"/>
    <cellStyle name="Normal 2 2 2 2 2 2 2 10" xfId="15131" xr:uid="{00000000-0005-0000-0000-00001B3B0000}"/>
    <cellStyle name="Normal 2 2 2 2 2 2 2 11" xfId="15132" xr:uid="{00000000-0005-0000-0000-00001C3B0000}"/>
    <cellStyle name="Normal 2 2 2 2 2 2 2 2" xfId="15133" xr:uid="{00000000-0005-0000-0000-00001D3B0000}"/>
    <cellStyle name="Normal 2 2 2 2 2 2 2 2 2" xfId="15134" xr:uid="{00000000-0005-0000-0000-00001E3B0000}"/>
    <cellStyle name="Normal 2 2 2 2 2 2 2 2 2 2" xfId="15135" xr:uid="{00000000-0005-0000-0000-00001F3B0000}"/>
    <cellStyle name="Normal 2 2 2 2 2 2 2 2 2 2 2" xfId="15136" xr:uid="{00000000-0005-0000-0000-0000203B0000}"/>
    <cellStyle name="Normal 2 2 2 2 2 2 2 2 2 2 2 2" xfId="15137" xr:uid="{00000000-0005-0000-0000-0000213B0000}"/>
    <cellStyle name="Normal 2 2 2 2 2 2 2 2 2 2 2 2 2" xfId="15138" xr:uid="{00000000-0005-0000-0000-0000223B0000}"/>
    <cellStyle name="Normal 2 2 2 2 2 2 2 2 2 2 2 2 2 2" xfId="15139" xr:uid="{00000000-0005-0000-0000-0000233B0000}"/>
    <cellStyle name="Normal 2 2 2 2 2 2 2 2 2 2 3" xfId="15140" xr:uid="{00000000-0005-0000-0000-0000243B0000}"/>
    <cellStyle name="Normal 2 2 2 2 2 2 2 2 2 3" xfId="15141" xr:uid="{00000000-0005-0000-0000-0000253B0000}"/>
    <cellStyle name="Normal 2 2 2 2 2 2 2 2 3" xfId="15142" xr:uid="{00000000-0005-0000-0000-0000263B0000}"/>
    <cellStyle name="Normal 2 2 2 2 2 2 2 2 4" xfId="15143" xr:uid="{00000000-0005-0000-0000-0000273B0000}"/>
    <cellStyle name="Normal 2 2 2 2 2 2 2 2 5" xfId="15144" xr:uid="{00000000-0005-0000-0000-0000283B0000}"/>
    <cellStyle name="Normal 2 2 2 2 2 2 2 2 6" xfId="15145" xr:uid="{00000000-0005-0000-0000-0000293B0000}"/>
    <cellStyle name="Normal 2 2 2 2 2 2 2 2 7" xfId="15146" xr:uid="{00000000-0005-0000-0000-00002A3B0000}"/>
    <cellStyle name="Normal 2 2 2 2 2 2 2 3" xfId="15147" xr:uid="{00000000-0005-0000-0000-00002B3B0000}"/>
    <cellStyle name="Normal 2 2 2 2 2 2 2 3 2" xfId="15148" xr:uid="{00000000-0005-0000-0000-00002C3B0000}"/>
    <cellStyle name="Normal 2 2 2 2 2 2 2 4" xfId="15149" xr:uid="{00000000-0005-0000-0000-00002D3B0000}"/>
    <cellStyle name="Normal 2 2 2 2 2 2 2 5" xfId="15150" xr:uid="{00000000-0005-0000-0000-00002E3B0000}"/>
    <cellStyle name="Normal 2 2 2 2 2 2 2 6" xfId="15151" xr:uid="{00000000-0005-0000-0000-00002F3B0000}"/>
    <cellStyle name="Normal 2 2 2 2 2 2 2 7" xfId="15152" xr:uid="{00000000-0005-0000-0000-0000303B0000}"/>
    <cellStyle name="Normal 2 2 2 2 2 2 2 8" xfId="15153" xr:uid="{00000000-0005-0000-0000-0000313B0000}"/>
    <cellStyle name="Normal 2 2 2 2 2 2 2 9" xfId="15154" xr:uid="{00000000-0005-0000-0000-0000323B0000}"/>
    <cellStyle name="Normal 2 2 2 2 2 2 3" xfId="15155" xr:uid="{00000000-0005-0000-0000-0000333B0000}"/>
    <cellStyle name="Normal 2 2 2 2 2 2 3 2" xfId="15156" xr:uid="{00000000-0005-0000-0000-0000343B0000}"/>
    <cellStyle name="Normal 2 2 2 2 2 2 3 2 2" xfId="15157" xr:uid="{00000000-0005-0000-0000-0000353B0000}"/>
    <cellStyle name="Normal 2 2 2 2 2 2 3 2 2 2" xfId="15158" xr:uid="{00000000-0005-0000-0000-0000363B0000}"/>
    <cellStyle name="Normal 2 2 2 2 2 2 3 3" xfId="15159" xr:uid="{00000000-0005-0000-0000-0000373B0000}"/>
    <cellStyle name="Normal 2 2 2 2 2 2 3 4" xfId="15160" xr:uid="{00000000-0005-0000-0000-0000383B0000}"/>
    <cellStyle name="Normal 2 2 2 2 2 2 3 5" xfId="15161" xr:uid="{00000000-0005-0000-0000-0000393B0000}"/>
    <cellStyle name="Normal 2 2 2 2 2 2 3 6" xfId="15162" xr:uid="{00000000-0005-0000-0000-00003A3B0000}"/>
    <cellStyle name="Normal 2 2 2 2 2 2 3 7" xfId="15163" xr:uid="{00000000-0005-0000-0000-00003B3B0000}"/>
    <cellStyle name="Normal 2 2 2 2 2 2 4" xfId="15164" xr:uid="{00000000-0005-0000-0000-00003C3B0000}"/>
    <cellStyle name="Normal 2 2 2 2 2 2 4 2" xfId="15165" xr:uid="{00000000-0005-0000-0000-00003D3B0000}"/>
    <cellStyle name="Normal 2 2 2 2 2 2 4 2 2" xfId="15166" xr:uid="{00000000-0005-0000-0000-00003E3B0000}"/>
    <cellStyle name="Normal 2 2 2 2 2 2 4 2 2 2" xfId="15167" xr:uid="{00000000-0005-0000-0000-00003F3B0000}"/>
    <cellStyle name="Normal 2 2 2 2 2 2 4 3" xfId="15168" xr:uid="{00000000-0005-0000-0000-0000403B0000}"/>
    <cellStyle name="Normal 2 2 2 2 2 2 4 4" xfId="15169" xr:uid="{00000000-0005-0000-0000-0000413B0000}"/>
    <cellStyle name="Normal 2 2 2 2 2 2 5" xfId="15170" xr:uid="{00000000-0005-0000-0000-0000423B0000}"/>
    <cellStyle name="Normal 2 2 2 2 2 2 5 2" xfId="15171" xr:uid="{00000000-0005-0000-0000-0000433B0000}"/>
    <cellStyle name="Normal 2 2 2 2 2 2 5 3" xfId="15172" xr:uid="{00000000-0005-0000-0000-0000443B0000}"/>
    <cellStyle name="Normal 2 2 2 2 2 2 6" xfId="15173" xr:uid="{00000000-0005-0000-0000-0000453B0000}"/>
    <cellStyle name="Normal 2 2 2 2 2 2 7" xfId="15174" xr:uid="{00000000-0005-0000-0000-0000463B0000}"/>
    <cellStyle name="Normal 2 2 2 2 2 2 8" xfId="15175" xr:uid="{00000000-0005-0000-0000-0000473B0000}"/>
    <cellStyle name="Normal 2 2 2 2 2 2 9" xfId="15176" xr:uid="{00000000-0005-0000-0000-0000483B0000}"/>
    <cellStyle name="Normal 2 2 2 2 2 2_Accounting system 09" xfId="15177" xr:uid="{00000000-0005-0000-0000-0000493B0000}"/>
    <cellStyle name="Normal 2 2 2 2 2 3" xfId="15178" xr:uid="{00000000-0005-0000-0000-00004A3B0000}"/>
    <cellStyle name="Normal 2 2 2 2 2 4" xfId="15179" xr:uid="{00000000-0005-0000-0000-00004B3B0000}"/>
    <cellStyle name="Normal 2 2 2 2 2 4 2" xfId="15180" xr:uid="{00000000-0005-0000-0000-00004C3B0000}"/>
    <cellStyle name="Normal 2 2 2 2 2 4 2 2" xfId="15181" xr:uid="{00000000-0005-0000-0000-00004D3B0000}"/>
    <cellStyle name="Normal 2 2 2 2 2 4 2 3" xfId="15182" xr:uid="{00000000-0005-0000-0000-00004E3B0000}"/>
    <cellStyle name="Normal 2 2 2 2 2 4 3" xfId="15183" xr:uid="{00000000-0005-0000-0000-00004F3B0000}"/>
    <cellStyle name="Normal 2 2 2 2 2 4 4" xfId="15184" xr:uid="{00000000-0005-0000-0000-0000503B0000}"/>
    <cellStyle name="Normal 2 2 2 2 2 5" xfId="15185" xr:uid="{00000000-0005-0000-0000-0000513B0000}"/>
    <cellStyle name="Normal 2 2 2 2 2 5 2" xfId="15186" xr:uid="{00000000-0005-0000-0000-0000523B0000}"/>
    <cellStyle name="Normal 2 2 2 2 2 5 2 2" xfId="15187" xr:uid="{00000000-0005-0000-0000-0000533B0000}"/>
    <cellStyle name="Normal 2 2 2 2 2 5 2 3" xfId="15188" xr:uid="{00000000-0005-0000-0000-0000543B0000}"/>
    <cellStyle name="Normal 2 2 2 2 2 5 3" xfId="15189" xr:uid="{00000000-0005-0000-0000-0000553B0000}"/>
    <cellStyle name="Normal 2 2 2 2 2 5 4" xfId="15190" xr:uid="{00000000-0005-0000-0000-0000563B0000}"/>
    <cellStyle name="Normal 2 2 2 2 2 6" xfId="15191" xr:uid="{00000000-0005-0000-0000-0000573B0000}"/>
    <cellStyle name="Normal 2 2 2 2 2 6 2" xfId="15192" xr:uid="{00000000-0005-0000-0000-0000583B0000}"/>
    <cellStyle name="Normal 2 2 2 2 2 6 2 2" xfId="15193" xr:uid="{00000000-0005-0000-0000-0000593B0000}"/>
    <cellStyle name="Normal 2 2 2 2 2 6 2 2 2" xfId="15194" xr:uid="{00000000-0005-0000-0000-00005A3B0000}"/>
    <cellStyle name="Normal 2 2 2 2 2 6 3" xfId="15195" xr:uid="{00000000-0005-0000-0000-00005B3B0000}"/>
    <cellStyle name="Normal 2 2 2 2 2 6 4" xfId="15196" xr:uid="{00000000-0005-0000-0000-00005C3B0000}"/>
    <cellStyle name="Normal 2 2 2 2 2 6 5" xfId="15197" xr:uid="{00000000-0005-0000-0000-00005D3B0000}"/>
    <cellStyle name="Normal 2 2 2 2 2 6 6" xfId="15198" xr:uid="{00000000-0005-0000-0000-00005E3B0000}"/>
    <cellStyle name="Normal 2 2 2 2 2 6 7" xfId="15199" xr:uid="{00000000-0005-0000-0000-00005F3B0000}"/>
    <cellStyle name="Normal 2 2 2 2 2 7" xfId="15200" xr:uid="{00000000-0005-0000-0000-0000603B0000}"/>
    <cellStyle name="Normal 2 2 2 2 2 8" xfId="15201" xr:uid="{00000000-0005-0000-0000-0000613B0000}"/>
    <cellStyle name="Normal 2 2 2 2 2 9" xfId="15202" xr:uid="{00000000-0005-0000-0000-0000623B0000}"/>
    <cellStyle name="Normal 2 2 2 2 2_ECAMIC quarterly Financial Report" xfId="15203" xr:uid="{00000000-0005-0000-0000-0000633B0000}"/>
    <cellStyle name="Normal 2 2 2 2 3" xfId="15204" xr:uid="{00000000-0005-0000-0000-0000643B0000}"/>
    <cellStyle name="Normal 2 2 2 2 4" xfId="15205" xr:uid="{00000000-0005-0000-0000-0000653B0000}"/>
    <cellStyle name="Normal 2 2 2 2 4 2" xfId="15206" xr:uid="{00000000-0005-0000-0000-0000663B0000}"/>
    <cellStyle name="Normal 2 2 2 2 4 2 2" xfId="15207" xr:uid="{00000000-0005-0000-0000-0000673B0000}"/>
    <cellStyle name="Normal 2 2 2 2 4 2 3" xfId="15208" xr:uid="{00000000-0005-0000-0000-0000683B0000}"/>
    <cellStyle name="Normal 2 2 2 2 4 3" xfId="15209" xr:uid="{00000000-0005-0000-0000-0000693B0000}"/>
    <cellStyle name="Normal 2 2 2 2 4 4" xfId="15210" xr:uid="{00000000-0005-0000-0000-00006A3B0000}"/>
    <cellStyle name="Normal 2 2 2 2 5" xfId="15211" xr:uid="{00000000-0005-0000-0000-00006B3B0000}"/>
    <cellStyle name="Normal 2 2 2 2 5 2" xfId="15212" xr:uid="{00000000-0005-0000-0000-00006C3B0000}"/>
    <cellStyle name="Normal 2 2 2 2 5 2 2" xfId="15213" xr:uid="{00000000-0005-0000-0000-00006D3B0000}"/>
    <cellStyle name="Normal 2 2 2 2 5 2 3" xfId="15214" xr:uid="{00000000-0005-0000-0000-00006E3B0000}"/>
    <cellStyle name="Normal 2 2 2 2 5 3" xfId="15215" xr:uid="{00000000-0005-0000-0000-00006F3B0000}"/>
    <cellStyle name="Normal 2 2 2 2 5 4" xfId="15216" xr:uid="{00000000-0005-0000-0000-0000703B0000}"/>
    <cellStyle name="Normal 2 2 2 2 6" xfId="15217" xr:uid="{00000000-0005-0000-0000-0000713B0000}"/>
    <cellStyle name="Normal 2 2 2 2 6 2" xfId="15218" xr:uid="{00000000-0005-0000-0000-0000723B0000}"/>
    <cellStyle name="Normal 2 2 2 2 6 2 2" xfId="15219" xr:uid="{00000000-0005-0000-0000-0000733B0000}"/>
    <cellStyle name="Normal 2 2 2 2 6 2 2 2" xfId="15220" xr:uid="{00000000-0005-0000-0000-0000743B0000}"/>
    <cellStyle name="Normal 2 2 2 2 6 3" xfId="15221" xr:uid="{00000000-0005-0000-0000-0000753B0000}"/>
    <cellStyle name="Normal 2 2 2 2 6 4" xfId="15222" xr:uid="{00000000-0005-0000-0000-0000763B0000}"/>
    <cellStyle name="Normal 2 2 2 2 6 5" xfId="15223" xr:uid="{00000000-0005-0000-0000-0000773B0000}"/>
    <cellStyle name="Normal 2 2 2 2 6 6" xfId="15224" xr:uid="{00000000-0005-0000-0000-0000783B0000}"/>
    <cellStyle name="Normal 2 2 2 2 6 7" xfId="15225" xr:uid="{00000000-0005-0000-0000-0000793B0000}"/>
    <cellStyle name="Normal 2 2 2 2 7" xfId="15226" xr:uid="{00000000-0005-0000-0000-00007A3B0000}"/>
    <cellStyle name="Normal 2 2 2 2 8" xfId="15227" xr:uid="{00000000-0005-0000-0000-00007B3B0000}"/>
    <cellStyle name="Normal 2 2 2 2 9" xfId="15228" xr:uid="{00000000-0005-0000-0000-00007C3B0000}"/>
    <cellStyle name="Normal 2 2 2 2_Accounting system 09" xfId="15229" xr:uid="{00000000-0005-0000-0000-00007D3B0000}"/>
    <cellStyle name="Normal 2 2 2 20" xfId="15230" xr:uid="{00000000-0005-0000-0000-00007E3B0000}"/>
    <cellStyle name="Normal 2 2 2 20 2" xfId="15231" xr:uid="{00000000-0005-0000-0000-00007F3B0000}"/>
    <cellStyle name="Normal 2 2 2 20 3" xfId="15232" xr:uid="{00000000-0005-0000-0000-0000803B0000}"/>
    <cellStyle name="Normal 2 2 2 21" xfId="15233" xr:uid="{00000000-0005-0000-0000-0000813B0000}"/>
    <cellStyle name="Normal 2 2 2 21 2" xfId="15234" xr:uid="{00000000-0005-0000-0000-0000823B0000}"/>
    <cellStyle name="Normal 2 2 2 21 3" xfId="15235" xr:uid="{00000000-0005-0000-0000-0000833B0000}"/>
    <cellStyle name="Normal 2 2 2 22" xfId="15236" xr:uid="{00000000-0005-0000-0000-0000843B0000}"/>
    <cellStyle name="Normal 2 2 2 22 2" xfId="15237" xr:uid="{00000000-0005-0000-0000-0000853B0000}"/>
    <cellStyle name="Normal 2 2 2 22 2 2" xfId="15238" xr:uid="{00000000-0005-0000-0000-0000863B0000}"/>
    <cellStyle name="Normal 2 2 2 22 2 2 2" xfId="15239" xr:uid="{00000000-0005-0000-0000-0000873B0000}"/>
    <cellStyle name="Normal 2 2 2 22 2 2 3" xfId="15240" xr:uid="{00000000-0005-0000-0000-0000883B0000}"/>
    <cellStyle name="Normal 2 2 2 22 3" xfId="15241" xr:uid="{00000000-0005-0000-0000-0000893B0000}"/>
    <cellStyle name="Normal 2 2 2 22 4" xfId="15242" xr:uid="{00000000-0005-0000-0000-00008A3B0000}"/>
    <cellStyle name="Normal 2 2 2 22 5" xfId="15243" xr:uid="{00000000-0005-0000-0000-00008B3B0000}"/>
    <cellStyle name="Normal 2 2 2 22 6" xfId="15244" xr:uid="{00000000-0005-0000-0000-00008C3B0000}"/>
    <cellStyle name="Normal 2 2 2 22 7" xfId="15245" xr:uid="{00000000-0005-0000-0000-00008D3B0000}"/>
    <cellStyle name="Normal 2 2 2 23" xfId="15246" xr:uid="{00000000-0005-0000-0000-00008E3B0000}"/>
    <cellStyle name="Normal 2 2 2 23 2" xfId="15247" xr:uid="{00000000-0005-0000-0000-00008F3B0000}"/>
    <cellStyle name="Normal 2 2 2 23 2 2" xfId="15248" xr:uid="{00000000-0005-0000-0000-0000903B0000}"/>
    <cellStyle name="Normal 2 2 2 24" xfId="15249" xr:uid="{00000000-0005-0000-0000-0000913B0000}"/>
    <cellStyle name="Normal 2 2 2 25" xfId="15250" xr:uid="{00000000-0005-0000-0000-0000923B0000}"/>
    <cellStyle name="Normal 2 2 2 26" xfId="15251" xr:uid="{00000000-0005-0000-0000-0000933B0000}"/>
    <cellStyle name="Normal 2 2 2 3" xfId="15252" xr:uid="{00000000-0005-0000-0000-0000943B0000}"/>
    <cellStyle name="Normal 2 2 2 4" xfId="15253" xr:uid="{00000000-0005-0000-0000-0000953B0000}"/>
    <cellStyle name="Normal 2 2 2 4 2" xfId="15254" xr:uid="{00000000-0005-0000-0000-0000963B0000}"/>
    <cellStyle name="Normal 2 2 2 4 2 2" xfId="15255" xr:uid="{00000000-0005-0000-0000-0000973B0000}"/>
    <cellStyle name="Normal 2 2 2 4 2 3" xfId="15256" xr:uid="{00000000-0005-0000-0000-0000983B0000}"/>
    <cellStyle name="Normal 2 2 2 4 3" xfId="15257" xr:uid="{00000000-0005-0000-0000-0000993B0000}"/>
    <cellStyle name="Normal 2 2 2 4 4" xfId="15258" xr:uid="{00000000-0005-0000-0000-00009A3B0000}"/>
    <cellStyle name="Normal 2 2 2 5" xfId="15259" xr:uid="{00000000-0005-0000-0000-00009B3B0000}"/>
    <cellStyle name="Normal 2 2 2 5 2" xfId="15260" xr:uid="{00000000-0005-0000-0000-00009C3B0000}"/>
    <cellStyle name="Normal 2 2 2 5 2 2" xfId="15261" xr:uid="{00000000-0005-0000-0000-00009D3B0000}"/>
    <cellStyle name="Normal 2 2 2 5 2 3" xfId="15262" xr:uid="{00000000-0005-0000-0000-00009E3B0000}"/>
    <cellStyle name="Normal 2 2 2 5 3" xfId="15263" xr:uid="{00000000-0005-0000-0000-00009F3B0000}"/>
    <cellStyle name="Normal 2 2 2 5 4" xfId="15264" xr:uid="{00000000-0005-0000-0000-0000A03B0000}"/>
    <cellStyle name="Normal 2 2 2 6" xfId="15265" xr:uid="{00000000-0005-0000-0000-0000A13B0000}"/>
    <cellStyle name="Normal 2 2 2 6 2" xfId="15266" xr:uid="{00000000-0005-0000-0000-0000A23B0000}"/>
    <cellStyle name="Normal 2 2 2 6 2 2" xfId="15267" xr:uid="{00000000-0005-0000-0000-0000A33B0000}"/>
    <cellStyle name="Normal 2 2 2 6 2 3" xfId="15268" xr:uid="{00000000-0005-0000-0000-0000A43B0000}"/>
    <cellStyle name="Normal 2 2 2 6 3" xfId="15269" xr:uid="{00000000-0005-0000-0000-0000A53B0000}"/>
    <cellStyle name="Normal 2 2 2 6 4" xfId="15270" xr:uid="{00000000-0005-0000-0000-0000A63B0000}"/>
    <cellStyle name="Normal 2 2 2 7" xfId="15271" xr:uid="{00000000-0005-0000-0000-0000A73B0000}"/>
    <cellStyle name="Normal 2 2 2 7 2" xfId="15272" xr:uid="{00000000-0005-0000-0000-0000A83B0000}"/>
    <cellStyle name="Normal 2 2 2 7 3" xfId="15273" xr:uid="{00000000-0005-0000-0000-0000A93B0000}"/>
    <cellStyle name="Normal 2 2 2 7 4" xfId="15274" xr:uid="{00000000-0005-0000-0000-0000AA3B0000}"/>
    <cellStyle name="Normal 2 2 2 7 5" xfId="15275" xr:uid="{00000000-0005-0000-0000-0000AB3B0000}"/>
    <cellStyle name="Normal 2 2 2 8" xfId="15276" xr:uid="{00000000-0005-0000-0000-0000AC3B0000}"/>
    <cellStyle name="Normal 2 2 2 8 2" xfId="15277" xr:uid="{00000000-0005-0000-0000-0000AD3B0000}"/>
    <cellStyle name="Normal 2 2 2 9" xfId="15278" xr:uid="{00000000-0005-0000-0000-0000AE3B0000}"/>
    <cellStyle name="Normal 2 2 2 9 2" xfId="15279" xr:uid="{00000000-0005-0000-0000-0000AF3B0000}"/>
    <cellStyle name="Normal 2 2 2_ECAMIC quarterly Financial Report" xfId="15280" xr:uid="{00000000-0005-0000-0000-0000B03B0000}"/>
    <cellStyle name="Normal 2 2 20" xfId="15281" xr:uid="{00000000-0005-0000-0000-0000B13B0000}"/>
    <cellStyle name="Normal 2 2 20 2" xfId="15282" xr:uid="{00000000-0005-0000-0000-0000B23B0000}"/>
    <cellStyle name="Normal 2 2 20 3" xfId="15283" xr:uid="{00000000-0005-0000-0000-0000B33B0000}"/>
    <cellStyle name="Normal 2 2 21" xfId="15284" xr:uid="{00000000-0005-0000-0000-0000B43B0000}"/>
    <cellStyle name="Normal 2 2 21 2" xfId="15285" xr:uid="{00000000-0005-0000-0000-0000B53B0000}"/>
    <cellStyle name="Normal 2 2 21 3" xfId="15286" xr:uid="{00000000-0005-0000-0000-0000B63B0000}"/>
    <cellStyle name="Normal 2 2 22" xfId="15287" xr:uid="{00000000-0005-0000-0000-0000B73B0000}"/>
    <cellStyle name="Normal 2 2 22 2" xfId="15288" xr:uid="{00000000-0005-0000-0000-0000B83B0000}"/>
    <cellStyle name="Normal 2 2 23" xfId="15289" xr:uid="{00000000-0005-0000-0000-0000B93B0000}"/>
    <cellStyle name="Normal 2 2 23 2" xfId="15290" xr:uid="{00000000-0005-0000-0000-0000BA3B0000}"/>
    <cellStyle name="Normal 2 2 24" xfId="15291" xr:uid="{00000000-0005-0000-0000-0000BB3B0000}"/>
    <cellStyle name="Normal 2 2 24 2" xfId="15292" xr:uid="{00000000-0005-0000-0000-0000BC3B0000}"/>
    <cellStyle name="Normal 2 2 25" xfId="15293" xr:uid="{00000000-0005-0000-0000-0000BD3B0000}"/>
    <cellStyle name="Normal 2 2 26" xfId="15294" xr:uid="{00000000-0005-0000-0000-0000BE3B0000}"/>
    <cellStyle name="Normal 2 2 26 2" xfId="15295" xr:uid="{00000000-0005-0000-0000-0000BF3B0000}"/>
    <cellStyle name="Normal 2 2 26 2 2" xfId="15296" xr:uid="{00000000-0005-0000-0000-0000C03B0000}"/>
    <cellStyle name="Normal 2 2 27" xfId="15297" xr:uid="{00000000-0005-0000-0000-0000C13B0000}"/>
    <cellStyle name="Normal 2 2 28" xfId="15298" xr:uid="{00000000-0005-0000-0000-0000C23B0000}"/>
    <cellStyle name="Normal 2 2 29" xfId="15299" xr:uid="{00000000-0005-0000-0000-0000C33B0000}"/>
    <cellStyle name="Normal 2 2 3" xfId="15300" xr:uid="{00000000-0005-0000-0000-0000C43B0000}"/>
    <cellStyle name="Normal 2 2 3 10" xfId="15301" xr:uid="{00000000-0005-0000-0000-0000C53B0000}"/>
    <cellStyle name="Normal 2 2 3 11" xfId="15302" xr:uid="{00000000-0005-0000-0000-0000C63B0000}"/>
    <cellStyle name="Normal 2 2 3 12" xfId="15303" xr:uid="{00000000-0005-0000-0000-0000C73B0000}"/>
    <cellStyle name="Normal 2 2 3 13" xfId="15304" xr:uid="{00000000-0005-0000-0000-0000C83B0000}"/>
    <cellStyle name="Normal 2 2 3 13 2" xfId="15305" xr:uid="{00000000-0005-0000-0000-0000C93B0000}"/>
    <cellStyle name="Normal 2 2 3 13 3" xfId="15306" xr:uid="{00000000-0005-0000-0000-0000CA3B0000}"/>
    <cellStyle name="Normal 2 2 3 14" xfId="15307" xr:uid="{00000000-0005-0000-0000-0000CB3B0000}"/>
    <cellStyle name="Normal 2 2 3 14 2" xfId="15308" xr:uid="{00000000-0005-0000-0000-0000CC3B0000}"/>
    <cellStyle name="Normal 2 2 3 14 3" xfId="15309" xr:uid="{00000000-0005-0000-0000-0000CD3B0000}"/>
    <cellStyle name="Normal 2 2 3 15" xfId="15310" xr:uid="{00000000-0005-0000-0000-0000CE3B0000}"/>
    <cellStyle name="Normal 2 2 3 15 2" xfId="15311" xr:uid="{00000000-0005-0000-0000-0000CF3B0000}"/>
    <cellStyle name="Normal 2 2 3 15 3" xfId="15312" xr:uid="{00000000-0005-0000-0000-0000D03B0000}"/>
    <cellStyle name="Normal 2 2 3 16" xfId="15313" xr:uid="{00000000-0005-0000-0000-0000D13B0000}"/>
    <cellStyle name="Normal 2 2 3 16 2" xfId="15314" xr:uid="{00000000-0005-0000-0000-0000D23B0000}"/>
    <cellStyle name="Normal 2 2 3 17" xfId="15315" xr:uid="{00000000-0005-0000-0000-0000D33B0000}"/>
    <cellStyle name="Normal 2 2 3 17 2" xfId="15316" xr:uid="{00000000-0005-0000-0000-0000D43B0000}"/>
    <cellStyle name="Normal 2 2 3 18" xfId="15317" xr:uid="{00000000-0005-0000-0000-0000D53B0000}"/>
    <cellStyle name="Normal 2 2 3 18 2" xfId="15318" xr:uid="{00000000-0005-0000-0000-0000D63B0000}"/>
    <cellStyle name="Normal 2 2 3 19" xfId="15319" xr:uid="{00000000-0005-0000-0000-0000D73B0000}"/>
    <cellStyle name="Normal 2 2 3 19 2" xfId="15320" xr:uid="{00000000-0005-0000-0000-0000D83B0000}"/>
    <cellStyle name="Normal 2 2 3 2" xfId="15321" xr:uid="{00000000-0005-0000-0000-0000D93B0000}"/>
    <cellStyle name="Normal 2 2 3 2 2" xfId="15322" xr:uid="{00000000-0005-0000-0000-0000DA3B0000}"/>
    <cellStyle name="Normal 2 2 3 2 2 2" xfId="15323" xr:uid="{00000000-0005-0000-0000-0000DB3B0000}"/>
    <cellStyle name="Normal 2 2 3 2 2 3" xfId="15324" xr:uid="{00000000-0005-0000-0000-0000DC3B0000}"/>
    <cellStyle name="Normal 2 2 3 2 2 4" xfId="15325" xr:uid="{00000000-0005-0000-0000-0000DD3B0000}"/>
    <cellStyle name="Normal 2 2 3 2 3" xfId="15326" xr:uid="{00000000-0005-0000-0000-0000DE3B0000}"/>
    <cellStyle name="Normal 2 2 3 2 3 2" xfId="15327" xr:uid="{00000000-0005-0000-0000-0000DF3B0000}"/>
    <cellStyle name="Normal 2 2 3 2 4" xfId="15328" xr:uid="{00000000-0005-0000-0000-0000E03B0000}"/>
    <cellStyle name="Normal 2 2 3 2 5" xfId="15329" xr:uid="{00000000-0005-0000-0000-0000E13B0000}"/>
    <cellStyle name="Normal 2 2 3 2 6" xfId="15330" xr:uid="{00000000-0005-0000-0000-0000E23B0000}"/>
    <cellStyle name="Normal 2 2 3 2 7" xfId="15331" xr:uid="{00000000-0005-0000-0000-0000E33B0000}"/>
    <cellStyle name="Normal 2 2 3 20" xfId="15332" xr:uid="{00000000-0005-0000-0000-0000E43B0000}"/>
    <cellStyle name="Normal 2 2 3 20 2" xfId="15333" xr:uid="{00000000-0005-0000-0000-0000E53B0000}"/>
    <cellStyle name="Normal 2 2 3 21" xfId="15334" xr:uid="{00000000-0005-0000-0000-0000E63B0000}"/>
    <cellStyle name="Normal 2 2 3 22" xfId="15335" xr:uid="{00000000-0005-0000-0000-0000E73B0000}"/>
    <cellStyle name="Normal 2 2 3 23" xfId="15336" xr:uid="{00000000-0005-0000-0000-0000E83B0000}"/>
    <cellStyle name="Normal 2 2 3 3" xfId="15337" xr:uid="{00000000-0005-0000-0000-0000E93B0000}"/>
    <cellStyle name="Normal 2 2 3 4" xfId="15338" xr:uid="{00000000-0005-0000-0000-0000EA3B0000}"/>
    <cellStyle name="Normal 2 2 3 5" xfId="15339" xr:uid="{00000000-0005-0000-0000-0000EB3B0000}"/>
    <cellStyle name="Normal 2 2 3 6" xfId="15340" xr:uid="{00000000-0005-0000-0000-0000EC3B0000}"/>
    <cellStyle name="Normal 2 2 3 7" xfId="15341" xr:uid="{00000000-0005-0000-0000-0000ED3B0000}"/>
    <cellStyle name="Normal 2 2 3 8" xfId="15342" xr:uid="{00000000-0005-0000-0000-0000EE3B0000}"/>
    <cellStyle name="Normal 2 2 3 9" xfId="15343" xr:uid="{00000000-0005-0000-0000-0000EF3B0000}"/>
    <cellStyle name="Normal 2 2 3_Accounting system 09" xfId="15344" xr:uid="{00000000-0005-0000-0000-0000F03B0000}"/>
    <cellStyle name="Normal 2 2 4" xfId="15345" xr:uid="{00000000-0005-0000-0000-0000F13B0000}"/>
    <cellStyle name="Normal 2 2 4 10" xfId="15346" xr:uid="{00000000-0005-0000-0000-0000F23B0000}"/>
    <cellStyle name="Normal 2 2 4 2" xfId="15347" xr:uid="{00000000-0005-0000-0000-0000F33B0000}"/>
    <cellStyle name="Normal 2 2 4 2 10" xfId="15348" xr:uid="{00000000-0005-0000-0000-0000F43B0000}"/>
    <cellStyle name="Normal 2 2 4 2 10 2" xfId="15349" xr:uid="{00000000-0005-0000-0000-0000F53B0000}"/>
    <cellStyle name="Normal 2 2 4 2 2" xfId="15350" xr:uid="{00000000-0005-0000-0000-0000F63B0000}"/>
    <cellStyle name="Normal 2 2 4 2 2 2" xfId="15351" xr:uid="{00000000-0005-0000-0000-0000F73B0000}"/>
    <cellStyle name="Normal 2 2 4 2 2 2 2" xfId="15352" xr:uid="{00000000-0005-0000-0000-0000F83B0000}"/>
    <cellStyle name="Normal 2 2 4 2 2 2 2 2" xfId="15353" xr:uid="{00000000-0005-0000-0000-0000F93B0000}"/>
    <cellStyle name="Normal 2 2 4 2 2 2 2 2 2" xfId="15354" xr:uid="{00000000-0005-0000-0000-0000FA3B0000}"/>
    <cellStyle name="Normal 2 2 4 2 2 2 2 2 2 2" xfId="15355" xr:uid="{00000000-0005-0000-0000-0000FB3B0000}"/>
    <cellStyle name="Normal 2 2 4 2 2 2 2 2 2 2 2" xfId="15356" xr:uid="{00000000-0005-0000-0000-0000FC3B0000}"/>
    <cellStyle name="Normal 2 2 4 2 2 2 2 2 2 2 2 2" xfId="15357" xr:uid="{00000000-0005-0000-0000-0000FD3B0000}"/>
    <cellStyle name="Normal 2 2 4 2 2 2 2 2 2 2 2 3" xfId="15358" xr:uid="{00000000-0005-0000-0000-0000FE3B0000}"/>
    <cellStyle name="Normal 2 2 4 2 2 2 2 2 2 2 2 4" xfId="15359" xr:uid="{00000000-0005-0000-0000-0000FF3B0000}"/>
    <cellStyle name="Normal 2 2 4 2 2 2 2 2 2 2 2 5" xfId="15360" xr:uid="{00000000-0005-0000-0000-0000003C0000}"/>
    <cellStyle name="Normal 2 2 4 2 2 2 2 2 2 2 2 6" xfId="15361" xr:uid="{00000000-0005-0000-0000-0000013C0000}"/>
    <cellStyle name="Normal 2 2 4 2 2 2 2 2 2 2 2 7" xfId="15362" xr:uid="{00000000-0005-0000-0000-0000023C0000}"/>
    <cellStyle name="Normal 2 2 4 2 2 2 2 2 2 2 2 8" xfId="15363" xr:uid="{00000000-0005-0000-0000-0000033C0000}"/>
    <cellStyle name="Normal 2 2 4 2 2 2 2 2 2 2 3" xfId="15364" xr:uid="{00000000-0005-0000-0000-0000043C0000}"/>
    <cellStyle name="Normal 2 2 4 2 2 2 2 2 2 2 3 2" xfId="15365" xr:uid="{00000000-0005-0000-0000-0000053C0000}"/>
    <cellStyle name="Normal 2 2 4 2 2 2 2 2 2 2 4" xfId="15366" xr:uid="{00000000-0005-0000-0000-0000063C0000}"/>
    <cellStyle name="Normal 2 2 4 2 2 2 2 2 2 2 4 2" xfId="15367" xr:uid="{00000000-0005-0000-0000-0000073C0000}"/>
    <cellStyle name="Normal 2 2 4 2 2 2 2 2 2 2 5" xfId="15368" xr:uid="{00000000-0005-0000-0000-0000083C0000}"/>
    <cellStyle name="Normal 2 2 4 2 2 2 2 2 2 2 5 2" xfId="15369" xr:uid="{00000000-0005-0000-0000-0000093C0000}"/>
    <cellStyle name="Normal 2 2 4 2 2 2 2 2 2 2 6" xfId="15370" xr:uid="{00000000-0005-0000-0000-00000A3C0000}"/>
    <cellStyle name="Normal 2 2 4 2 2 2 2 2 2 2 6 2" xfId="15371" xr:uid="{00000000-0005-0000-0000-00000B3C0000}"/>
    <cellStyle name="Normal 2 2 4 2 2 2 2 2 2 2 7" xfId="15372" xr:uid="{00000000-0005-0000-0000-00000C3C0000}"/>
    <cellStyle name="Normal 2 2 4 2 2 2 2 2 2 2 7 2" xfId="15373" xr:uid="{00000000-0005-0000-0000-00000D3C0000}"/>
    <cellStyle name="Normal 2 2 4 2 2 2 2 2 2 3" xfId="15374" xr:uid="{00000000-0005-0000-0000-00000E3C0000}"/>
    <cellStyle name="Normal 2 2 4 2 2 2 2 2 2 4" xfId="15375" xr:uid="{00000000-0005-0000-0000-00000F3C0000}"/>
    <cellStyle name="Normal 2 2 4 2 2 2 2 2 2 5" xfId="15376" xr:uid="{00000000-0005-0000-0000-0000103C0000}"/>
    <cellStyle name="Normal 2 2 4 2 2 2 2 2 2 6" xfId="15377" xr:uid="{00000000-0005-0000-0000-0000113C0000}"/>
    <cellStyle name="Normal 2 2 4 2 2 2 2 2 2 7" xfId="15378" xr:uid="{00000000-0005-0000-0000-0000123C0000}"/>
    <cellStyle name="Normal 2 2 4 2 2 2 2 2 2 8" xfId="15379" xr:uid="{00000000-0005-0000-0000-0000133C0000}"/>
    <cellStyle name="Normal 2 2 4 2 2 2 2 2 3" xfId="15380" xr:uid="{00000000-0005-0000-0000-0000143C0000}"/>
    <cellStyle name="Normal 2 2 4 2 2 2 2 2 4" xfId="15381" xr:uid="{00000000-0005-0000-0000-0000153C0000}"/>
    <cellStyle name="Normal 2 2 4 2 2 2 2 2 4 2" xfId="15382" xr:uid="{00000000-0005-0000-0000-0000163C0000}"/>
    <cellStyle name="Normal 2 2 4 2 2 2 2 2 5" xfId="15383" xr:uid="{00000000-0005-0000-0000-0000173C0000}"/>
    <cellStyle name="Normal 2 2 4 2 2 2 2 2 5 2" xfId="15384" xr:uid="{00000000-0005-0000-0000-0000183C0000}"/>
    <cellStyle name="Normal 2 2 4 2 2 2 2 2 6" xfId="15385" xr:uid="{00000000-0005-0000-0000-0000193C0000}"/>
    <cellStyle name="Normal 2 2 4 2 2 2 2 2 6 2" xfId="15386" xr:uid="{00000000-0005-0000-0000-00001A3C0000}"/>
    <cellStyle name="Normal 2 2 4 2 2 2 2 2 7" xfId="15387" xr:uid="{00000000-0005-0000-0000-00001B3C0000}"/>
    <cellStyle name="Normal 2 2 4 2 2 2 2 2 7 2" xfId="15388" xr:uid="{00000000-0005-0000-0000-00001C3C0000}"/>
    <cellStyle name="Normal 2 2 4 2 2 2 2 2 8" xfId="15389" xr:uid="{00000000-0005-0000-0000-00001D3C0000}"/>
    <cellStyle name="Normal 2 2 4 2 2 2 2 2 8 2" xfId="15390" xr:uid="{00000000-0005-0000-0000-00001E3C0000}"/>
    <cellStyle name="Normal 2 2 4 2 2 2 2 3" xfId="15391" xr:uid="{00000000-0005-0000-0000-00001F3C0000}"/>
    <cellStyle name="Normal 2 2 4 2 2 2 2 3 2" xfId="15392" xr:uid="{00000000-0005-0000-0000-0000203C0000}"/>
    <cellStyle name="Normal 2 2 4 2 2 2 2 3 3" xfId="15393" xr:uid="{00000000-0005-0000-0000-0000213C0000}"/>
    <cellStyle name="Normal 2 2 4 2 2 2 2 4" xfId="15394" xr:uid="{00000000-0005-0000-0000-0000223C0000}"/>
    <cellStyle name="Normal 2 2 4 2 2 2 2 5" xfId="15395" xr:uid="{00000000-0005-0000-0000-0000233C0000}"/>
    <cellStyle name="Normal 2 2 4 2 2 2 2 6" xfId="15396" xr:uid="{00000000-0005-0000-0000-0000243C0000}"/>
    <cellStyle name="Normal 2 2 4 2 2 2 2 7" xfId="15397" xr:uid="{00000000-0005-0000-0000-0000253C0000}"/>
    <cellStyle name="Normal 2 2 4 2 2 2 2 8" xfId="15398" xr:uid="{00000000-0005-0000-0000-0000263C0000}"/>
    <cellStyle name="Normal 2 2 4 2 2 2 2 9" xfId="15399" xr:uid="{00000000-0005-0000-0000-0000273C0000}"/>
    <cellStyle name="Normal 2 2 4 2 2 2 3" xfId="15400" xr:uid="{00000000-0005-0000-0000-0000283C0000}"/>
    <cellStyle name="Normal 2 2 4 2 2 2 3 2" xfId="15401" xr:uid="{00000000-0005-0000-0000-0000293C0000}"/>
    <cellStyle name="Normal 2 2 4 2 2 2 3 2 2" xfId="15402" xr:uid="{00000000-0005-0000-0000-00002A3C0000}"/>
    <cellStyle name="Normal 2 2 4 2 2 2 3 2 3" xfId="15403" xr:uid="{00000000-0005-0000-0000-00002B3C0000}"/>
    <cellStyle name="Normal 2 2 4 2 2 2 4" xfId="15404" xr:uid="{00000000-0005-0000-0000-00002C3C0000}"/>
    <cellStyle name="Normal 2 2 4 2 2 2 5" xfId="15405" xr:uid="{00000000-0005-0000-0000-00002D3C0000}"/>
    <cellStyle name="Normal 2 2 4 2 2 2 5 2" xfId="15406" xr:uid="{00000000-0005-0000-0000-00002E3C0000}"/>
    <cellStyle name="Normal 2 2 4 2 2 2 6" xfId="15407" xr:uid="{00000000-0005-0000-0000-00002F3C0000}"/>
    <cellStyle name="Normal 2 2 4 2 2 2 6 2" xfId="15408" xr:uid="{00000000-0005-0000-0000-0000303C0000}"/>
    <cellStyle name="Normal 2 2 4 2 2 2 7" xfId="15409" xr:uid="{00000000-0005-0000-0000-0000313C0000}"/>
    <cellStyle name="Normal 2 2 4 2 2 2 7 2" xfId="15410" xr:uid="{00000000-0005-0000-0000-0000323C0000}"/>
    <cellStyle name="Normal 2 2 4 2 2 2 8" xfId="15411" xr:uid="{00000000-0005-0000-0000-0000333C0000}"/>
    <cellStyle name="Normal 2 2 4 2 2 2 8 2" xfId="15412" xr:uid="{00000000-0005-0000-0000-0000343C0000}"/>
    <cellStyle name="Normal 2 2 4 2 2 2 9" xfId="15413" xr:uid="{00000000-0005-0000-0000-0000353C0000}"/>
    <cellStyle name="Normal 2 2 4 2 2 2 9 2" xfId="15414" xr:uid="{00000000-0005-0000-0000-0000363C0000}"/>
    <cellStyle name="Normal 2 2 4 2 2 3" xfId="15415" xr:uid="{00000000-0005-0000-0000-0000373C0000}"/>
    <cellStyle name="Normal 2 2 4 2 2 3 2" xfId="15416" xr:uid="{00000000-0005-0000-0000-0000383C0000}"/>
    <cellStyle name="Normal 2 2 4 2 2 3 2 2" xfId="15417" xr:uid="{00000000-0005-0000-0000-0000393C0000}"/>
    <cellStyle name="Normal 2 2 4 2 2 3 2 2 2" xfId="15418" xr:uid="{00000000-0005-0000-0000-00003A3C0000}"/>
    <cellStyle name="Normal 2 2 4 2 2 3 2 2 3" xfId="15419" xr:uid="{00000000-0005-0000-0000-00003B3C0000}"/>
    <cellStyle name="Normal 2 2 4 2 2 3 3" xfId="15420" xr:uid="{00000000-0005-0000-0000-00003C3C0000}"/>
    <cellStyle name="Normal 2 2 4 2 2 3 4" xfId="15421" xr:uid="{00000000-0005-0000-0000-00003D3C0000}"/>
    <cellStyle name="Normal 2 2 4 2 2 4" xfId="15422" xr:uid="{00000000-0005-0000-0000-00003E3C0000}"/>
    <cellStyle name="Normal 2 2 4 2 2 4 2" xfId="15423" xr:uid="{00000000-0005-0000-0000-00003F3C0000}"/>
    <cellStyle name="Normal 2 2 4 2 2 4 3" xfId="15424" xr:uid="{00000000-0005-0000-0000-0000403C0000}"/>
    <cellStyle name="Normal 2 2 4 2 2 5" xfId="15425" xr:uid="{00000000-0005-0000-0000-0000413C0000}"/>
    <cellStyle name="Normal 2 2 4 2 2 6" xfId="15426" xr:uid="{00000000-0005-0000-0000-0000423C0000}"/>
    <cellStyle name="Normal 2 2 4 2 2 7" xfId="15427" xr:uid="{00000000-0005-0000-0000-0000433C0000}"/>
    <cellStyle name="Normal 2 2 4 2 2 8" xfId="15428" xr:uid="{00000000-0005-0000-0000-0000443C0000}"/>
    <cellStyle name="Normal 2 2 4 2 2 9" xfId="15429" xr:uid="{00000000-0005-0000-0000-0000453C0000}"/>
    <cellStyle name="Normal 2 2 4 2 3" xfId="15430" xr:uid="{00000000-0005-0000-0000-0000463C0000}"/>
    <cellStyle name="Normal 2 2 4 2 3 2" xfId="15431" xr:uid="{00000000-0005-0000-0000-0000473C0000}"/>
    <cellStyle name="Normal 2 2 4 2 3 2 2" xfId="15432" xr:uid="{00000000-0005-0000-0000-0000483C0000}"/>
    <cellStyle name="Normal 2 2 4 2 3 2 2 2" xfId="15433" xr:uid="{00000000-0005-0000-0000-0000493C0000}"/>
    <cellStyle name="Normal 2 2 4 2 3 2 2 2 2" xfId="15434" xr:uid="{00000000-0005-0000-0000-00004A3C0000}"/>
    <cellStyle name="Normal 2 2 4 2 3 2 2 2 3" xfId="15435" xr:uid="{00000000-0005-0000-0000-00004B3C0000}"/>
    <cellStyle name="Normal 2 2 4 2 3 2 3" xfId="15436" xr:uid="{00000000-0005-0000-0000-00004C3C0000}"/>
    <cellStyle name="Normal 2 2 4 2 3 2 4" xfId="15437" xr:uid="{00000000-0005-0000-0000-00004D3C0000}"/>
    <cellStyle name="Normal 2 2 4 2 3 3" xfId="15438" xr:uid="{00000000-0005-0000-0000-00004E3C0000}"/>
    <cellStyle name="Normal 2 2 4 2 3 3 2" xfId="15439" xr:uid="{00000000-0005-0000-0000-00004F3C0000}"/>
    <cellStyle name="Normal 2 2 4 2 3 3 3" xfId="15440" xr:uid="{00000000-0005-0000-0000-0000503C0000}"/>
    <cellStyle name="Normal 2 2 4 2 4" xfId="15441" xr:uid="{00000000-0005-0000-0000-0000513C0000}"/>
    <cellStyle name="Normal 2 2 4 2 4 2" xfId="15442" xr:uid="{00000000-0005-0000-0000-0000523C0000}"/>
    <cellStyle name="Normal 2 2 4 2 4 2 2" xfId="15443" xr:uid="{00000000-0005-0000-0000-0000533C0000}"/>
    <cellStyle name="Normal 2 2 4 2 4 2 3" xfId="15444" xr:uid="{00000000-0005-0000-0000-0000543C0000}"/>
    <cellStyle name="Normal 2 2 4 2 5" xfId="15445" xr:uid="{00000000-0005-0000-0000-0000553C0000}"/>
    <cellStyle name="Normal 2 2 4 2 6" xfId="15446" xr:uid="{00000000-0005-0000-0000-0000563C0000}"/>
    <cellStyle name="Normal 2 2 4 2 6 2" xfId="15447" xr:uid="{00000000-0005-0000-0000-0000573C0000}"/>
    <cellStyle name="Normal 2 2 4 2 7" xfId="15448" xr:uid="{00000000-0005-0000-0000-0000583C0000}"/>
    <cellStyle name="Normal 2 2 4 2 7 2" xfId="15449" xr:uid="{00000000-0005-0000-0000-0000593C0000}"/>
    <cellStyle name="Normal 2 2 4 2 8" xfId="15450" xr:uid="{00000000-0005-0000-0000-00005A3C0000}"/>
    <cellStyle name="Normal 2 2 4 2 8 2" xfId="15451" xr:uid="{00000000-0005-0000-0000-00005B3C0000}"/>
    <cellStyle name="Normal 2 2 4 2 9" xfId="15452" xr:uid="{00000000-0005-0000-0000-00005C3C0000}"/>
    <cellStyle name="Normal 2 2 4 2 9 2" xfId="15453" xr:uid="{00000000-0005-0000-0000-00005D3C0000}"/>
    <cellStyle name="Normal 2 2 4 3" xfId="15454" xr:uid="{00000000-0005-0000-0000-00005E3C0000}"/>
    <cellStyle name="Normal 2 2 4 3 2" xfId="15455" xr:uid="{00000000-0005-0000-0000-00005F3C0000}"/>
    <cellStyle name="Normal 2 2 4 3 2 2" xfId="15456" xr:uid="{00000000-0005-0000-0000-0000603C0000}"/>
    <cellStyle name="Normal 2 2 4 3 2 2 2" xfId="15457" xr:uid="{00000000-0005-0000-0000-0000613C0000}"/>
    <cellStyle name="Normal 2 2 4 3 2 2 2 2" xfId="15458" xr:uid="{00000000-0005-0000-0000-0000623C0000}"/>
    <cellStyle name="Normal 2 2 4 3 2 2 2 2 2" xfId="15459" xr:uid="{00000000-0005-0000-0000-0000633C0000}"/>
    <cellStyle name="Normal 2 2 4 3 2 2 2 2 3" xfId="15460" xr:uid="{00000000-0005-0000-0000-0000643C0000}"/>
    <cellStyle name="Normal 2 2 4 3 2 2 3" xfId="15461" xr:uid="{00000000-0005-0000-0000-0000653C0000}"/>
    <cellStyle name="Normal 2 2 4 3 2 2 4" xfId="15462" xr:uid="{00000000-0005-0000-0000-0000663C0000}"/>
    <cellStyle name="Normal 2 2 4 3 2 3" xfId="15463" xr:uid="{00000000-0005-0000-0000-0000673C0000}"/>
    <cellStyle name="Normal 2 2 4 3 2 3 2" xfId="15464" xr:uid="{00000000-0005-0000-0000-0000683C0000}"/>
    <cellStyle name="Normal 2 2 4 3 2 3 3" xfId="15465" xr:uid="{00000000-0005-0000-0000-0000693C0000}"/>
    <cellStyle name="Normal 2 2 4 3 3" xfId="15466" xr:uid="{00000000-0005-0000-0000-00006A3C0000}"/>
    <cellStyle name="Normal 2 2 4 3 3 2" xfId="15467" xr:uid="{00000000-0005-0000-0000-00006B3C0000}"/>
    <cellStyle name="Normal 2 2 4 3 3 2 2" xfId="15468" xr:uid="{00000000-0005-0000-0000-00006C3C0000}"/>
    <cellStyle name="Normal 2 2 4 3 3 2 3" xfId="15469" xr:uid="{00000000-0005-0000-0000-00006D3C0000}"/>
    <cellStyle name="Normal 2 2 4 3 4" xfId="15470" xr:uid="{00000000-0005-0000-0000-00006E3C0000}"/>
    <cellStyle name="Normal 2 2 4 3 5" xfId="15471" xr:uid="{00000000-0005-0000-0000-00006F3C0000}"/>
    <cellStyle name="Normal 2 2 4 4" xfId="15472" xr:uid="{00000000-0005-0000-0000-0000703C0000}"/>
    <cellStyle name="Normal 2 2 4 4 2" xfId="15473" xr:uid="{00000000-0005-0000-0000-0000713C0000}"/>
    <cellStyle name="Normal 2 2 4 4 2 2" xfId="15474" xr:uid="{00000000-0005-0000-0000-0000723C0000}"/>
    <cellStyle name="Normal 2 2 4 4 2 2 2" xfId="15475" xr:uid="{00000000-0005-0000-0000-0000733C0000}"/>
    <cellStyle name="Normal 2 2 4 4 2 2 3" xfId="15476" xr:uid="{00000000-0005-0000-0000-0000743C0000}"/>
    <cellStyle name="Normal 2 2 4 4 3" xfId="15477" xr:uid="{00000000-0005-0000-0000-0000753C0000}"/>
    <cellStyle name="Normal 2 2 4 4 4" xfId="15478" xr:uid="{00000000-0005-0000-0000-0000763C0000}"/>
    <cellStyle name="Normal 2 2 4 5" xfId="15479" xr:uid="{00000000-0005-0000-0000-0000773C0000}"/>
    <cellStyle name="Normal 2 2 4 5 2" xfId="15480" xr:uid="{00000000-0005-0000-0000-0000783C0000}"/>
    <cellStyle name="Normal 2 2 4 5 3" xfId="15481" xr:uid="{00000000-0005-0000-0000-0000793C0000}"/>
    <cellStyle name="Normal 2 2 4 6" xfId="15482" xr:uid="{00000000-0005-0000-0000-00007A3C0000}"/>
    <cellStyle name="Normal 2 2 4 6 2" xfId="15483" xr:uid="{00000000-0005-0000-0000-00007B3C0000}"/>
    <cellStyle name="Normal 2 2 4 6 3" xfId="15484" xr:uid="{00000000-0005-0000-0000-00007C3C0000}"/>
    <cellStyle name="Normal 2 2 4 7" xfId="15485" xr:uid="{00000000-0005-0000-0000-00007D3C0000}"/>
    <cellStyle name="Normal 2 2 4 7 2" xfId="15486" xr:uid="{00000000-0005-0000-0000-00007E3C0000}"/>
    <cellStyle name="Normal 2 2 4 8" xfId="15487" xr:uid="{00000000-0005-0000-0000-00007F3C0000}"/>
    <cellStyle name="Normal 2 2 4 9" xfId="15488" xr:uid="{00000000-0005-0000-0000-0000803C0000}"/>
    <cellStyle name="Normal 2 2 5" xfId="15489" xr:uid="{00000000-0005-0000-0000-0000813C0000}"/>
    <cellStyle name="Normal 2 2 5 2" xfId="15490" xr:uid="{00000000-0005-0000-0000-0000823C0000}"/>
    <cellStyle name="Normal 2 2 5 2 2" xfId="15491" xr:uid="{00000000-0005-0000-0000-0000833C0000}"/>
    <cellStyle name="Normal 2 2 5 2 2 2" xfId="15492" xr:uid="{00000000-0005-0000-0000-0000843C0000}"/>
    <cellStyle name="Normal 2 2 5 2 2 2 2" xfId="15493" xr:uid="{00000000-0005-0000-0000-0000853C0000}"/>
    <cellStyle name="Normal 2 2 5 2 2 2 2 2" xfId="15494" xr:uid="{00000000-0005-0000-0000-0000863C0000}"/>
    <cellStyle name="Normal 2 2 5 2 2 2 2 2 2" xfId="15495" xr:uid="{00000000-0005-0000-0000-0000873C0000}"/>
    <cellStyle name="Normal 2 2 5 2 2 2 2 2 2 2" xfId="15496" xr:uid="{00000000-0005-0000-0000-0000883C0000}"/>
    <cellStyle name="Normal 2 2 5 2 2 2 2 2 2 3" xfId="15497" xr:uid="{00000000-0005-0000-0000-0000893C0000}"/>
    <cellStyle name="Normal 2 2 5 2 2 2 2 2 2 4" xfId="15498" xr:uid="{00000000-0005-0000-0000-00008A3C0000}"/>
    <cellStyle name="Normal 2 2 5 2 2 2 2 2 2 5" xfId="15499" xr:uid="{00000000-0005-0000-0000-00008B3C0000}"/>
    <cellStyle name="Normal 2 2 5 2 2 2 2 2 2 6" xfId="15500" xr:uid="{00000000-0005-0000-0000-00008C3C0000}"/>
    <cellStyle name="Normal 2 2 5 2 2 2 2 2 2 7" xfId="15501" xr:uid="{00000000-0005-0000-0000-00008D3C0000}"/>
    <cellStyle name="Normal 2 2 5 2 2 2 2 2 2 8" xfId="15502" xr:uid="{00000000-0005-0000-0000-00008E3C0000}"/>
    <cellStyle name="Normal 2 2 5 2 2 2 2 2 3" xfId="15503" xr:uid="{00000000-0005-0000-0000-00008F3C0000}"/>
    <cellStyle name="Normal 2 2 5 2 2 2 2 2 3 2" xfId="15504" xr:uid="{00000000-0005-0000-0000-0000903C0000}"/>
    <cellStyle name="Normal 2 2 5 2 2 2 2 2 4" xfId="15505" xr:uid="{00000000-0005-0000-0000-0000913C0000}"/>
    <cellStyle name="Normal 2 2 5 2 2 2 2 2 4 2" xfId="15506" xr:uid="{00000000-0005-0000-0000-0000923C0000}"/>
    <cellStyle name="Normal 2 2 5 2 2 2 2 2 5" xfId="15507" xr:uid="{00000000-0005-0000-0000-0000933C0000}"/>
    <cellStyle name="Normal 2 2 5 2 2 2 2 2 5 2" xfId="15508" xr:uid="{00000000-0005-0000-0000-0000943C0000}"/>
    <cellStyle name="Normal 2 2 5 2 2 2 2 2 6" xfId="15509" xr:uid="{00000000-0005-0000-0000-0000953C0000}"/>
    <cellStyle name="Normal 2 2 5 2 2 2 2 2 6 2" xfId="15510" xr:uid="{00000000-0005-0000-0000-0000963C0000}"/>
    <cellStyle name="Normal 2 2 5 2 2 2 2 2 7" xfId="15511" xr:uid="{00000000-0005-0000-0000-0000973C0000}"/>
    <cellStyle name="Normal 2 2 5 2 2 2 2 2 7 2" xfId="15512" xr:uid="{00000000-0005-0000-0000-0000983C0000}"/>
    <cellStyle name="Normal 2 2 5 2 2 2 2 3" xfId="15513" xr:uid="{00000000-0005-0000-0000-0000993C0000}"/>
    <cellStyle name="Normal 2 2 5 2 2 2 2 4" xfId="15514" xr:uid="{00000000-0005-0000-0000-00009A3C0000}"/>
    <cellStyle name="Normal 2 2 5 2 2 2 2 5" xfId="15515" xr:uid="{00000000-0005-0000-0000-00009B3C0000}"/>
    <cellStyle name="Normal 2 2 5 2 2 2 2 6" xfId="15516" xr:uid="{00000000-0005-0000-0000-00009C3C0000}"/>
    <cellStyle name="Normal 2 2 5 2 2 2 2 7" xfId="15517" xr:uid="{00000000-0005-0000-0000-00009D3C0000}"/>
    <cellStyle name="Normal 2 2 5 2 2 2 2 8" xfId="15518" xr:uid="{00000000-0005-0000-0000-00009E3C0000}"/>
    <cellStyle name="Normal 2 2 5 2 2 2 3" xfId="15519" xr:uid="{00000000-0005-0000-0000-00009F3C0000}"/>
    <cellStyle name="Normal 2 2 5 2 2 2 4" xfId="15520" xr:uid="{00000000-0005-0000-0000-0000A03C0000}"/>
    <cellStyle name="Normal 2 2 5 2 2 2 4 2" xfId="15521" xr:uid="{00000000-0005-0000-0000-0000A13C0000}"/>
    <cellStyle name="Normal 2 2 5 2 2 2 5" xfId="15522" xr:uid="{00000000-0005-0000-0000-0000A23C0000}"/>
    <cellStyle name="Normal 2 2 5 2 2 2 5 2" xfId="15523" xr:uid="{00000000-0005-0000-0000-0000A33C0000}"/>
    <cellStyle name="Normal 2 2 5 2 2 2 6" xfId="15524" xr:uid="{00000000-0005-0000-0000-0000A43C0000}"/>
    <cellStyle name="Normal 2 2 5 2 2 2 6 2" xfId="15525" xr:uid="{00000000-0005-0000-0000-0000A53C0000}"/>
    <cellStyle name="Normal 2 2 5 2 2 2 7" xfId="15526" xr:uid="{00000000-0005-0000-0000-0000A63C0000}"/>
    <cellStyle name="Normal 2 2 5 2 2 2 7 2" xfId="15527" xr:uid="{00000000-0005-0000-0000-0000A73C0000}"/>
    <cellStyle name="Normal 2 2 5 2 2 2 8" xfId="15528" xr:uid="{00000000-0005-0000-0000-0000A83C0000}"/>
    <cellStyle name="Normal 2 2 5 2 2 2 8 2" xfId="15529" xr:uid="{00000000-0005-0000-0000-0000A93C0000}"/>
    <cellStyle name="Normal 2 2 5 2 2 3" xfId="15530" xr:uid="{00000000-0005-0000-0000-0000AA3C0000}"/>
    <cellStyle name="Normal 2 2 5 2 2 3 2" xfId="15531" xr:uid="{00000000-0005-0000-0000-0000AB3C0000}"/>
    <cellStyle name="Normal 2 2 5 2 2 3 3" xfId="15532" xr:uid="{00000000-0005-0000-0000-0000AC3C0000}"/>
    <cellStyle name="Normal 2 2 5 2 2 4" xfId="15533" xr:uid="{00000000-0005-0000-0000-0000AD3C0000}"/>
    <cellStyle name="Normal 2 2 5 2 2 5" xfId="15534" xr:uid="{00000000-0005-0000-0000-0000AE3C0000}"/>
    <cellStyle name="Normal 2 2 5 2 2 6" xfId="15535" xr:uid="{00000000-0005-0000-0000-0000AF3C0000}"/>
    <cellStyle name="Normal 2 2 5 2 2 7" xfId="15536" xr:uid="{00000000-0005-0000-0000-0000B03C0000}"/>
    <cellStyle name="Normal 2 2 5 2 2 8" xfId="15537" xr:uid="{00000000-0005-0000-0000-0000B13C0000}"/>
    <cellStyle name="Normal 2 2 5 2 3" xfId="15538" xr:uid="{00000000-0005-0000-0000-0000B23C0000}"/>
    <cellStyle name="Normal 2 2 5 2 3 2" xfId="15539" xr:uid="{00000000-0005-0000-0000-0000B33C0000}"/>
    <cellStyle name="Normal 2 2 5 2 3 2 2" xfId="15540" xr:uid="{00000000-0005-0000-0000-0000B43C0000}"/>
    <cellStyle name="Normal 2 2 5 2 3 2 3" xfId="15541" xr:uid="{00000000-0005-0000-0000-0000B53C0000}"/>
    <cellStyle name="Normal 2 2 5 2 4" xfId="15542" xr:uid="{00000000-0005-0000-0000-0000B63C0000}"/>
    <cellStyle name="Normal 2 2 5 2 5" xfId="15543" xr:uid="{00000000-0005-0000-0000-0000B73C0000}"/>
    <cellStyle name="Normal 2 2 5 2 5 2" xfId="15544" xr:uid="{00000000-0005-0000-0000-0000B83C0000}"/>
    <cellStyle name="Normal 2 2 5 2 6" xfId="15545" xr:uid="{00000000-0005-0000-0000-0000B93C0000}"/>
    <cellStyle name="Normal 2 2 5 2 6 2" xfId="15546" xr:uid="{00000000-0005-0000-0000-0000BA3C0000}"/>
    <cellStyle name="Normal 2 2 5 2 7" xfId="15547" xr:uid="{00000000-0005-0000-0000-0000BB3C0000}"/>
    <cellStyle name="Normal 2 2 5 2 7 2" xfId="15548" xr:uid="{00000000-0005-0000-0000-0000BC3C0000}"/>
    <cellStyle name="Normal 2 2 5 2 8" xfId="15549" xr:uid="{00000000-0005-0000-0000-0000BD3C0000}"/>
    <cellStyle name="Normal 2 2 5 2 8 2" xfId="15550" xr:uid="{00000000-0005-0000-0000-0000BE3C0000}"/>
    <cellStyle name="Normal 2 2 5 2 9" xfId="15551" xr:uid="{00000000-0005-0000-0000-0000BF3C0000}"/>
    <cellStyle name="Normal 2 2 5 2 9 2" xfId="15552" xr:uid="{00000000-0005-0000-0000-0000C03C0000}"/>
    <cellStyle name="Normal 2 2 5 3" xfId="15553" xr:uid="{00000000-0005-0000-0000-0000C13C0000}"/>
    <cellStyle name="Normal 2 2 5 3 2" xfId="15554" xr:uid="{00000000-0005-0000-0000-0000C23C0000}"/>
    <cellStyle name="Normal 2 2 5 3 2 2" xfId="15555" xr:uid="{00000000-0005-0000-0000-0000C33C0000}"/>
    <cellStyle name="Normal 2 2 5 3 2 2 2" xfId="15556" xr:uid="{00000000-0005-0000-0000-0000C43C0000}"/>
    <cellStyle name="Normal 2 2 5 3 2 2 3" xfId="15557" xr:uid="{00000000-0005-0000-0000-0000C53C0000}"/>
    <cellStyle name="Normal 2 2 5 3 3" xfId="15558" xr:uid="{00000000-0005-0000-0000-0000C63C0000}"/>
    <cellStyle name="Normal 2 2 5 4" xfId="15559" xr:uid="{00000000-0005-0000-0000-0000C73C0000}"/>
    <cellStyle name="Normal 2 2 5 4 2" xfId="15560" xr:uid="{00000000-0005-0000-0000-0000C83C0000}"/>
    <cellStyle name="Normal 2 2 5 5" xfId="15561" xr:uid="{00000000-0005-0000-0000-0000C93C0000}"/>
    <cellStyle name="Normal 2 2 5 5 2" xfId="15562" xr:uid="{00000000-0005-0000-0000-0000CA3C0000}"/>
    <cellStyle name="Normal 2 2 5 5 3" xfId="15563" xr:uid="{00000000-0005-0000-0000-0000CB3C0000}"/>
    <cellStyle name="Normal 2 2 5 6" xfId="15564" xr:uid="{00000000-0005-0000-0000-0000CC3C0000}"/>
    <cellStyle name="Normal 2 2 5 6 2" xfId="15565" xr:uid="{00000000-0005-0000-0000-0000CD3C0000}"/>
    <cellStyle name="Normal 2 2 5 7" xfId="15566" xr:uid="{00000000-0005-0000-0000-0000CE3C0000}"/>
    <cellStyle name="Normal 2 2 5 8" xfId="15567" xr:uid="{00000000-0005-0000-0000-0000CF3C0000}"/>
    <cellStyle name="Normal 2 2 5 9" xfId="15568" xr:uid="{00000000-0005-0000-0000-0000D03C0000}"/>
    <cellStyle name="Normal 2 2 6" xfId="15569" xr:uid="{00000000-0005-0000-0000-0000D13C0000}"/>
    <cellStyle name="Normal 2 2 6 2" xfId="15570" xr:uid="{00000000-0005-0000-0000-0000D23C0000}"/>
    <cellStyle name="Normal 2 2 6 2 2" xfId="15571" xr:uid="{00000000-0005-0000-0000-0000D33C0000}"/>
    <cellStyle name="Normal 2 2 6 2 2 2" xfId="15572" xr:uid="{00000000-0005-0000-0000-0000D43C0000}"/>
    <cellStyle name="Normal 2 2 6 2 2 2 2" xfId="15573" xr:uid="{00000000-0005-0000-0000-0000D53C0000}"/>
    <cellStyle name="Normal 2 2 6 2 2 2 2 2" xfId="15574" xr:uid="{00000000-0005-0000-0000-0000D63C0000}"/>
    <cellStyle name="Normal 2 2 6 2 2 2 2 3" xfId="15575" xr:uid="{00000000-0005-0000-0000-0000D73C0000}"/>
    <cellStyle name="Normal 2 2 6 2 2 2 2 4" xfId="15576" xr:uid="{00000000-0005-0000-0000-0000D83C0000}"/>
    <cellStyle name="Normal 2 2 6 2 2 2 2 5" xfId="15577" xr:uid="{00000000-0005-0000-0000-0000D93C0000}"/>
    <cellStyle name="Normal 2 2 6 2 2 2 2 6" xfId="15578" xr:uid="{00000000-0005-0000-0000-0000DA3C0000}"/>
    <cellStyle name="Normal 2 2 6 2 2 2 2 7" xfId="15579" xr:uid="{00000000-0005-0000-0000-0000DB3C0000}"/>
    <cellStyle name="Normal 2 2 6 2 2 2 2 8" xfId="15580" xr:uid="{00000000-0005-0000-0000-0000DC3C0000}"/>
    <cellStyle name="Normal 2 2 6 2 2 2 3" xfId="15581" xr:uid="{00000000-0005-0000-0000-0000DD3C0000}"/>
    <cellStyle name="Normal 2 2 6 2 2 2 3 2" xfId="15582" xr:uid="{00000000-0005-0000-0000-0000DE3C0000}"/>
    <cellStyle name="Normal 2 2 6 2 2 2 4" xfId="15583" xr:uid="{00000000-0005-0000-0000-0000DF3C0000}"/>
    <cellStyle name="Normal 2 2 6 2 2 2 4 2" xfId="15584" xr:uid="{00000000-0005-0000-0000-0000E03C0000}"/>
    <cellStyle name="Normal 2 2 6 2 2 2 5" xfId="15585" xr:uid="{00000000-0005-0000-0000-0000E13C0000}"/>
    <cellStyle name="Normal 2 2 6 2 2 2 5 2" xfId="15586" xr:uid="{00000000-0005-0000-0000-0000E23C0000}"/>
    <cellStyle name="Normal 2 2 6 2 2 2 6" xfId="15587" xr:uid="{00000000-0005-0000-0000-0000E33C0000}"/>
    <cellStyle name="Normal 2 2 6 2 2 2 6 2" xfId="15588" xr:uid="{00000000-0005-0000-0000-0000E43C0000}"/>
    <cellStyle name="Normal 2 2 6 2 2 2 7" xfId="15589" xr:uid="{00000000-0005-0000-0000-0000E53C0000}"/>
    <cellStyle name="Normal 2 2 6 2 2 2 7 2" xfId="15590" xr:uid="{00000000-0005-0000-0000-0000E63C0000}"/>
    <cellStyle name="Normal 2 2 6 2 2 3" xfId="15591" xr:uid="{00000000-0005-0000-0000-0000E73C0000}"/>
    <cellStyle name="Normal 2 2 6 2 2 4" xfId="15592" xr:uid="{00000000-0005-0000-0000-0000E83C0000}"/>
    <cellStyle name="Normal 2 2 6 2 2 5" xfId="15593" xr:uid="{00000000-0005-0000-0000-0000E93C0000}"/>
    <cellStyle name="Normal 2 2 6 2 2 6" xfId="15594" xr:uid="{00000000-0005-0000-0000-0000EA3C0000}"/>
    <cellStyle name="Normal 2 2 6 2 2 7" xfId="15595" xr:uid="{00000000-0005-0000-0000-0000EB3C0000}"/>
    <cellStyle name="Normal 2 2 6 2 3" xfId="15596" xr:uid="{00000000-0005-0000-0000-0000EC3C0000}"/>
    <cellStyle name="Normal 2 2 6 2 4" xfId="15597" xr:uid="{00000000-0005-0000-0000-0000ED3C0000}"/>
    <cellStyle name="Normal 2 2 6 2 4 2" xfId="15598" xr:uid="{00000000-0005-0000-0000-0000EE3C0000}"/>
    <cellStyle name="Normal 2 2 6 2 5" xfId="15599" xr:uid="{00000000-0005-0000-0000-0000EF3C0000}"/>
    <cellStyle name="Normal 2 2 6 2 5 2" xfId="15600" xr:uid="{00000000-0005-0000-0000-0000F03C0000}"/>
    <cellStyle name="Normal 2 2 6 2 6" xfId="15601" xr:uid="{00000000-0005-0000-0000-0000F13C0000}"/>
    <cellStyle name="Normal 2 2 6 2 6 2" xfId="15602" xr:uid="{00000000-0005-0000-0000-0000F23C0000}"/>
    <cellStyle name="Normal 2 2 6 2 7" xfId="15603" xr:uid="{00000000-0005-0000-0000-0000F33C0000}"/>
    <cellStyle name="Normal 2 2 6 2 7 2" xfId="15604" xr:uid="{00000000-0005-0000-0000-0000F43C0000}"/>
    <cellStyle name="Normal 2 2 6 2 8" xfId="15605" xr:uid="{00000000-0005-0000-0000-0000F53C0000}"/>
    <cellStyle name="Normal 2 2 6 2 8 2" xfId="15606" xr:uid="{00000000-0005-0000-0000-0000F63C0000}"/>
    <cellStyle name="Normal 2 2 6 3" xfId="15607" xr:uid="{00000000-0005-0000-0000-0000F73C0000}"/>
    <cellStyle name="Normal 2 2 6 3 2" xfId="15608" xr:uid="{00000000-0005-0000-0000-0000F83C0000}"/>
    <cellStyle name="Normal 2 2 6 4" xfId="15609" xr:uid="{00000000-0005-0000-0000-0000F93C0000}"/>
    <cellStyle name="Normal 2 2 6 4 2" xfId="15610" xr:uid="{00000000-0005-0000-0000-0000FA3C0000}"/>
    <cellStyle name="Normal 2 2 6 4 3" xfId="15611" xr:uid="{00000000-0005-0000-0000-0000FB3C0000}"/>
    <cellStyle name="Normal 2 2 6 5" xfId="15612" xr:uid="{00000000-0005-0000-0000-0000FC3C0000}"/>
    <cellStyle name="Normal 2 2 6 5 2" xfId="15613" xr:uid="{00000000-0005-0000-0000-0000FD3C0000}"/>
    <cellStyle name="Normal 2 2 6 6" xfId="15614" xr:uid="{00000000-0005-0000-0000-0000FE3C0000}"/>
    <cellStyle name="Normal 2 2 6 7" xfId="15615" xr:uid="{00000000-0005-0000-0000-0000FF3C0000}"/>
    <cellStyle name="Normal 2 2 6 8" xfId="15616" xr:uid="{00000000-0005-0000-0000-0000003D0000}"/>
    <cellStyle name="Normal 2 2 7" xfId="15617" xr:uid="{00000000-0005-0000-0000-0000013D0000}"/>
    <cellStyle name="Normal 2 2 7 10" xfId="15618" xr:uid="{00000000-0005-0000-0000-0000023D0000}"/>
    <cellStyle name="Normal 2 2 7 11" xfId="15619" xr:uid="{00000000-0005-0000-0000-0000033D0000}"/>
    <cellStyle name="Normal 2 2 7 2" xfId="15620" xr:uid="{00000000-0005-0000-0000-0000043D0000}"/>
    <cellStyle name="Normal 2 2 7 2 2" xfId="15621" xr:uid="{00000000-0005-0000-0000-0000053D0000}"/>
    <cellStyle name="Normal 2 2 7 2 2 2" xfId="15622" xr:uid="{00000000-0005-0000-0000-0000063D0000}"/>
    <cellStyle name="Normal 2 2 7 2 2 3" xfId="15623" xr:uid="{00000000-0005-0000-0000-0000073D0000}"/>
    <cellStyle name="Normal 2 2 7 2 2 4" xfId="15624" xr:uid="{00000000-0005-0000-0000-0000083D0000}"/>
    <cellStyle name="Normal 2 2 7 2 2 5" xfId="15625" xr:uid="{00000000-0005-0000-0000-0000093D0000}"/>
    <cellStyle name="Normal 2 2 7 2 2 6" xfId="15626" xr:uid="{00000000-0005-0000-0000-00000A3D0000}"/>
    <cellStyle name="Normal 2 2 7 2 2 7" xfId="15627" xr:uid="{00000000-0005-0000-0000-00000B3D0000}"/>
    <cellStyle name="Normal 2 2 7 2 2 8" xfId="15628" xr:uid="{00000000-0005-0000-0000-00000C3D0000}"/>
    <cellStyle name="Normal 2 2 7 2 3" xfId="15629" xr:uid="{00000000-0005-0000-0000-00000D3D0000}"/>
    <cellStyle name="Normal 2 2 7 2 3 2" xfId="15630" xr:uid="{00000000-0005-0000-0000-00000E3D0000}"/>
    <cellStyle name="Normal 2 2 7 2 4" xfId="15631" xr:uid="{00000000-0005-0000-0000-00000F3D0000}"/>
    <cellStyle name="Normal 2 2 7 2 4 2" xfId="15632" xr:uid="{00000000-0005-0000-0000-0000103D0000}"/>
    <cellStyle name="Normal 2 2 7 2 5" xfId="15633" xr:uid="{00000000-0005-0000-0000-0000113D0000}"/>
    <cellStyle name="Normal 2 2 7 2 5 2" xfId="15634" xr:uid="{00000000-0005-0000-0000-0000123D0000}"/>
    <cellStyle name="Normal 2 2 7 2 6" xfId="15635" xr:uid="{00000000-0005-0000-0000-0000133D0000}"/>
    <cellStyle name="Normal 2 2 7 2 6 2" xfId="15636" xr:uid="{00000000-0005-0000-0000-0000143D0000}"/>
    <cellStyle name="Normal 2 2 7 2 7" xfId="15637" xr:uid="{00000000-0005-0000-0000-0000153D0000}"/>
    <cellStyle name="Normal 2 2 7 2 7 2" xfId="15638" xr:uid="{00000000-0005-0000-0000-0000163D0000}"/>
    <cellStyle name="Normal 2 2 7 3" xfId="15639" xr:uid="{00000000-0005-0000-0000-0000173D0000}"/>
    <cellStyle name="Normal 2 2 7 3 2" xfId="15640" xr:uid="{00000000-0005-0000-0000-0000183D0000}"/>
    <cellStyle name="Normal 2 2 7 3 2 2" xfId="15641" xr:uid="{00000000-0005-0000-0000-0000193D0000}"/>
    <cellStyle name="Normal 2 2 7 3 3" xfId="15642" xr:uid="{00000000-0005-0000-0000-00001A3D0000}"/>
    <cellStyle name="Normal 2 2 7 3 3 2" xfId="15643" xr:uid="{00000000-0005-0000-0000-00001B3D0000}"/>
    <cellStyle name="Normal 2 2 7 3 4" xfId="15644" xr:uid="{00000000-0005-0000-0000-00001C3D0000}"/>
    <cellStyle name="Normal 2 2 7 4" xfId="15645" xr:uid="{00000000-0005-0000-0000-00001D3D0000}"/>
    <cellStyle name="Normal 2 2 7 4 2" xfId="15646" xr:uid="{00000000-0005-0000-0000-00001E3D0000}"/>
    <cellStyle name="Normal 2 2 7 4 2 2" xfId="15647" xr:uid="{00000000-0005-0000-0000-00001F3D0000}"/>
    <cellStyle name="Normal 2 2 7 5" xfId="15648" xr:uid="{00000000-0005-0000-0000-0000203D0000}"/>
    <cellStyle name="Normal 2 2 7 6" xfId="15649" xr:uid="{00000000-0005-0000-0000-0000213D0000}"/>
    <cellStyle name="Normal 2 2 7 7" xfId="15650" xr:uid="{00000000-0005-0000-0000-0000223D0000}"/>
    <cellStyle name="Normal 2 2 7 8" xfId="15651" xr:uid="{00000000-0005-0000-0000-0000233D0000}"/>
    <cellStyle name="Normal 2 2 7 9" xfId="15652" xr:uid="{00000000-0005-0000-0000-0000243D0000}"/>
    <cellStyle name="Normal 2 2 8" xfId="15653" xr:uid="{00000000-0005-0000-0000-0000253D0000}"/>
    <cellStyle name="Normal 2 2 8 2" xfId="15654" xr:uid="{00000000-0005-0000-0000-0000263D0000}"/>
    <cellStyle name="Normal 2 2 8 2 2" xfId="15655" xr:uid="{00000000-0005-0000-0000-0000273D0000}"/>
    <cellStyle name="Normal 2 2 8 3" xfId="15656" xr:uid="{00000000-0005-0000-0000-0000283D0000}"/>
    <cellStyle name="Normal 2 2 8 3 2" xfId="15657" xr:uid="{00000000-0005-0000-0000-0000293D0000}"/>
    <cellStyle name="Normal 2 2 8 4" xfId="15658" xr:uid="{00000000-0005-0000-0000-00002A3D0000}"/>
    <cellStyle name="Normal 2 2 8 4 2" xfId="15659" xr:uid="{00000000-0005-0000-0000-00002B3D0000}"/>
    <cellStyle name="Normal 2 2 8 5" xfId="15660" xr:uid="{00000000-0005-0000-0000-00002C3D0000}"/>
    <cellStyle name="Normal 2 2 9" xfId="15661" xr:uid="{00000000-0005-0000-0000-00002D3D0000}"/>
    <cellStyle name="Normal 2 2 9 2" xfId="15662" xr:uid="{00000000-0005-0000-0000-00002E3D0000}"/>
    <cellStyle name="Normal 2 2 9 2 2" xfId="15663" xr:uid="{00000000-0005-0000-0000-00002F3D0000}"/>
    <cellStyle name="Normal 2 2 9 3" xfId="15664" xr:uid="{00000000-0005-0000-0000-0000303D0000}"/>
    <cellStyle name="Normal 2 2 9 3 2" xfId="15665" xr:uid="{00000000-0005-0000-0000-0000313D0000}"/>
    <cellStyle name="Normal 2 2 9 4" xfId="15666" xr:uid="{00000000-0005-0000-0000-0000323D0000}"/>
    <cellStyle name="Normal 2 2 9 4 2" xfId="15667" xr:uid="{00000000-0005-0000-0000-0000333D0000}"/>
    <cellStyle name="Normal 2 2 9 5" xfId="15668" xr:uid="{00000000-0005-0000-0000-0000343D0000}"/>
    <cellStyle name="Normal 2 2_Accounting system 09" xfId="15669" xr:uid="{00000000-0005-0000-0000-0000353D0000}"/>
    <cellStyle name="Normal 2 20" xfId="15670" xr:uid="{00000000-0005-0000-0000-0000363D0000}"/>
    <cellStyle name="Normal 2 20 2" xfId="15671" xr:uid="{00000000-0005-0000-0000-0000373D0000}"/>
    <cellStyle name="Normal 2 20 3" xfId="15672" xr:uid="{00000000-0005-0000-0000-0000383D0000}"/>
    <cellStyle name="Normal 2 20 4" xfId="15673" xr:uid="{00000000-0005-0000-0000-0000393D0000}"/>
    <cellStyle name="Normal 2 20 4 2" xfId="15674" xr:uid="{00000000-0005-0000-0000-00003A3D0000}"/>
    <cellStyle name="Normal 2 20 5" xfId="15675" xr:uid="{00000000-0005-0000-0000-00003B3D0000}"/>
    <cellStyle name="Normal 2 20 5 2" xfId="15676" xr:uid="{00000000-0005-0000-0000-00003C3D0000}"/>
    <cellStyle name="Normal 2 20 6" xfId="15677" xr:uid="{00000000-0005-0000-0000-00003D3D0000}"/>
    <cellStyle name="Normal 2 20 6 2" xfId="15678" xr:uid="{00000000-0005-0000-0000-00003E3D0000}"/>
    <cellStyle name="Normal 2 20 7" xfId="15679" xr:uid="{00000000-0005-0000-0000-00003F3D0000}"/>
    <cellStyle name="Normal 2 21" xfId="15680" xr:uid="{00000000-0005-0000-0000-0000403D0000}"/>
    <cellStyle name="Normal 2 21 2" xfId="15681" xr:uid="{00000000-0005-0000-0000-0000413D0000}"/>
    <cellStyle name="Normal 2 22" xfId="15682" xr:uid="{00000000-0005-0000-0000-0000423D0000}"/>
    <cellStyle name="Normal 2 22 2" xfId="15683" xr:uid="{00000000-0005-0000-0000-0000433D0000}"/>
    <cellStyle name="Normal 2 23" xfId="15684" xr:uid="{00000000-0005-0000-0000-0000443D0000}"/>
    <cellStyle name="Normal 2 23 2" xfId="15685" xr:uid="{00000000-0005-0000-0000-0000453D0000}"/>
    <cellStyle name="Normal 2 23 2 2" xfId="15686" xr:uid="{00000000-0005-0000-0000-0000463D0000}"/>
    <cellStyle name="Normal 2 23 3" xfId="15687" xr:uid="{00000000-0005-0000-0000-0000473D0000}"/>
    <cellStyle name="Normal 2 23 4" xfId="15688" xr:uid="{00000000-0005-0000-0000-0000483D0000}"/>
    <cellStyle name="Normal 2 23 5" xfId="15689" xr:uid="{00000000-0005-0000-0000-0000493D0000}"/>
    <cellStyle name="Normal 2 23 6" xfId="15690" xr:uid="{00000000-0005-0000-0000-00004A3D0000}"/>
    <cellStyle name="Normal 2 23 7" xfId="15691" xr:uid="{00000000-0005-0000-0000-00004B3D0000}"/>
    <cellStyle name="Normal 2 23 8" xfId="15692" xr:uid="{00000000-0005-0000-0000-00004C3D0000}"/>
    <cellStyle name="Normal 2 24" xfId="15693" xr:uid="{00000000-0005-0000-0000-00004D3D0000}"/>
    <cellStyle name="Normal 2 24 2" xfId="15694" xr:uid="{00000000-0005-0000-0000-00004E3D0000}"/>
    <cellStyle name="Normal 2 25" xfId="15695" xr:uid="{00000000-0005-0000-0000-00004F3D0000}"/>
    <cellStyle name="Normal 2 25 2" xfId="15696" xr:uid="{00000000-0005-0000-0000-0000503D0000}"/>
    <cellStyle name="Normal 2 26" xfId="15697" xr:uid="{00000000-0005-0000-0000-0000513D0000}"/>
    <cellStyle name="Normal 2 26 2" xfId="15698" xr:uid="{00000000-0005-0000-0000-0000523D0000}"/>
    <cellStyle name="Normal 2 27" xfId="15699" xr:uid="{00000000-0005-0000-0000-0000533D0000}"/>
    <cellStyle name="Normal 2 27 2" xfId="15700" xr:uid="{00000000-0005-0000-0000-0000543D0000}"/>
    <cellStyle name="Normal 2 28" xfId="15701" xr:uid="{00000000-0005-0000-0000-0000553D0000}"/>
    <cellStyle name="Normal 2 28 2" xfId="15702" xr:uid="{00000000-0005-0000-0000-0000563D0000}"/>
    <cellStyle name="Normal 2 29" xfId="15703" xr:uid="{00000000-0005-0000-0000-0000573D0000}"/>
    <cellStyle name="Normal 2 29 2" xfId="15704" xr:uid="{00000000-0005-0000-0000-0000583D0000}"/>
    <cellStyle name="Normal 2 29 3" xfId="15705" xr:uid="{00000000-0005-0000-0000-0000593D0000}"/>
    <cellStyle name="Normal 2 3" xfId="15706" xr:uid="{00000000-0005-0000-0000-00005A3D0000}"/>
    <cellStyle name="Normal 2 3 10" xfId="15707" xr:uid="{00000000-0005-0000-0000-00005B3D0000}"/>
    <cellStyle name="Normal 2 3 10 2" xfId="15708" xr:uid="{00000000-0005-0000-0000-00005C3D0000}"/>
    <cellStyle name="Normal 2 3 2" xfId="15709" xr:uid="{00000000-0005-0000-0000-00005D3D0000}"/>
    <cellStyle name="Normal 2 3 2 2" xfId="15710" xr:uid="{00000000-0005-0000-0000-00005E3D0000}"/>
    <cellStyle name="Normal 2 3 2 2 2" xfId="15711" xr:uid="{00000000-0005-0000-0000-00005F3D0000}"/>
    <cellStyle name="Normal 2 3 2 2 2 2" xfId="15712" xr:uid="{00000000-0005-0000-0000-0000603D0000}"/>
    <cellStyle name="Normal 2 3 2 2 2 2 2" xfId="15713" xr:uid="{00000000-0005-0000-0000-0000613D0000}"/>
    <cellStyle name="Normal 2 3 2 2 2 2 2 2" xfId="15714" xr:uid="{00000000-0005-0000-0000-0000623D0000}"/>
    <cellStyle name="Normal 2 3 2 2 2 3" xfId="15715" xr:uid="{00000000-0005-0000-0000-0000633D0000}"/>
    <cellStyle name="Normal 2 3 2 2 2 3 2" xfId="15716" xr:uid="{00000000-0005-0000-0000-0000643D0000}"/>
    <cellStyle name="Normal 2 3 2 2 2 4" xfId="15717" xr:uid="{00000000-0005-0000-0000-0000653D0000}"/>
    <cellStyle name="Normal 2 3 2 2 3" xfId="15718" xr:uid="{00000000-0005-0000-0000-0000663D0000}"/>
    <cellStyle name="Normal 2 3 2 2 4" xfId="15719" xr:uid="{00000000-0005-0000-0000-0000673D0000}"/>
    <cellStyle name="Normal 2 3 2 2 5" xfId="15720" xr:uid="{00000000-0005-0000-0000-0000683D0000}"/>
    <cellStyle name="Normal 2 3 2 2 6" xfId="15721" xr:uid="{00000000-0005-0000-0000-0000693D0000}"/>
    <cellStyle name="Normal 2 3 2 2 7" xfId="15722" xr:uid="{00000000-0005-0000-0000-00006A3D0000}"/>
    <cellStyle name="Normal 2 3 2 3" xfId="15723" xr:uid="{00000000-0005-0000-0000-00006B3D0000}"/>
    <cellStyle name="Normal 2 3 2 4" xfId="15724" xr:uid="{00000000-0005-0000-0000-00006C3D0000}"/>
    <cellStyle name="Normal 2 3 2 4 2" xfId="15725" xr:uid="{00000000-0005-0000-0000-00006D3D0000}"/>
    <cellStyle name="Normal 2 3 2 4 2 2" xfId="15726" xr:uid="{00000000-0005-0000-0000-00006E3D0000}"/>
    <cellStyle name="Normal 2 3 2 5" xfId="15727" xr:uid="{00000000-0005-0000-0000-00006F3D0000}"/>
    <cellStyle name="Normal 2 3 2 6" xfId="15728" xr:uid="{00000000-0005-0000-0000-0000703D0000}"/>
    <cellStyle name="Normal 2 3 3" xfId="15729" xr:uid="{00000000-0005-0000-0000-0000713D0000}"/>
    <cellStyle name="Normal 2 3 4" xfId="15730" xr:uid="{00000000-0005-0000-0000-0000723D0000}"/>
    <cellStyle name="Normal 2 3 5" xfId="15731" xr:uid="{00000000-0005-0000-0000-0000733D0000}"/>
    <cellStyle name="Normal 2 3 6" xfId="15732" xr:uid="{00000000-0005-0000-0000-0000743D0000}"/>
    <cellStyle name="Normal 2 3 6 2" xfId="15733" xr:uid="{00000000-0005-0000-0000-0000753D0000}"/>
    <cellStyle name="Normal 2 3 6 3" xfId="15734" xr:uid="{00000000-0005-0000-0000-0000763D0000}"/>
    <cellStyle name="Normal 2 3 7" xfId="15735" xr:uid="{00000000-0005-0000-0000-0000773D0000}"/>
    <cellStyle name="Normal 2 3 7 2" xfId="15736" xr:uid="{00000000-0005-0000-0000-0000783D0000}"/>
    <cellStyle name="Normal 2 3 8" xfId="15737" xr:uid="{00000000-0005-0000-0000-0000793D0000}"/>
    <cellStyle name="Normal 2 3 8 2" xfId="15738" xr:uid="{00000000-0005-0000-0000-00007A3D0000}"/>
    <cellStyle name="Normal 2 3 8 2 2" xfId="15739" xr:uid="{00000000-0005-0000-0000-00007B3D0000}"/>
    <cellStyle name="Normal 2 3 8 2 2 2" xfId="15740" xr:uid="{00000000-0005-0000-0000-00007C3D0000}"/>
    <cellStyle name="Normal 2 3 8 3" xfId="15741" xr:uid="{00000000-0005-0000-0000-00007D3D0000}"/>
    <cellStyle name="Normal 2 3 9" xfId="15742" xr:uid="{00000000-0005-0000-0000-00007E3D0000}"/>
    <cellStyle name="Normal 2 3 9 2" xfId="15743" xr:uid="{00000000-0005-0000-0000-00007F3D0000}"/>
    <cellStyle name="Normal 2 30" xfId="15744" xr:uid="{00000000-0005-0000-0000-0000803D0000}"/>
    <cellStyle name="Normal 2 31" xfId="15745" xr:uid="{00000000-0005-0000-0000-0000813D0000}"/>
    <cellStyle name="Normal 2 31 2" xfId="15746" xr:uid="{00000000-0005-0000-0000-0000823D0000}"/>
    <cellStyle name="Normal 2 32" xfId="15747" xr:uid="{00000000-0005-0000-0000-0000833D0000}"/>
    <cellStyle name="Normal 2 33" xfId="15748" xr:uid="{00000000-0005-0000-0000-0000843D0000}"/>
    <cellStyle name="Normal 2 34" xfId="15749" xr:uid="{00000000-0005-0000-0000-0000853D0000}"/>
    <cellStyle name="Normal 2 4" xfId="15750" xr:uid="{00000000-0005-0000-0000-0000863D0000}"/>
    <cellStyle name="Normal 2 4 2" xfId="15751" xr:uid="{00000000-0005-0000-0000-0000873D0000}"/>
    <cellStyle name="Normal 2 4 2 10" xfId="15752" xr:uid="{00000000-0005-0000-0000-0000883D0000}"/>
    <cellStyle name="Normal 2 4 2 11" xfId="15753" xr:uid="{00000000-0005-0000-0000-0000893D0000}"/>
    <cellStyle name="Normal 2 4 2 2" xfId="15754" xr:uid="{00000000-0005-0000-0000-00008A3D0000}"/>
    <cellStyle name="Normal 2 4 2 2 2" xfId="15755" xr:uid="{00000000-0005-0000-0000-00008B3D0000}"/>
    <cellStyle name="Normal 2 4 2 2 2 2" xfId="15756" xr:uid="{00000000-0005-0000-0000-00008C3D0000}"/>
    <cellStyle name="Normal 2 4 2 2 2 2 2" xfId="15757" xr:uid="{00000000-0005-0000-0000-00008D3D0000}"/>
    <cellStyle name="Normal 2 4 2 2 2 2 2 2" xfId="15758" xr:uid="{00000000-0005-0000-0000-00008E3D0000}"/>
    <cellStyle name="Normal 2 4 2 2 2 2 2 3" xfId="15759" xr:uid="{00000000-0005-0000-0000-00008F3D0000}"/>
    <cellStyle name="Normal 2 4 2 2 2 2 3" xfId="15760" xr:uid="{00000000-0005-0000-0000-0000903D0000}"/>
    <cellStyle name="Normal 2 4 2 2 2 3" xfId="15761" xr:uid="{00000000-0005-0000-0000-0000913D0000}"/>
    <cellStyle name="Normal 2 4 2 2 2 4" xfId="15762" xr:uid="{00000000-0005-0000-0000-0000923D0000}"/>
    <cellStyle name="Normal 2 4 2 2 2 5" xfId="15763" xr:uid="{00000000-0005-0000-0000-0000933D0000}"/>
    <cellStyle name="Normal 2 4 2 2 2 6" xfId="15764" xr:uid="{00000000-0005-0000-0000-0000943D0000}"/>
    <cellStyle name="Normal 2 4 2 2 2 7" xfId="15765" xr:uid="{00000000-0005-0000-0000-0000953D0000}"/>
    <cellStyle name="Normal 2 4 2 2 3" xfId="15766" xr:uid="{00000000-0005-0000-0000-0000963D0000}"/>
    <cellStyle name="Normal 2 4 2 2 3 2" xfId="15767" xr:uid="{00000000-0005-0000-0000-0000973D0000}"/>
    <cellStyle name="Normal 2 4 2 2 4" xfId="15768" xr:uid="{00000000-0005-0000-0000-0000983D0000}"/>
    <cellStyle name="Normal 2 4 2 2 4 2" xfId="15769" xr:uid="{00000000-0005-0000-0000-0000993D0000}"/>
    <cellStyle name="Normal 2 4 2 2 4 2 2" xfId="15770" xr:uid="{00000000-0005-0000-0000-00009A3D0000}"/>
    <cellStyle name="Normal 2 4 2 2 4 2 2 2" xfId="15771" xr:uid="{00000000-0005-0000-0000-00009B3D0000}"/>
    <cellStyle name="Normal 2 4 2 2 4 3" xfId="15772" xr:uid="{00000000-0005-0000-0000-00009C3D0000}"/>
    <cellStyle name="Normal 2 4 2 2 5" xfId="15773" xr:uid="{00000000-0005-0000-0000-00009D3D0000}"/>
    <cellStyle name="Normal 2 4 2 2 5 2" xfId="15774" xr:uid="{00000000-0005-0000-0000-00009E3D0000}"/>
    <cellStyle name="Normal 2 4 2 2 6" xfId="15775" xr:uid="{00000000-0005-0000-0000-00009F3D0000}"/>
    <cellStyle name="Normal 2 4 2 2 6 2" xfId="15776" xr:uid="{00000000-0005-0000-0000-0000A03D0000}"/>
    <cellStyle name="Normal 2 4 2 3" xfId="15777" xr:uid="{00000000-0005-0000-0000-0000A13D0000}"/>
    <cellStyle name="Normal 2 4 2 3 2" xfId="15778" xr:uid="{00000000-0005-0000-0000-0000A23D0000}"/>
    <cellStyle name="Normal 2 4 2 3 2 2" xfId="15779" xr:uid="{00000000-0005-0000-0000-0000A33D0000}"/>
    <cellStyle name="Normal 2 4 2 3 2 2 2" xfId="15780" xr:uid="{00000000-0005-0000-0000-0000A43D0000}"/>
    <cellStyle name="Normal 2 4 2 3 2 2 2 2" xfId="15781" xr:uid="{00000000-0005-0000-0000-0000A53D0000}"/>
    <cellStyle name="Normal 2 4 2 3 2 3" xfId="15782" xr:uid="{00000000-0005-0000-0000-0000A63D0000}"/>
    <cellStyle name="Normal 2 4 2 3 2 4" xfId="15783" xr:uid="{00000000-0005-0000-0000-0000A73D0000}"/>
    <cellStyle name="Normal 2 4 2 3 3" xfId="15784" xr:uid="{00000000-0005-0000-0000-0000A83D0000}"/>
    <cellStyle name="Normal 2 4 2 3 3 2" xfId="15785" xr:uid="{00000000-0005-0000-0000-0000A93D0000}"/>
    <cellStyle name="Normal 2 4 2 3 4" xfId="15786" xr:uid="{00000000-0005-0000-0000-0000AA3D0000}"/>
    <cellStyle name="Normal 2 4 2 3 4 2" xfId="15787" xr:uid="{00000000-0005-0000-0000-0000AB3D0000}"/>
    <cellStyle name="Normal 2 4 2 3 5" xfId="15788" xr:uid="{00000000-0005-0000-0000-0000AC3D0000}"/>
    <cellStyle name="Normal 2 4 2 3 5 2" xfId="15789" xr:uid="{00000000-0005-0000-0000-0000AD3D0000}"/>
    <cellStyle name="Normal 2 4 2 3 6" xfId="15790" xr:uid="{00000000-0005-0000-0000-0000AE3D0000}"/>
    <cellStyle name="Normal 2 4 2 4" xfId="15791" xr:uid="{00000000-0005-0000-0000-0000AF3D0000}"/>
    <cellStyle name="Normal 2 4 2 4 2" xfId="15792" xr:uid="{00000000-0005-0000-0000-0000B03D0000}"/>
    <cellStyle name="Normal 2 4 2 4 2 2" xfId="15793" xr:uid="{00000000-0005-0000-0000-0000B13D0000}"/>
    <cellStyle name="Normal 2 4 2 4 2 3" xfId="15794" xr:uid="{00000000-0005-0000-0000-0000B23D0000}"/>
    <cellStyle name="Normal 2 4 2 4 3" xfId="15795" xr:uid="{00000000-0005-0000-0000-0000B33D0000}"/>
    <cellStyle name="Normal 2 4 2 5" xfId="15796" xr:uid="{00000000-0005-0000-0000-0000B43D0000}"/>
    <cellStyle name="Normal 2 4 2 6" xfId="15797" xr:uid="{00000000-0005-0000-0000-0000B53D0000}"/>
    <cellStyle name="Normal 2 4 2 7" xfId="15798" xr:uid="{00000000-0005-0000-0000-0000B63D0000}"/>
    <cellStyle name="Normal 2 4 2 8" xfId="15799" xr:uid="{00000000-0005-0000-0000-0000B73D0000}"/>
    <cellStyle name="Normal 2 4 2 9" xfId="15800" xr:uid="{00000000-0005-0000-0000-0000B83D0000}"/>
    <cellStyle name="Normal 2 4 3" xfId="15801" xr:uid="{00000000-0005-0000-0000-0000B93D0000}"/>
    <cellStyle name="Normal 2 4 3 2" xfId="15802" xr:uid="{00000000-0005-0000-0000-0000BA3D0000}"/>
    <cellStyle name="Normal 2 4 3 2 2" xfId="15803" xr:uid="{00000000-0005-0000-0000-0000BB3D0000}"/>
    <cellStyle name="Normal 2 4 3 2 2 2" xfId="15804" xr:uid="{00000000-0005-0000-0000-0000BC3D0000}"/>
    <cellStyle name="Normal 2 4 3 2 2 2 2" xfId="15805" xr:uid="{00000000-0005-0000-0000-0000BD3D0000}"/>
    <cellStyle name="Normal 2 4 3 2 3" xfId="15806" xr:uid="{00000000-0005-0000-0000-0000BE3D0000}"/>
    <cellStyle name="Normal 2 4 3 2 4" xfId="15807" xr:uid="{00000000-0005-0000-0000-0000BF3D0000}"/>
    <cellStyle name="Normal 2 4 3 3" xfId="15808" xr:uid="{00000000-0005-0000-0000-0000C03D0000}"/>
    <cellStyle name="Normal 2 4 3 3 2" xfId="15809" xr:uid="{00000000-0005-0000-0000-0000C13D0000}"/>
    <cellStyle name="Normal 2 4 3 4" xfId="15810" xr:uid="{00000000-0005-0000-0000-0000C23D0000}"/>
    <cellStyle name="Normal 2 4 3 4 2" xfId="15811" xr:uid="{00000000-0005-0000-0000-0000C33D0000}"/>
    <cellStyle name="Normal 2 4 3 5" xfId="15812" xr:uid="{00000000-0005-0000-0000-0000C43D0000}"/>
    <cellStyle name="Normal 2 4 3 5 2" xfId="15813" xr:uid="{00000000-0005-0000-0000-0000C53D0000}"/>
    <cellStyle name="Normal 2 4 3 6" xfId="15814" xr:uid="{00000000-0005-0000-0000-0000C63D0000}"/>
    <cellStyle name="Normal 2 4 4" xfId="15815" xr:uid="{00000000-0005-0000-0000-0000C73D0000}"/>
    <cellStyle name="Normal 2 4 4 2" xfId="15816" xr:uid="{00000000-0005-0000-0000-0000C83D0000}"/>
    <cellStyle name="Normal 2 4 5" xfId="15817" xr:uid="{00000000-0005-0000-0000-0000C93D0000}"/>
    <cellStyle name="Normal 2 4 5 2" xfId="15818" xr:uid="{00000000-0005-0000-0000-0000CA3D0000}"/>
    <cellStyle name="Normal 2 4 6" xfId="15819" xr:uid="{00000000-0005-0000-0000-0000CB3D0000}"/>
    <cellStyle name="Normal 2 4 6 2" xfId="15820" xr:uid="{00000000-0005-0000-0000-0000CC3D0000}"/>
    <cellStyle name="Normal 2 4 6 3" xfId="15821" xr:uid="{00000000-0005-0000-0000-0000CD3D0000}"/>
    <cellStyle name="Normal 2 4 7" xfId="15822" xr:uid="{00000000-0005-0000-0000-0000CE3D0000}"/>
    <cellStyle name="Normal 2 4 7 2" xfId="15823" xr:uid="{00000000-0005-0000-0000-0000CF3D0000}"/>
    <cellStyle name="Normal 2 4 8" xfId="15824" xr:uid="{00000000-0005-0000-0000-0000D03D0000}"/>
    <cellStyle name="Normal 2 4 8 2" xfId="15825" xr:uid="{00000000-0005-0000-0000-0000D13D0000}"/>
    <cellStyle name="Normal 2 4 9" xfId="15826" xr:uid="{00000000-0005-0000-0000-0000D23D0000}"/>
    <cellStyle name="Normal 2 4 9 2" xfId="15827" xr:uid="{00000000-0005-0000-0000-0000D33D0000}"/>
    <cellStyle name="Normal 2 5" xfId="15828" xr:uid="{00000000-0005-0000-0000-0000D43D0000}"/>
    <cellStyle name="Normal 2 6" xfId="15829" xr:uid="{00000000-0005-0000-0000-0000D53D0000}"/>
    <cellStyle name="Normal 2 6 2" xfId="15830" xr:uid="{00000000-0005-0000-0000-0000D63D0000}"/>
    <cellStyle name="Normal 2 6 2 10" xfId="15831" xr:uid="{00000000-0005-0000-0000-0000D73D0000}"/>
    <cellStyle name="Normal 2 6 2 11" xfId="15832" xr:uid="{00000000-0005-0000-0000-0000D83D0000}"/>
    <cellStyle name="Normal 2 6 2 2" xfId="15833" xr:uid="{00000000-0005-0000-0000-0000D93D0000}"/>
    <cellStyle name="Normal 2 6 2 2 2" xfId="15834" xr:uid="{00000000-0005-0000-0000-0000DA3D0000}"/>
    <cellStyle name="Normal 2 6 2 2 2 2" xfId="15835" xr:uid="{00000000-0005-0000-0000-0000DB3D0000}"/>
    <cellStyle name="Normal 2 6 2 2 2 2 2" xfId="15836" xr:uid="{00000000-0005-0000-0000-0000DC3D0000}"/>
    <cellStyle name="Normal 2 6 2 2 2 2 2 2" xfId="15837" xr:uid="{00000000-0005-0000-0000-0000DD3D0000}"/>
    <cellStyle name="Normal 2 6 2 2 2 2 2 3" xfId="15838" xr:uid="{00000000-0005-0000-0000-0000DE3D0000}"/>
    <cellStyle name="Normal 2 6 2 2 2 2 3" xfId="15839" xr:uid="{00000000-0005-0000-0000-0000DF3D0000}"/>
    <cellStyle name="Normal 2 6 2 2 2 3" xfId="15840" xr:uid="{00000000-0005-0000-0000-0000E03D0000}"/>
    <cellStyle name="Normal 2 6 2 2 2 4" xfId="15841" xr:uid="{00000000-0005-0000-0000-0000E13D0000}"/>
    <cellStyle name="Normal 2 6 2 2 2 5" xfId="15842" xr:uid="{00000000-0005-0000-0000-0000E23D0000}"/>
    <cellStyle name="Normal 2 6 2 2 2 6" xfId="15843" xr:uid="{00000000-0005-0000-0000-0000E33D0000}"/>
    <cellStyle name="Normal 2 6 2 2 2 7" xfId="15844" xr:uid="{00000000-0005-0000-0000-0000E43D0000}"/>
    <cellStyle name="Normal 2 6 2 2 3" xfId="15845" xr:uid="{00000000-0005-0000-0000-0000E53D0000}"/>
    <cellStyle name="Normal 2 6 2 2 4" xfId="15846" xr:uid="{00000000-0005-0000-0000-0000E63D0000}"/>
    <cellStyle name="Normal 2 6 2 2 4 2" xfId="15847" xr:uid="{00000000-0005-0000-0000-0000E73D0000}"/>
    <cellStyle name="Normal 2 6 2 2 4 2 2" xfId="15848" xr:uid="{00000000-0005-0000-0000-0000E83D0000}"/>
    <cellStyle name="Normal 2 6 2 2 4 2 2 2" xfId="15849" xr:uid="{00000000-0005-0000-0000-0000E93D0000}"/>
    <cellStyle name="Normal 2 6 2 2 4 3" xfId="15850" xr:uid="{00000000-0005-0000-0000-0000EA3D0000}"/>
    <cellStyle name="Normal 2 6 2 2 5" xfId="15851" xr:uid="{00000000-0005-0000-0000-0000EB3D0000}"/>
    <cellStyle name="Normal 2 6 2 2 5 2" xfId="15852" xr:uid="{00000000-0005-0000-0000-0000EC3D0000}"/>
    <cellStyle name="Normal 2 6 2 2 6" xfId="15853" xr:uid="{00000000-0005-0000-0000-0000ED3D0000}"/>
    <cellStyle name="Normal 2 6 2 2 6 2" xfId="15854" xr:uid="{00000000-0005-0000-0000-0000EE3D0000}"/>
    <cellStyle name="Normal 2 6 2 2 7" xfId="15855" xr:uid="{00000000-0005-0000-0000-0000EF3D0000}"/>
    <cellStyle name="Normal 2 6 2 2 7 2" xfId="15856" xr:uid="{00000000-0005-0000-0000-0000F03D0000}"/>
    <cellStyle name="Normal 2 6 2 3" xfId="15857" xr:uid="{00000000-0005-0000-0000-0000F13D0000}"/>
    <cellStyle name="Normal 2 6 2 3 2" xfId="15858" xr:uid="{00000000-0005-0000-0000-0000F23D0000}"/>
    <cellStyle name="Normal 2 6 2 3 2 2" xfId="15859" xr:uid="{00000000-0005-0000-0000-0000F33D0000}"/>
    <cellStyle name="Normal 2 6 2 3 2 2 2" xfId="15860" xr:uid="{00000000-0005-0000-0000-0000F43D0000}"/>
    <cellStyle name="Normal 2 6 2 3 2 2 2 2" xfId="15861" xr:uid="{00000000-0005-0000-0000-0000F53D0000}"/>
    <cellStyle name="Normal 2 6 2 3 2 3" xfId="15862" xr:uid="{00000000-0005-0000-0000-0000F63D0000}"/>
    <cellStyle name="Normal 2 6 2 3 2 4" xfId="15863" xr:uid="{00000000-0005-0000-0000-0000F73D0000}"/>
    <cellStyle name="Normal 2 6 2 3 3" xfId="15864" xr:uid="{00000000-0005-0000-0000-0000F83D0000}"/>
    <cellStyle name="Normal 2 6 2 3 3 2" xfId="15865" xr:uid="{00000000-0005-0000-0000-0000F93D0000}"/>
    <cellStyle name="Normal 2 6 2 3 4" xfId="15866" xr:uid="{00000000-0005-0000-0000-0000FA3D0000}"/>
    <cellStyle name="Normal 2 6 2 3 4 2" xfId="15867" xr:uid="{00000000-0005-0000-0000-0000FB3D0000}"/>
    <cellStyle name="Normal 2 6 2 3 5" xfId="15868" xr:uid="{00000000-0005-0000-0000-0000FC3D0000}"/>
    <cellStyle name="Normal 2 6 2 3 5 2" xfId="15869" xr:uid="{00000000-0005-0000-0000-0000FD3D0000}"/>
    <cellStyle name="Normal 2 6 2 3 6" xfId="15870" xr:uid="{00000000-0005-0000-0000-0000FE3D0000}"/>
    <cellStyle name="Normal 2 6 2 3 6 2" xfId="15871" xr:uid="{00000000-0005-0000-0000-0000FF3D0000}"/>
    <cellStyle name="Normal 2 6 2 4" xfId="15872" xr:uid="{00000000-0005-0000-0000-0000003E0000}"/>
    <cellStyle name="Normal 2 6 2 4 2" xfId="15873" xr:uid="{00000000-0005-0000-0000-0000013E0000}"/>
    <cellStyle name="Normal 2 6 2 4 2 2" xfId="15874" xr:uid="{00000000-0005-0000-0000-0000023E0000}"/>
    <cellStyle name="Normal 2 6 2 4 2 3" xfId="15875" xr:uid="{00000000-0005-0000-0000-0000033E0000}"/>
    <cellStyle name="Normal 2 6 2 5" xfId="15876" xr:uid="{00000000-0005-0000-0000-0000043E0000}"/>
    <cellStyle name="Normal 2 6 2 6" xfId="15877" xr:uid="{00000000-0005-0000-0000-0000053E0000}"/>
    <cellStyle name="Normal 2 6 2 7" xfId="15878" xr:uid="{00000000-0005-0000-0000-0000063E0000}"/>
    <cellStyle name="Normal 2 6 2 8" xfId="15879" xr:uid="{00000000-0005-0000-0000-0000073E0000}"/>
    <cellStyle name="Normal 2 6 2 9" xfId="15880" xr:uid="{00000000-0005-0000-0000-0000083E0000}"/>
    <cellStyle name="Normal 2 6 3" xfId="15881" xr:uid="{00000000-0005-0000-0000-0000093E0000}"/>
    <cellStyle name="Normal 2 6 3 2" xfId="15882" xr:uid="{00000000-0005-0000-0000-00000A3E0000}"/>
    <cellStyle name="Normal 2 6 3 2 2" xfId="15883" xr:uid="{00000000-0005-0000-0000-00000B3E0000}"/>
    <cellStyle name="Normal 2 6 3 2 2 2" xfId="15884" xr:uid="{00000000-0005-0000-0000-00000C3E0000}"/>
    <cellStyle name="Normal 2 6 3 2 3" xfId="15885" xr:uid="{00000000-0005-0000-0000-00000D3E0000}"/>
    <cellStyle name="Normal 2 6 3 3" xfId="15886" xr:uid="{00000000-0005-0000-0000-00000E3E0000}"/>
    <cellStyle name="Normal 2 6 3 3 2" xfId="15887" xr:uid="{00000000-0005-0000-0000-00000F3E0000}"/>
    <cellStyle name="Normal 2 6 3 4" xfId="15888" xr:uid="{00000000-0005-0000-0000-0000103E0000}"/>
    <cellStyle name="Normal 2 6 3 5" xfId="15889" xr:uid="{00000000-0005-0000-0000-0000113E0000}"/>
    <cellStyle name="Normal 2 6 3 6" xfId="15890" xr:uid="{00000000-0005-0000-0000-0000123E0000}"/>
    <cellStyle name="Normal 2 6 3 7" xfId="15891" xr:uid="{00000000-0005-0000-0000-0000133E0000}"/>
    <cellStyle name="Normal 2 6 4" xfId="15892" xr:uid="{00000000-0005-0000-0000-0000143E0000}"/>
    <cellStyle name="Normal 2 6 4 2" xfId="15893" xr:uid="{00000000-0005-0000-0000-0000153E0000}"/>
    <cellStyle name="Normal 2 6 4 2 2" xfId="15894" xr:uid="{00000000-0005-0000-0000-0000163E0000}"/>
    <cellStyle name="Normal 2 6 4 2 2 2" xfId="15895" xr:uid="{00000000-0005-0000-0000-0000173E0000}"/>
    <cellStyle name="Normal 2 6 4 3" xfId="15896" xr:uid="{00000000-0005-0000-0000-0000183E0000}"/>
    <cellStyle name="Normal 2 6 5" xfId="15897" xr:uid="{00000000-0005-0000-0000-0000193E0000}"/>
    <cellStyle name="Normal 2 6 5 2" xfId="15898" xr:uid="{00000000-0005-0000-0000-00001A3E0000}"/>
    <cellStyle name="Normal 2 6 6" xfId="15899" xr:uid="{00000000-0005-0000-0000-00001B3E0000}"/>
    <cellStyle name="Normal 2 6 6 2" xfId="15900" xr:uid="{00000000-0005-0000-0000-00001C3E0000}"/>
    <cellStyle name="Normal 2 6 7" xfId="15901" xr:uid="{00000000-0005-0000-0000-00001D3E0000}"/>
    <cellStyle name="Normal 2 7" xfId="15902" xr:uid="{00000000-0005-0000-0000-00001E3E0000}"/>
    <cellStyle name="Normal 2 7 10" xfId="15903" xr:uid="{00000000-0005-0000-0000-00001F3E0000}"/>
    <cellStyle name="Normal 2 7 11" xfId="15904" xr:uid="{00000000-0005-0000-0000-0000203E0000}"/>
    <cellStyle name="Normal 2 7 11 2" xfId="15905" xr:uid="{00000000-0005-0000-0000-0000213E0000}"/>
    <cellStyle name="Normal 2 7 12" xfId="15906" xr:uid="{00000000-0005-0000-0000-0000223E0000}"/>
    <cellStyle name="Normal 2 7 12 2" xfId="15907" xr:uid="{00000000-0005-0000-0000-0000233E0000}"/>
    <cellStyle name="Normal 2 7 13" xfId="15908" xr:uid="{00000000-0005-0000-0000-0000243E0000}"/>
    <cellStyle name="Normal 2 7 13 2" xfId="15909" xr:uid="{00000000-0005-0000-0000-0000253E0000}"/>
    <cellStyle name="Normal 2 7 14" xfId="15910" xr:uid="{00000000-0005-0000-0000-0000263E0000}"/>
    <cellStyle name="Normal 2 7 14 2" xfId="15911" xr:uid="{00000000-0005-0000-0000-0000273E0000}"/>
    <cellStyle name="Normal 2 7 15" xfId="15912" xr:uid="{00000000-0005-0000-0000-0000283E0000}"/>
    <cellStyle name="Normal 2 7 15 2" xfId="15913" xr:uid="{00000000-0005-0000-0000-0000293E0000}"/>
    <cellStyle name="Normal 2 7 16" xfId="15914" xr:uid="{00000000-0005-0000-0000-00002A3E0000}"/>
    <cellStyle name="Normal 2 7 16 2" xfId="15915" xr:uid="{00000000-0005-0000-0000-00002B3E0000}"/>
    <cellStyle name="Normal 2 7 17" xfId="15916" xr:uid="{00000000-0005-0000-0000-00002C3E0000}"/>
    <cellStyle name="Normal 2 7 17 2" xfId="15917" xr:uid="{00000000-0005-0000-0000-00002D3E0000}"/>
    <cellStyle name="Normal 2 7 18" xfId="15918" xr:uid="{00000000-0005-0000-0000-00002E3E0000}"/>
    <cellStyle name="Normal 2 7 18 2" xfId="15919" xr:uid="{00000000-0005-0000-0000-00002F3E0000}"/>
    <cellStyle name="Normal 2 7 19" xfId="15920" xr:uid="{00000000-0005-0000-0000-0000303E0000}"/>
    <cellStyle name="Normal 2 7 19 2" xfId="15921" xr:uid="{00000000-0005-0000-0000-0000313E0000}"/>
    <cellStyle name="Normal 2 7 2" xfId="15922" xr:uid="{00000000-0005-0000-0000-0000323E0000}"/>
    <cellStyle name="Normal 2 7 20" xfId="15923" xr:uid="{00000000-0005-0000-0000-0000333E0000}"/>
    <cellStyle name="Normal 2 7 20 2" xfId="15924" xr:uid="{00000000-0005-0000-0000-0000343E0000}"/>
    <cellStyle name="Normal 2 7 21" xfId="15925" xr:uid="{00000000-0005-0000-0000-0000353E0000}"/>
    <cellStyle name="Normal 2 7 21 2" xfId="15926" xr:uid="{00000000-0005-0000-0000-0000363E0000}"/>
    <cellStyle name="Normal 2 7 22" xfId="15927" xr:uid="{00000000-0005-0000-0000-0000373E0000}"/>
    <cellStyle name="Normal 2 7 22 2" xfId="15928" xr:uid="{00000000-0005-0000-0000-0000383E0000}"/>
    <cellStyle name="Normal 2 7 23" xfId="15929" xr:uid="{00000000-0005-0000-0000-0000393E0000}"/>
    <cellStyle name="Normal 2 7 23 2" xfId="15930" xr:uid="{00000000-0005-0000-0000-00003A3E0000}"/>
    <cellStyle name="Normal 2 7 24" xfId="15931" xr:uid="{00000000-0005-0000-0000-00003B3E0000}"/>
    <cellStyle name="Normal 2 7 24 2" xfId="15932" xr:uid="{00000000-0005-0000-0000-00003C3E0000}"/>
    <cellStyle name="Normal 2 7 25" xfId="15933" xr:uid="{00000000-0005-0000-0000-00003D3E0000}"/>
    <cellStyle name="Normal 2 7 25 2" xfId="15934" xr:uid="{00000000-0005-0000-0000-00003E3E0000}"/>
    <cellStyle name="Normal 2 7 26" xfId="15935" xr:uid="{00000000-0005-0000-0000-00003F3E0000}"/>
    <cellStyle name="Normal 2 7 26 2" xfId="15936" xr:uid="{00000000-0005-0000-0000-0000403E0000}"/>
    <cellStyle name="Normal 2 7 27" xfId="15937" xr:uid="{00000000-0005-0000-0000-0000413E0000}"/>
    <cellStyle name="Normal 2 7 28" xfId="15938" xr:uid="{00000000-0005-0000-0000-0000423E0000}"/>
    <cellStyle name="Normal 2 7 29" xfId="15939" xr:uid="{00000000-0005-0000-0000-0000433E0000}"/>
    <cellStyle name="Normal 2 7 3" xfId="15940" xr:uid="{00000000-0005-0000-0000-0000443E0000}"/>
    <cellStyle name="Normal 2 7 30" xfId="15941" xr:uid="{00000000-0005-0000-0000-0000453E0000}"/>
    <cellStyle name="Normal 2 7 31" xfId="15942" xr:uid="{00000000-0005-0000-0000-0000463E0000}"/>
    <cellStyle name="Normal 2 7 32" xfId="15943" xr:uid="{00000000-0005-0000-0000-0000473E0000}"/>
    <cellStyle name="Normal 2 7 33" xfId="15944" xr:uid="{00000000-0005-0000-0000-0000483E0000}"/>
    <cellStyle name="Normal 2 7 34" xfId="15945" xr:uid="{00000000-0005-0000-0000-0000493E0000}"/>
    <cellStyle name="Normal 2 7 35" xfId="15946" xr:uid="{00000000-0005-0000-0000-00004A3E0000}"/>
    <cellStyle name="Normal 2 7 36" xfId="15947" xr:uid="{00000000-0005-0000-0000-00004B3E0000}"/>
    <cellStyle name="Normal 2 7 4" xfId="15948" xr:uid="{00000000-0005-0000-0000-00004C3E0000}"/>
    <cellStyle name="Normal 2 7 4 2" xfId="15949" xr:uid="{00000000-0005-0000-0000-00004D3E0000}"/>
    <cellStyle name="Normal 2 7 5" xfId="15950" xr:uid="{00000000-0005-0000-0000-00004E3E0000}"/>
    <cellStyle name="Normal 2 7 5 2" xfId="15951" xr:uid="{00000000-0005-0000-0000-00004F3E0000}"/>
    <cellStyle name="Normal 2 7 6" xfId="15952" xr:uid="{00000000-0005-0000-0000-0000503E0000}"/>
    <cellStyle name="Normal 2 7 6 2" xfId="15953" xr:uid="{00000000-0005-0000-0000-0000513E0000}"/>
    <cellStyle name="Normal 2 7 7" xfId="15954" xr:uid="{00000000-0005-0000-0000-0000523E0000}"/>
    <cellStyle name="Normal 2 7 7 2" xfId="15955" xr:uid="{00000000-0005-0000-0000-0000533E0000}"/>
    <cellStyle name="Normal 2 7 8" xfId="15956" xr:uid="{00000000-0005-0000-0000-0000543E0000}"/>
    <cellStyle name="Normal 2 7 8 2" xfId="15957" xr:uid="{00000000-0005-0000-0000-0000553E0000}"/>
    <cellStyle name="Normal 2 7 9" xfId="15958" xr:uid="{00000000-0005-0000-0000-0000563E0000}"/>
    <cellStyle name="Normal 2 7 9 2" xfId="15959" xr:uid="{00000000-0005-0000-0000-0000573E0000}"/>
    <cellStyle name="Normal 2 8" xfId="15960" xr:uid="{00000000-0005-0000-0000-0000583E0000}"/>
    <cellStyle name="Normal 2 9" xfId="15961" xr:uid="{00000000-0005-0000-0000-0000593E0000}"/>
    <cellStyle name="Normal 20" xfId="15962" xr:uid="{00000000-0005-0000-0000-00005A3E0000}"/>
    <cellStyle name="Normal 21" xfId="15963" xr:uid="{00000000-0005-0000-0000-00005B3E0000}"/>
    <cellStyle name="Normal 22" xfId="15964" xr:uid="{00000000-0005-0000-0000-00005C3E0000}"/>
    <cellStyle name="Normal 23" xfId="15965" xr:uid="{00000000-0005-0000-0000-00005D3E0000}"/>
    <cellStyle name="Normal 24" xfId="15966" xr:uid="{00000000-0005-0000-0000-00005E3E0000}"/>
    <cellStyle name="Normal 25" xfId="15967" xr:uid="{00000000-0005-0000-0000-00005F3E0000}"/>
    <cellStyle name="Normal 25 2" xfId="15968" xr:uid="{00000000-0005-0000-0000-0000603E0000}"/>
    <cellStyle name="Normal 26" xfId="15969" xr:uid="{00000000-0005-0000-0000-0000613E0000}"/>
    <cellStyle name="Normal 26 2" xfId="15970" xr:uid="{00000000-0005-0000-0000-0000623E0000}"/>
    <cellStyle name="Normal 26 2 2" xfId="15971" xr:uid="{00000000-0005-0000-0000-0000633E0000}"/>
    <cellStyle name="Normal 26 2 3" xfId="15972" xr:uid="{00000000-0005-0000-0000-0000643E0000}"/>
    <cellStyle name="Normal 27" xfId="15973" xr:uid="{00000000-0005-0000-0000-0000653E0000}"/>
    <cellStyle name="Normal 27 2" xfId="15974" xr:uid="{00000000-0005-0000-0000-0000663E0000}"/>
    <cellStyle name="Normal 28" xfId="16216" xr:uid="{00000000-0005-0000-0000-0000673E0000}"/>
    <cellStyle name="Normal 29" xfId="16220" xr:uid="{00000000-0005-0000-0000-0000683E0000}"/>
    <cellStyle name="Normal 3" xfId="2" xr:uid="{00000000-0005-0000-0000-0000693E0000}"/>
    <cellStyle name="Normal 3 10" xfId="15975" xr:uid="{00000000-0005-0000-0000-00006A3E0000}"/>
    <cellStyle name="Normal 3 11" xfId="15976" xr:uid="{00000000-0005-0000-0000-00006B3E0000}"/>
    <cellStyle name="Normal 3 12" xfId="15977" xr:uid="{00000000-0005-0000-0000-00006C3E0000}"/>
    <cellStyle name="Normal 3 13" xfId="15978" xr:uid="{00000000-0005-0000-0000-00006D3E0000}"/>
    <cellStyle name="Normal 3 14" xfId="15979" xr:uid="{00000000-0005-0000-0000-00006E3E0000}"/>
    <cellStyle name="Normal 3 14 2" xfId="15980" xr:uid="{00000000-0005-0000-0000-00006F3E0000}"/>
    <cellStyle name="Normal 3 15" xfId="15981" xr:uid="{00000000-0005-0000-0000-0000703E0000}"/>
    <cellStyle name="Normal 3 16" xfId="15982" xr:uid="{00000000-0005-0000-0000-0000713E0000}"/>
    <cellStyle name="Normal 3 17" xfId="15983" xr:uid="{00000000-0005-0000-0000-0000723E0000}"/>
    <cellStyle name="Normal 3 18" xfId="15984" xr:uid="{00000000-0005-0000-0000-0000733E0000}"/>
    <cellStyle name="Normal 3 19" xfId="15985" xr:uid="{00000000-0005-0000-0000-0000743E0000}"/>
    <cellStyle name="Normal 3 2" xfId="15986" xr:uid="{00000000-0005-0000-0000-0000753E0000}"/>
    <cellStyle name="Normal 3 2 2" xfId="15987" xr:uid="{00000000-0005-0000-0000-0000763E0000}"/>
    <cellStyle name="Normal 3 2 3" xfId="15988" xr:uid="{00000000-0005-0000-0000-0000773E0000}"/>
    <cellStyle name="Normal 3 2 3 2" xfId="15989" xr:uid="{00000000-0005-0000-0000-0000783E0000}"/>
    <cellStyle name="Normal 3 2 3 3" xfId="15990" xr:uid="{00000000-0005-0000-0000-0000793E0000}"/>
    <cellStyle name="Normal 3 2 4" xfId="15991" xr:uid="{00000000-0005-0000-0000-00007A3E0000}"/>
    <cellStyle name="Normal 3 2 4 2" xfId="15992" xr:uid="{00000000-0005-0000-0000-00007B3E0000}"/>
    <cellStyle name="Normal 3 2 5" xfId="15993" xr:uid="{00000000-0005-0000-0000-00007C3E0000}"/>
    <cellStyle name="Normal 3 2 6" xfId="15994" xr:uid="{00000000-0005-0000-0000-00007D3E0000}"/>
    <cellStyle name="Normal 3 2 7" xfId="15995" xr:uid="{00000000-0005-0000-0000-00007E3E0000}"/>
    <cellStyle name="Normal 3 2 8" xfId="15996" xr:uid="{00000000-0005-0000-0000-00007F3E0000}"/>
    <cellStyle name="Normal 3 20" xfId="15997" xr:uid="{00000000-0005-0000-0000-0000803E0000}"/>
    <cellStyle name="Normal 3 21" xfId="15998" xr:uid="{00000000-0005-0000-0000-0000813E0000}"/>
    <cellStyle name="Normal 3 22" xfId="15999" xr:uid="{00000000-0005-0000-0000-0000823E0000}"/>
    <cellStyle name="Normal 3 3" xfId="16000" xr:uid="{00000000-0005-0000-0000-0000833E0000}"/>
    <cellStyle name="Normal 3 4" xfId="16001" xr:uid="{00000000-0005-0000-0000-0000843E0000}"/>
    <cellStyle name="Normal 3 4 10" xfId="16002" xr:uid="{00000000-0005-0000-0000-0000853E0000}"/>
    <cellStyle name="Normal 3 4 10 2" xfId="16003" xr:uid="{00000000-0005-0000-0000-0000863E0000}"/>
    <cellStyle name="Normal 3 4 10 3" xfId="16004" xr:uid="{00000000-0005-0000-0000-0000873E0000}"/>
    <cellStyle name="Normal 3 4 11" xfId="16005" xr:uid="{00000000-0005-0000-0000-0000883E0000}"/>
    <cellStyle name="Normal 3 4 11 2" xfId="16006" xr:uid="{00000000-0005-0000-0000-0000893E0000}"/>
    <cellStyle name="Normal 3 4 11 3" xfId="16007" xr:uid="{00000000-0005-0000-0000-00008A3E0000}"/>
    <cellStyle name="Normal 3 4 12" xfId="16008" xr:uid="{00000000-0005-0000-0000-00008B3E0000}"/>
    <cellStyle name="Normal 3 4 12 2" xfId="16009" xr:uid="{00000000-0005-0000-0000-00008C3E0000}"/>
    <cellStyle name="Normal 3 4 13" xfId="16010" xr:uid="{00000000-0005-0000-0000-00008D3E0000}"/>
    <cellStyle name="Normal 3 4 13 2" xfId="16011" xr:uid="{00000000-0005-0000-0000-00008E3E0000}"/>
    <cellStyle name="Normal 3 4 14" xfId="16012" xr:uid="{00000000-0005-0000-0000-00008F3E0000}"/>
    <cellStyle name="Normal 3 4 14 2" xfId="16013" xr:uid="{00000000-0005-0000-0000-0000903E0000}"/>
    <cellStyle name="Normal 3 4 15" xfId="16014" xr:uid="{00000000-0005-0000-0000-0000913E0000}"/>
    <cellStyle name="Normal 3 4 15 2" xfId="16015" xr:uid="{00000000-0005-0000-0000-0000923E0000}"/>
    <cellStyle name="Normal 3 4 16" xfId="16016" xr:uid="{00000000-0005-0000-0000-0000933E0000}"/>
    <cellStyle name="Normal 3 4 16 2" xfId="16017" xr:uid="{00000000-0005-0000-0000-0000943E0000}"/>
    <cellStyle name="Normal 3 4 17" xfId="16018" xr:uid="{00000000-0005-0000-0000-0000953E0000}"/>
    <cellStyle name="Normal 3 4 18" xfId="16019" xr:uid="{00000000-0005-0000-0000-0000963E0000}"/>
    <cellStyle name="Normal 3 4 19" xfId="16020" xr:uid="{00000000-0005-0000-0000-0000973E0000}"/>
    <cellStyle name="Normal 3 4 2" xfId="16021" xr:uid="{00000000-0005-0000-0000-0000983E0000}"/>
    <cellStyle name="Normal 3 4 2 2" xfId="16022" xr:uid="{00000000-0005-0000-0000-0000993E0000}"/>
    <cellStyle name="Normal 3 4 2 2 2" xfId="16023" xr:uid="{00000000-0005-0000-0000-00009A3E0000}"/>
    <cellStyle name="Normal 3 4 2 2 3" xfId="16024" xr:uid="{00000000-0005-0000-0000-00009B3E0000}"/>
    <cellStyle name="Normal 3 4 2 2 4" xfId="16025" xr:uid="{00000000-0005-0000-0000-00009C3E0000}"/>
    <cellStyle name="Normal 3 4 2 3" xfId="16026" xr:uid="{00000000-0005-0000-0000-00009D3E0000}"/>
    <cellStyle name="Normal 3 4 2 3 2" xfId="16027" xr:uid="{00000000-0005-0000-0000-00009E3E0000}"/>
    <cellStyle name="Normal 3 4 2 4" xfId="16028" xr:uid="{00000000-0005-0000-0000-00009F3E0000}"/>
    <cellStyle name="Normal 3 4 2 5" xfId="16029" xr:uid="{00000000-0005-0000-0000-0000A03E0000}"/>
    <cellStyle name="Normal 3 4 2 6" xfId="16030" xr:uid="{00000000-0005-0000-0000-0000A13E0000}"/>
    <cellStyle name="Normal 3 4 2 7" xfId="16031" xr:uid="{00000000-0005-0000-0000-0000A23E0000}"/>
    <cellStyle name="Normal 3 4 3" xfId="16032" xr:uid="{00000000-0005-0000-0000-0000A33E0000}"/>
    <cellStyle name="Normal 3 4 4" xfId="16033" xr:uid="{00000000-0005-0000-0000-0000A43E0000}"/>
    <cellStyle name="Normal 3 4 5" xfId="16034" xr:uid="{00000000-0005-0000-0000-0000A53E0000}"/>
    <cellStyle name="Normal 3 4 6" xfId="16035" xr:uid="{00000000-0005-0000-0000-0000A63E0000}"/>
    <cellStyle name="Normal 3 4 7" xfId="16036" xr:uid="{00000000-0005-0000-0000-0000A73E0000}"/>
    <cellStyle name="Normal 3 4 8" xfId="16037" xr:uid="{00000000-0005-0000-0000-0000A83E0000}"/>
    <cellStyle name="Normal 3 4 9" xfId="16038" xr:uid="{00000000-0005-0000-0000-0000A93E0000}"/>
    <cellStyle name="Normal 3 4 9 2" xfId="16039" xr:uid="{00000000-0005-0000-0000-0000AA3E0000}"/>
    <cellStyle name="Normal 3 4 9 3" xfId="16040" xr:uid="{00000000-0005-0000-0000-0000AB3E0000}"/>
    <cellStyle name="Normal 3 5" xfId="16041" xr:uid="{00000000-0005-0000-0000-0000AC3E0000}"/>
    <cellStyle name="Normal 3 6" xfId="16042" xr:uid="{00000000-0005-0000-0000-0000AD3E0000}"/>
    <cellStyle name="Normal 3 7" xfId="16043" xr:uid="{00000000-0005-0000-0000-0000AE3E0000}"/>
    <cellStyle name="Normal 3 8" xfId="16044" xr:uid="{00000000-0005-0000-0000-0000AF3E0000}"/>
    <cellStyle name="Normal 3 8 2" xfId="16045" xr:uid="{00000000-0005-0000-0000-0000B03E0000}"/>
    <cellStyle name="Normal 3 8 3" xfId="16046" xr:uid="{00000000-0005-0000-0000-0000B13E0000}"/>
    <cellStyle name="Normal 3 8 4" xfId="16047" xr:uid="{00000000-0005-0000-0000-0000B23E0000}"/>
    <cellStyle name="Normal 3 9" xfId="16048" xr:uid="{00000000-0005-0000-0000-0000B33E0000}"/>
    <cellStyle name="Normal 3_ECAMIC quarterly Financial Report" xfId="16049" xr:uid="{00000000-0005-0000-0000-0000B43E0000}"/>
    <cellStyle name="Normal 30" xfId="16222" xr:uid="{00000000-0005-0000-0000-0000B53E0000}"/>
    <cellStyle name="Normal 4" xfId="16050" xr:uid="{00000000-0005-0000-0000-0000B63E0000}"/>
    <cellStyle name="Normal 4 10" xfId="16051" xr:uid="{00000000-0005-0000-0000-0000B73E0000}"/>
    <cellStyle name="Normal 4 11" xfId="16052" xr:uid="{00000000-0005-0000-0000-0000B83E0000}"/>
    <cellStyle name="Normal 4 2" xfId="16053" xr:uid="{00000000-0005-0000-0000-0000B93E0000}"/>
    <cellStyle name="Normal 4 2 2" xfId="16054" xr:uid="{00000000-0005-0000-0000-0000BA3E0000}"/>
    <cellStyle name="Normal 4 3" xfId="16055" xr:uid="{00000000-0005-0000-0000-0000BB3E0000}"/>
    <cellStyle name="Normal 4 4" xfId="16056" xr:uid="{00000000-0005-0000-0000-0000BC3E0000}"/>
    <cellStyle name="Normal 4 5" xfId="16057" xr:uid="{00000000-0005-0000-0000-0000BD3E0000}"/>
    <cellStyle name="Normal 4 5 2" xfId="16058" xr:uid="{00000000-0005-0000-0000-0000BE3E0000}"/>
    <cellStyle name="Normal 4 6" xfId="16059" xr:uid="{00000000-0005-0000-0000-0000BF3E0000}"/>
    <cellStyle name="Normal 4 7" xfId="16060" xr:uid="{00000000-0005-0000-0000-0000C03E0000}"/>
    <cellStyle name="Normal 4 8" xfId="16061" xr:uid="{00000000-0005-0000-0000-0000C13E0000}"/>
    <cellStyle name="Normal 4 9" xfId="16062" xr:uid="{00000000-0005-0000-0000-0000C23E0000}"/>
    <cellStyle name="Normal 5" xfId="16063" xr:uid="{00000000-0005-0000-0000-0000C33E0000}"/>
    <cellStyle name="Normal 5 2" xfId="16064" xr:uid="{00000000-0005-0000-0000-0000C43E0000}"/>
    <cellStyle name="Normal 5 3" xfId="16065" xr:uid="{00000000-0005-0000-0000-0000C53E0000}"/>
    <cellStyle name="Normal 5 4" xfId="16066" xr:uid="{00000000-0005-0000-0000-0000C63E0000}"/>
    <cellStyle name="Normal 5 4 2" xfId="16067" xr:uid="{00000000-0005-0000-0000-0000C73E0000}"/>
    <cellStyle name="Normal 5 4 2 2" xfId="16068" xr:uid="{00000000-0005-0000-0000-0000C83E0000}"/>
    <cellStyle name="Normal 5 4 2 2 2" xfId="16069" xr:uid="{00000000-0005-0000-0000-0000C93E0000}"/>
    <cellStyle name="Normal 5 4 3" xfId="16070" xr:uid="{00000000-0005-0000-0000-0000CA3E0000}"/>
    <cellStyle name="Normal 5 4 4" xfId="16071" xr:uid="{00000000-0005-0000-0000-0000CB3E0000}"/>
    <cellStyle name="Normal 5 4 5" xfId="16072" xr:uid="{00000000-0005-0000-0000-0000CC3E0000}"/>
    <cellStyle name="Normal 5 4 6" xfId="16073" xr:uid="{00000000-0005-0000-0000-0000CD3E0000}"/>
    <cellStyle name="Normal 5 4 7" xfId="16074" xr:uid="{00000000-0005-0000-0000-0000CE3E0000}"/>
    <cellStyle name="Normal 5 5" xfId="16075" xr:uid="{00000000-0005-0000-0000-0000CF3E0000}"/>
    <cellStyle name="Normal 5 6" xfId="16076" xr:uid="{00000000-0005-0000-0000-0000D03E0000}"/>
    <cellStyle name="Normal 5 7" xfId="16077" xr:uid="{00000000-0005-0000-0000-0000D13E0000}"/>
    <cellStyle name="Normal 6" xfId="16078" xr:uid="{00000000-0005-0000-0000-0000D23E0000}"/>
    <cellStyle name="Normal 6 2" xfId="16079" xr:uid="{00000000-0005-0000-0000-0000D33E0000}"/>
    <cellStyle name="Normal 6 3" xfId="16080" xr:uid="{00000000-0005-0000-0000-0000D43E0000}"/>
    <cellStyle name="Normal 6 3 2" xfId="16081" xr:uid="{00000000-0005-0000-0000-0000D53E0000}"/>
    <cellStyle name="Normal 6 4" xfId="16082" xr:uid="{00000000-0005-0000-0000-0000D63E0000}"/>
    <cellStyle name="Normal 6 4 2" xfId="16083" xr:uid="{00000000-0005-0000-0000-0000D73E0000}"/>
    <cellStyle name="Normal 6 5" xfId="16084" xr:uid="{00000000-0005-0000-0000-0000D83E0000}"/>
    <cellStyle name="Normal 6 5 2" xfId="16085" xr:uid="{00000000-0005-0000-0000-0000D93E0000}"/>
    <cellStyle name="Normal 6 6" xfId="16086" xr:uid="{00000000-0005-0000-0000-0000DA3E0000}"/>
    <cellStyle name="Normal 7" xfId="16087" xr:uid="{00000000-0005-0000-0000-0000DB3E0000}"/>
    <cellStyle name="Normal 7 10" xfId="16088" xr:uid="{00000000-0005-0000-0000-0000DC3E0000}"/>
    <cellStyle name="Normal 7 10 2" xfId="16089" xr:uid="{00000000-0005-0000-0000-0000DD3E0000}"/>
    <cellStyle name="Normal 7 10 3" xfId="16090" xr:uid="{00000000-0005-0000-0000-0000DE3E0000}"/>
    <cellStyle name="Normal 7 11" xfId="16091" xr:uid="{00000000-0005-0000-0000-0000DF3E0000}"/>
    <cellStyle name="Normal 7 11 2" xfId="16092" xr:uid="{00000000-0005-0000-0000-0000E03E0000}"/>
    <cellStyle name="Normal 7 11 3" xfId="16093" xr:uid="{00000000-0005-0000-0000-0000E13E0000}"/>
    <cellStyle name="Normal 7 12" xfId="16094" xr:uid="{00000000-0005-0000-0000-0000E23E0000}"/>
    <cellStyle name="Normal 7 12 2" xfId="16095" xr:uid="{00000000-0005-0000-0000-0000E33E0000}"/>
    <cellStyle name="Normal 7 12 3" xfId="16096" xr:uid="{00000000-0005-0000-0000-0000E43E0000}"/>
    <cellStyle name="Normal 7 13" xfId="16097" xr:uid="{00000000-0005-0000-0000-0000E53E0000}"/>
    <cellStyle name="Normal 7 13 2" xfId="16098" xr:uid="{00000000-0005-0000-0000-0000E63E0000}"/>
    <cellStyle name="Normal 7 14" xfId="16099" xr:uid="{00000000-0005-0000-0000-0000E73E0000}"/>
    <cellStyle name="Normal 7 14 2" xfId="16100" xr:uid="{00000000-0005-0000-0000-0000E83E0000}"/>
    <cellStyle name="Normal 7 15" xfId="16101" xr:uid="{00000000-0005-0000-0000-0000E93E0000}"/>
    <cellStyle name="Normal 7 15 2" xfId="16102" xr:uid="{00000000-0005-0000-0000-0000EA3E0000}"/>
    <cellStyle name="Normal 7 16" xfId="16103" xr:uid="{00000000-0005-0000-0000-0000EB3E0000}"/>
    <cellStyle name="Normal 7 16 2" xfId="16104" xr:uid="{00000000-0005-0000-0000-0000EC3E0000}"/>
    <cellStyle name="Normal 7 17" xfId="16105" xr:uid="{00000000-0005-0000-0000-0000ED3E0000}"/>
    <cellStyle name="Normal 7 17 2" xfId="16106" xr:uid="{00000000-0005-0000-0000-0000EE3E0000}"/>
    <cellStyle name="Normal 7 17 2 2" xfId="16107" xr:uid="{00000000-0005-0000-0000-0000EF3E0000}"/>
    <cellStyle name="Normal 7 17 2 2 2" xfId="16108" xr:uid="{00000000-0005-0000-0000-0000F03E0000}"/>
    <cellStyle name="Normal 7 17 3" xfId="16109" xr:uid="{00000000-0005-0000-0000-0000F13E0000}"/>
    <cellStyle name="Normal 7 17 4" xfId="16110" xr:uid="{00000000-0005-0000-0000-0000F23E0000}"/>
    <cellStyle name="Normal 7 17 5" xfId="16111" xr:uid="{00000000-0005-0000-0000-0000F33E0000}"/>
    <cellStyle name="Normal 7 17 6" xfId="16112" xr:uid="{00000000-0005-0000-0000-0000F43E0000}"/>
    <cellStyle name="Normal 7 18" xfId="16113" xr:uid="{00000000-0005-0000-0000-0000F53E0000}"/>
    <cellStyle name="Normal 7 19" xfId="16114" xr:uid="{00000000-0005-0000-0000-0000F63E0000}"/>
    <cellStyle name="Normal 7 2" xfId="16115" xr:uid="{00000000-0005-0000-0000-0000F73E0000}"/>
    <cellStyle name="Normal 7 2 2" xfId="16116" xr:uid="{00000000-0005-0000-0000-0000F83E0000}"/>
    <cellStyle name="Normal 7 2 2 2" xfId="16117" xr:uid="{00000000-0005-0000-0000-0000F93E0000}"/>
    <cellStyle name="Normal 7 2 2 2 2" xfId="16118" xr:uid="{00000000-0005-0000-0000-0000FA3E0000}"/>
    <cellStyle name="Normal 7 2 2 2 2 2" xfId="16119" xr:uid="{00000000-0005-0000-0000-0000FB3E0000}"/>
    <cellStyle name="Normal 7 2 2 2 3" xfId="16120" xr:uid="{00000000-0005-0000-0000-0000FC3E0000}"/>
    <cellStyle name="Normal 7 2 2 3" xfId="16121" xr:uid="{00000000-0005-0000-0000-0000FD3E0000}"/>
    <cellStyle name="Normal 7 2 2 4" xfId="16122" xr:uid="{00000000-0005-0000-0000-0000FE3E0000}"/>
    <cellStyle name="Normal 7 2 2 5" xfId="16123" xr:uid="{00000000-0005-0000-0000-0000FF3E0000}"/>
    <cellStyle name="Normal 7 2 2 6" xfId="16124" xr:uid="{00000000-0005-0000-0000-0000003F0000}"/>
    <cellStyle name="Normal 7 2 3" xfId="16125" xr:uid="{00000000-0005-0000-0000-0000013F0000}"/>
    <cellStyle name="Normal 7 2 3 2" xfId="16126" xr:uid="{00000000-0005-0000-0000-0000023F0000}"/>
    <cellStyle name="Normal 7 2 4" xfId="16127" xr:uid="{00000000-0005-0000-0000-0000033F0000}"/>
    <cellStyle name="Normal 7 2 5" xfId="16128" xr:uid="{00000000-0005-0000-0000-0000043F0000}"/>
    <cellStyle name="Normal 7 2 6" xfId="16129" xr:uid="{00000000-0005-0000-0000-0000053F0000}"/>
    <cellStyle name="Normal 7 2 7" xfId="16130" xr:uid="{00000000-0005-0000-0000-0000063F0000}"/>
    <cellStyle name="Normal 7 2 8" xfId="16131" xr:uid="{00000000-0005-0000-0000-0000073F0000}"/>
    <cellStyle name="Normal 7 2 9" xfId="16132" xr:uid="{00000000-0005-0000-0000-0000083F0000}"/>
    <cellStyle name="Normal 7 20" xfId="16218" xr:uid="{00000000-0005-0000-0000-0000093F0000}"/>
    <cellStyle name="Normal 7 3" xfId="16133" xr:uid="{00000000-0005-0000-0000-00000A3F0000}"/>
    <cellStyle name="Normal 7 4" xfId="16134" xr:uid="{00000000-0005-0000-0000-00000B3F0000}"/>
    <cellStyle name="Normal 7 5" xfId="16135" xr:uid="{00000000-0005-0000-0000-00000C3F0000}"/>
    <cellStyle name="Normal 7 6" xfId="16136" xr:uid="{00000000-0005-0000-0000-00000D3F0000}"/>
    <cellStyle name="Normal 7 7" xfId="16137" xr:uid="{00000000-0005-0000-0000-00000E3F0000}"/>
    <cellStyle name="Normal 7 8" xfId="16138" xr:uid="{00000000-0005-0000-0000-00000F3F0000}"/>
    <cellStyle name="Normal 7 9" xfId="16139" xr:uid="{00000000-0005-0000-0000-0000103F0000}"/>
    <cellStyle name="Normal 7 9 2" xfId="16140" xr:uid="{00000000-0005-0000-0000-0000113F0000}"/>
    <cellStyle name="Normal 7 9 3" xfId="16141" xr:uid="{00000000-0005-0000-0000-0000123F0000}"/>
    <cellStyle name="Normal 8" xfId="16142" xr:uid="{00000000-0005-0000-0000-0000133F0000}"/>
    <cellStyle name="Normal 8 10" xfId="16143" xr:uid="{00000000-0005-0000-0000-0000143F0000}"/>
    <cellStyle name="Normal 8 11" xfId="16144" xr:uid="{00000000-0005-0000-0000-0000153F0000}"/>
    <cellStyle name="Normal 8 12" xfId="16145" xr:uid="{00000000-0005-0000-0000-0000163F0000}"/>
    <cellStyle name="Normal 8 2" xfId="16146" xr:uid="{00000000-0005-0000-0000-0000173F0000}"/>
    <cellStyle name="Normal 8 2 2" xfId="16147" xr:uid="{00000000-0005-0000-0000-0000183F0000}"/>
    <cellStyle name="Normal 8 2 2 2" xfId="16148" xr:uid="{00000000-0005-0000-0000-0000193F0000}"/>
    <cellStyle name="Normal 8 3" xfId="16149" xr:uid="{00000000-0005-0000-0000-00001A3F0000}"/>
    <cellStyle name="Normal 8 4" xfId="16150" xr:uid="{00000000-0005-0000-0000-00001B3F0000}"/>
    <cellStyle name="Normal 8 5" xfId="16151" xr:uid="{00000000-0005-0000-0000-00001C3F0000}"/>
    <cellStyle name="Normal 8 6" xfId="16152" xr:uid="{00000000-0005-0000-0000-00001D3F0000}"/>
    <cellStyle name="Normal 8 7" xfId="16153" xr:uid="{00000000-0005-0000-0000-00001E3F0000}"/>
    <cellStyle name="Normal 8 8" xfId="16154" xr:uid="{00000000-0005-0000-0000-00001F3F0000}"/>
    <cellStyle name="Normal 8 9" xfId="16155" xr:uid="{00000000-0005-0000-0000-0000203F0000}"/>
    <cellStyle name="Normal 9" xfId="16156" xr:uid="{00000000-0005-0000-0000-0000213F0000}"/>
    <cellStyle name="Normal 9 2" xfId="16157" xr:uid="{00000000-0005-0000-0000-0000223F0000}"/>
    <cellStyle name="Normal 9 3" xfId="16158" xr:uid="{00000000-0005-0000-0000-0000233F0000}"/>
    <cellStyle name="Normal 9 3 2" xfId="16159" xr:uid="{00000000-0005-0000-0000-0000243F0000}"/>
    <cellStyle name="Normal 9 3 2 2" xfId="16160" xr:uid="{00000000-0005-0000-0000-0000253F0000}"/>
    <cellStyle name="Normal 9 3 3" xfId="16161" xr:uid="{00000000-0005-0000-0000-0000263F0000}"/>
    <cellStyle name="Normal 9 3 4" xfId="16162" xr:uid="{00000000-0005-0000-0000-0000273F0000}"/>
    <cellStyle name="Normal 9 3 5" xfId="16163" xr:uid="{00000000-0005-0000-0000-0000283F0000}"/>
    <cellStyle name="Normal 9 3 6" xfId="16164" xr:uid="{00000000-0005-0000-0000-0000293F0000}"/>
    <cellStyle name="Normal 9 3 7" xfId="16165" xr:uid="{00000000-0005-0000-0000-00002A3F0000}"/>
    <cellStyle name="Normal 9 3 8" xfId="16166" xr:uid="{00000000-0005-0000-0000-00002B3F0000}"/>
    <cellStyle name="Normal 9 4" xfId="16167" xr:uid="{00000000-0005-0000-0000-00002C3F0000}"/>
    <cellStyle name="Normal 9 4 2" xfId="16168" xr:uid="{00000000-0005-0000-0000-00002D3F0000}"/>
    <cellStyle name="Normal 9 5" xfId="16169" xr:uid="{00000000-0005-0000-0000-00002E3F0000}"/>
    <cellStyle name="Normal 9 5 2" xfId="16170" xr:uid="{00000000-0005-0000-0000-00002F3F0000}"/>
    <cellStyle name="Normal 9 5 3" xfId="16171" xr:uid="{00000000-0005-0000-0000-0000303F0000}"/>
    <cellStyle name="Normal 9 6" xfId="16172" xr:uid="{00000000-0005-0000-0000-0000313F0000}"/>
    <cellStyle name="Normal 9 6 2" xfId="16173" xr:uid="{00000000-0005-0000-0000-0000323F0000}"/>
    <cellStyle name="Notiz" xfId="16174" xr:uid="{00000000-0005-0000-0000-0000333F0000}"/>
    <cellStyle name="Percent" xfId="16224" builtinId="5"/>
    <cellStyle name="Percent 2" xfId="3" xr:uid="{00000000-0005-0000-0000-0000353F0000}"/>
    <cellStyle name="Percent 2 2" xfId="16175" xr:uid="{00000000-0005-0000-0000-0000363F0000}"/>
    <cellStyle name="Percent 2 2 2" xfId="16176" xr:uid="{00000000-0005-0000-0000-0000373F0000}"/>
    <cellStyle name="Percent 2 2 2 2" xfId="16177" xr:uid="{00000000-0005-0000-0000-0000383F0000}"/>
    <cellStyle name="Percent 2 2 3" xfId="16178" xr:uid="{00000000-0005-0000-0000-0000393F0000}"/>
    <cellStyle name="Percent 2 2 4" xfId="16179" xr:uid="{00000000-0005-0000-0000-00003A3F0000}"/>
    <cellStyle name="Percent 2 2 5" xfId="16180" xr:uid="{00000000-0005-0000-0000-00003B3F0000}"/>
    <cellStyle name="Percent 2 2 6" xfId="16181" xr:uid="{00000000-0005-0000-0000-00003C3F0000}"/>
    <cellStyle name="Percent 2 2 7" xfId="16182" xr:uid="{00000000-0005-0000-0000-00003D3F0000}"/>
    <cellStyle name="Percent 2 2 8" xfId="16183" xr:uid="{00000000-0005-0000-0000-00003E3F0000}"/>
    <cellStyle name="Percent 2 2 9" xfId="16184" xr:uid="{00000000-0005-0000-0000-00003F3F0000}"/>
    <cellStyle name="Percent 2 3" xfId="16185" xr:uid="{00000000-0005-0000-0000-0000403F0000}"/>
    <cellStyle name="Percent 2 4" xfId="16186" xr:uid="{00000000-0005-0000-0000-0000413F0000}"/>
    <cellStyle name="Percent 2 5" xfId="16187" xr:uid="{00000000-0005-0000-0000-0000423F0000}"/>
    <cellStyle name="Percent 2 6" xfId="16188" xr:uid="{00000000-0005-0000-0000-0000433F0000}"/>
    <cellStyle name="Percent 3" xfId="16189" xr:uid="{00000000-0005-0000-0000-0000443F0000}"/>
    <cellStyle name="Percent 3 2" xfId="16190" xr:uid="{00000000-0005-0000-0000-0000453F0000}"/>
    <cellStyle name="Percent 3 2 2" xfId="16191" xr:uid="{00000000-0005-0000-0000-0000463F0000}"/>
    <cellStyle name="Percent 3 2 2 2" xfId="16192" xr:uid="{00000000-0005-0000-0000-0000473F0000}"/>
    <cellStyle name="Percent 3 2 2 2 2" xfId="16193" xr:uid="{00000000-0005-0000-0000-0000483F0000}"/>
    <cellStyle name="Percent 3 2 2 2 2 2" xfId="16194" xr:uid="{00000000-0005-0000-0000-0000493F0000}"/>
    <cellStyle name="Percent 3 2 2 3" xfId="16195" xr:uid="{00000000-0005-0000-0000-00004A3F0000}"/>
    <cellStyle name="Percent 3 2 2 4" xfId="16196" xr:uid="{00000000-0005-0000-0000-00004B3F0000}"/>
    <cellStyle name="Percent 3 2 3" xfId="16197" xr:uid="{00000000-0005-0000-0000-00004C3F0000}"/>
    <cellStyle name="Percent 3 3" xfId="16198" xr:uid="{00000000-0005-0000-0000-00004D3F0000}"/>
    <cellStyle name="Percent 4" xfId="16199" xr:uid="{00000000-0005-0000-0000-00004E3F0000}"/>
    <cellStyle name="Percent 5" xfId="16200" xr:uid="{00000000-0005-0000-0000-00004F3F0000}"/>
    <cellStyle name="Percent 6" xfId="16201" xr:uid="{00000000-0005-0000-0000-0000503F0000}"/>
    <cellStyle name="Percent 6 2" xfId="16202" xr:uid="{00000000-0005-0000-0000-0000513F0000}"/>
    <cellStyle name="Percent 7" xfId="16221" xr:uid="{00000000-0005-0000-0000-0000523F0000}"/>
    <cellStyle name="Percent 8" xfId="16223" xr:uid="{00000000-0005-0000-0000-0000533F0000}"/>
    <cellStyle name="Prozent 2" xfId="16203" xr:uid="{00000000-0005-0000-0000-0000543F0000}"/>
    <cellStyle name="Prozent 3" xfId="16204" xr:uid="{00000000-0005-0000-0000-0000553F0000}"/>
    <cellStyle name="Schlecht" xfId="16205" xr:uid="{00000000-0005-0000-0000-0000563F0000}"/>
    <cellStyle name="Standard 2" xfId="16206" xr:uid="{00000000-0005-0000-0000-0000573F0000}"/>
    <cellStyle name="Standard 3" xfId="16207" xr:uid="{00000000-0005-0000-0000-0000583F0000}"/>
    <cellStyle name="Überschrift" xfId="16208" xr:uid="{00000000-0005-0000-0000-0000593F0000}"/>
    <cellStyle name="Überschrift 1" xfId="16209" xr:uid="{00000000-0005-0000-0000-00005A3F0000}"/>
    <cellStyle name="Überschrift 2" xfId="16210" xr:uid="{00000000-0005-0000-0000-00005B3F0000}"/>
    <cellStyle name="Überschrift 3" xfId="16211" xr:uid="{00000000-0005-0000-0000-00005C3F0000}"/>
    <cellStyle name="Überschrift 4" xfId="16212" xr:uid="{00000000-0005-0000-0000-00005D3F0000}"/>
    <cellStyle name="Verknüpfte Zelle" xfId="16213" xr:uid="{00000000-0005-0000-0000-00005E3F0000}"/>
    <cellStyle name="Warnender Text" xfId="16214" xr:uid="{00000000-0005-0000-0000-00005F3F0000}"/>
    <cellStyle name="Zelle überprüfen" xfId="16215" xr:uid="{00000000-0005-0000-0000-0000603F0000}"/>
  </cellStyles>
  <dxfs count="27">
    <dxf>
      <fill>
        <patternFill>
          <bgColor rgb="FFFFC000"/>
        </patternFill>
      </fill>
    </dxf>
    <dxf>
      <fill>
        <patternFill>
          <fgColor auto="1"/>
          <bgColor theme="9" tint="-0.24994659260841701"/>
        </patternFill>
      </fill>
    </dxf>
    <dxf>
      <fill>
        <patternFill>
          <fgColor auto="1"/>
          <bgColor theme="9" tint="-0.24994659260841701"/>
        </patternFill>
      </fill>
    </dxf>
    <dxf>
      <fill>
        <patternFill>
          <bgColor rgb="FFFF0000"/>
        </patternFill>
      </fill>
    </dxf>
    <dxf>
      <fill>
        <patternFill>
          <fgColor auto="1"/>
          <bgColor theme="9" tint="-0.24994659260841701"/>
        </patternFill>
      </fill>
    </dxf>
    <dxf>
      <fill>
        <patternFill>
          <fgColor auto="1"/>
          <bgColor theme="9" tint="-0.24994659260841701"/>
        </patternFill>
      </fill>
    </dxf>
    <dxf>
      <font>
        <color auto="1"/>
      </font>
      <fill>
        <patternFill patternType="gray0625">
          <fgColor rgb="FF00B050"/>
          <bgColor rgb="FF00B050"/>
        </patternFill>
      </fill>
    </dxf>
    <dxf>
      <fill>
        <patternFill>
          <bgColor rgb="FFFF0000"/>
        </patternFill>
      </fill>
    </dxf>
    <dxf>
      <fill>
        <patternFill>
          <fgColor auto="1"/>
          <bgColor theme="9" tint="-0.24994659260841701"/>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ont>
        <b/>
        <i val="0"/>
      </font>
      <fill>
        <patternFill>
          <bgColor rgb="FFFF0000"/>
        </patternFill>
      </fill>
    </dxf>
    <dxf>
      <fill>
        <patternFill>
          <bgColor theme="9" tint="-0.24994659260841701"/>
        </patternFill>
      </fill>
    </dxf>
    <dxf>
      <fill>
        <patternFill>
          <fgColor auto="1"/>
          <bgColor theme="9" tint="-0.24994659260841701"/>
        </patternFill>
      </fill>
    </dxf>
  </dxfs>
  <tableStyles count="0" defaultTableStyle="TableStyleMedium2" defaultPivotStyle="PivotStyleLight16"/>
  <colors>
    <mruColors>
      <color rgb="FFFFFFC1"/>
      <color rgb="FFCC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_rels/drawing3.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1333519</xdr:colOff>
      <xdr:row>3</xdr:row>
      <xdr:rowOff>28598</xdr:rowOff>
    </xdr:from>
    <xdr:to>
      <xdr:col>1</xdr:col>
      <xdr:colOff>1040086</xdr:colOff>
      <xdr:row>5</xdr:row>
      <xdr:rowOff>158911</xdr:rowOff>
    </xdr:to>
    <xdr:pic>
      <xdr:nvPicPr>
        <xdr:cNvPr id="2" name="Picture 5">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333519" y="543167"/>
          <a:ext cx="1359757" cy="557296"/>
        </a:xfrm>
        <a:prstGeom prst="rect">
          <a:avLst/>
        </a:prstGeom>
        <a:noFill/>
      </xdr:spPr>
    </xdr:pic>
    <xdr:clientData/>
  </xdr:twoCellAnchor>
  <xdr:twoCellAnchor editAs="oneCell">
    <xdr:from>
      <xdr:col>0</xdr:col>
      <xdr:colOff>66675</xdr:colOff>
      <xdr:row>0</xdr:row>
      <xdr:rowOff>66675</xdr:rowOff>
    </xdr:from>
    <xdr:to>
      <xdr:col>0</xdr:col>
      <xdr:colOff>1326791</xdr:colOff>
      <xdr:row>6</xdr:row>
      <xdr:rowOff>16144</xdr:rowOff>
    </xdr:to>
    <xdr:pic>
      <xdr:nvPicPr>
        <xdr:cNvPr id="3" name="Picture 6">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66675" y="66675"/>
          <a:ext cx="1260116" cy="1092469"/>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85725</xdr:colOff>
      <xdr:row>3</xdr:row>
      <xdr:rowOff>57150</xdr:rowOff>
    </xdr:from>
    <xdr:to>
      <xdr:col>2</xdr:col>
      <xdr:colOff>131386</xdr:colOff>
      <xdr:row>6</xdr:row>
      <xdr:rowOff>1</xdr:rowOff>
    </xdr:to>
    <xdr:pic>
      <xdr:nvPicPr>
        <xdr:cNvPr id="2" name="Picture 6">
          <a:extLst>
            <a:ext uri="{FF2B5EF4-FFF2-40B4-BE49-F238E27FC236}">
              <a16:creationId xmlns:a16="http://schemas.microsoft.com/office/drawing/2014/main" id="{53DB88DF-D4E5-4275-B5BB-7477E1AB4681}"/>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695325" y="638175"/>
          <a:ext cx="2181225" cy="533401"/>
        </a:xfrm>
        <a:prstGeom prst="rect">
          <a:avLst/>
        </a:prstGeom>
        <a:noFill/>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1333519</xdr:colOff>
      <xdr:row>3</xdr:row>
      <xdr:rowOff>28598</xdr:rowOff>
    </xdr:from>
    <xdr:to>
      <xdr:col>1</xdr:col>
      <xdr:colOff>1268044</xdr:colOff>
      <xdr:row>5</xdr:row>
      <xdr:rowOff>158911</xdr:rowOff>
    </xdr:to>
    <xdr:pic>
      <xdr:nvPicPr>
        <xdr:cNvPr id="2" name="Picture 5">
          <a:extLst>
            <a:ext uri="{FF2B5EF4-FFF2-40B4-BE49-F238E27FC236}">
              <a16:creationId xmlns:a16="http://schemas.microsoft.com/office/drawing/2014/main" id="{9D2BD4DD-4541-4FEC-8E48-76842B328DA7}"/>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333519" y="552473"/>
          <a:ext cx="1506150" cy="558938"/>
        </a:xfrm>
        <a:prstGeom prst="rect">
          <a:avLst/>
        </a:prstGeom>
        <a:noFill/>
      </xdr:spPr>
    </xdr:pic>
    <xdr:clientData/>
  </xdr:twoCellAnchor>
  <xdr:twoCellAnchor editAs="oneCell">
    <xdr:from>
      <xdr:col>0</xdr:col>
      <xdr:colOff>66675</xdr:colOff>
      <xdr:row>0</xdr:row>
      <xdr:rowOff>66675</xdr:rowOff>
    </xdr:from>
    <xdr:to>
      <xdr:col>0</xdr:col>
      <xdr:colOff>1304925</xdr:colOff>
      <xdr:row>6</xdr:row>
      <xdr:rowOff>16144</xdr:rowOff>
    </xdr:to>
    <xdr:pic>
      <xdr:nvPicPr>
        <xdr:cNvPr id="3" name="Picture 6">
          <a:extLst>
            <a:ext uri="{FF2B5EF4-FFF2-40B4-BE49-F238E27FC236}">
              <a16:creationId xmlns:a16="http://schemas.microsoft.com/office/drawing/2014/main" id="{7D7261A8-6C90-4A43-A9CE-D38CA80C6B4F}"/>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66675" y="66675"/>
          <a:ext cx="1238250" cy="1092469"/>
        </a:xfrm>
        <a:prstGeom prst="rect">
          <a:avLst/>
        </a:prstGeom>
        <a:noFill/>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190501</xdr:colOff>
      <xdr:row>3</xdr:row>
      <xdr:rowOff>28598</xdr:rowOff>
    </xdr:from>
    <xdr:to>
      <xdr:col>3</xdr:col>
      <xdr:colOff>324431</xdr:colOff>
      <xdr:row>5</xdr:row>
      <xdr:rowOff>76200</xdr:rowOff>
    </xdr:to>
    <xdr:pic>
      <xdr:nvPicPr>
        <xdr:cNvPr id="6" name="Picture 5">
          <a:extLst>
            <a:ext uri="{FF2B5EF4-FFF2-40B4-BE49-F238E27FC236}">
              <a16:creationId xmlns:a16="http://schemas.microsoft.com/office/drawing/2014/main" id="{CD3C54A9-F67D-4707-95BB-B9DC0C39284F}"/>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323976" y="514373"/>
          <a:ext cx="743530" cy="428602"/>
        </a:xfrm>
        <a:prstGeom prst="rect">
          <a:avLst/>
        </a:prstGeom>
        <a:noFill/>
      </xdr:spPr>
    </xdr:pic>
    <xdr:clientData/>
  </xdr:twoCellAnchor>
  <xdr:twoCellAnchor editAs="oneCell">
    <xdr:from>
      <xdr:col>1</xdr:col>
      <xdr:colOff>66675</xdr:colOff>
      <xdr:row>0</xdr:row>
      <xdr:rowOff>66676</xdr:rowOff>
    </xdr:from>
    <xdr:to>
      <xdr:col>1</xdr:col>
      <xdr:colOff>1181100</xdr:colOff>
      <xdr:row>5</xdr:row>
      <xdr:rowOff>166062</xdr:rowOff>
    </xdr:to>
    <xdr:pic>
      <xdr:nvPicPr>
        <xdr:cNvPr id="7" name="Picture 6">
          <a:extLst>
            <a:ext uri="{FF2B5EF4-FFF2-40B4-BE49-F238E27FC236}">
              <a16:creationId xmlns:a16="http://schemas.microsoft.com/office/drawing/2014/main" id="{169039DD-B544-412B-86B6-BB6E6F68302A}"/>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66675" y="66676"/>
          <a:ext cx="1114425" cy="966161"/>
        </a:xfrm>
        <a:prstGeom prst="rect">
          <a:avLst/>
        </a:prstGeom>
        <a:noFill/>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1171575</xdr:colOff>
      <xdr:row>2</xdr:row>
      <xdr:rowOff>171473</xdr:rowOff>
    </xdr:from>
    <xdr:to>
      <xdr:col>1</xdr:col>
      <xdr:colOff>2019881</xdr:colOff>
      <xdr:row>5</xdr:row>
      <xdr:rowOff>28575</xdr:rowOff>
    </xdr:to>
    <xdr:pic>
      <xdr:nvPicPr>
        <xdr:cNvPr id="2" name="Picture 1">
          <a:extLst>
            <a:ext uri="{FF2B5EF4-FFF2-40B4-BE49-F238E27FC236}">
              <a16:creationId xmlns:a16="http://schemas.microsoft.com/office/drawing/2014/main" id="{AD795741-6DE3-4CF9-BC2B-F3513E626D89}"/>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628775" y="552473"/>
          <a:ext cx="848306" cy="428602"/>
        </a:xfrm>
        <a:prstGeom prst="rect">
          <a:avLst/>
        </a:prstGeom>
        <a:noFill/>
      </xdr:spPr>
    </xdr:pic>
    <xdr:clientData/>
  </xdr:twoCellAnchor>
  <xdr:twoCellAnchor editAs="oneCell">
    <xdr:from>
      <xdr:col>1</xdr:col>
      <xdr:colOff>57150</xdr:colOff>
      <xdr:row>0</xdr:row>
      <xdr:rowOff>38101</xdr:rowOff>
    </xdr:from>
    <xdr:to>
      <xdr:col>1</xdr:col>
      <xdr:colOff>1171575</xdr:colOff>
      <xdr:row>5</xdr:row>
      <xdr:rowOff>51762</xdr:rowOff>
    </xdr:to>
    <xdr:pic>
      <xdr:nvPicPr>
        <xdr:cNvPr id="3" name="Picture 2">
          <a:extLst>
            <a:ext uri="{FF2B5EF4-FFF2-40B4-BE49-F238E27FC236}">
              <a16:creationId xmlns:a16="http://schemas.microsoft.com/office/drawing/2014/main" id="{A009BEC7-B59B-4824-8A72-9D3852A41BC8}"/>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514350" y="38101"/>
          <a:ext cx="1114425" cy="966161"/>
        </a:xfrm>
        <a:prstGeom prst="rect">
          <a:avLst/>
        </a:prstGeom>
        <a:noFill/>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1190625</xdr:colOff>
      <xdr:row>2</xdr:row>
      <xdr:rowOff>152423</xdr:rowOff>
    </xdr:from>
    <xdr:to>
      <xdr:col>1</xdr:col>
      <xdr:colOff>2038931</xdr:colOff>
      <xdr:row>5</xdr:row>
      <xdr:rowOff>85725</xdr:rowOff>
    </xdr:to>
    <xdr:pic>
      <xdr:nvPicPr>
        <xdr:cNvPr id="4" name="Picture 3">
          <a:extLst>
            <a:ext uri="{FF2B5EF4-FFF2-40B4-BE49-F238E27FC236}">
              <a16:creationId xmlns:a16="http://schemas.microsoft.com/office/drawing/2014/main" id="{04106751-39C6-4711-AFFA-1849865E5D83}"/>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800225" y="533423"/>
          <a:ext cx="848306" cy="504802"/>
        </a:xfrm>
        <a:prstGeom prst="rect">
          <a:avLst/>
        </a:prstGeom>
        <a:noFill/>
      </xdr:spPr>
    </xdr:pic>
    <xdr:clientData/>
  </xdr:twoCellAnchor>
  <xdr:twoCellAnchor editAs="oneCell">
    <xdr:from>
      <xdr:col>1</xdr:col>
      <xdr:colOff>57150</xdr:colOff>
      <xdr:row>0</xdr:row>
      <xdr:rowOff>38101</xdr:rowOff>
    </xdr:from>
    <xdr:to>
      <xdr:col>1</xdr:col>
      <xdr:colOff>1171575</xdr:colOff>
      <xdr:row>6</xdr:row>
      <xdr:rowOff>32712</xdr:rowOff>
    </xdr:to>
    <xdr:pic>
      <xdr:nvPicPr>
        <xdr:cNvPr id="5" name="Picture 4">
          <a:extLst>
            <a:ext uri="{FF2B5EF4-FFF2-40B4-BE49-F238E27FC236}">
              <a16:creationId xmlns:a16="http://schemas.microsoft.com/office/drawing/2014/main" id="{0C4EEE44-710C-4267-A1C8-3371728E5696}"/>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514350" y="38101"/>
          <a:ext cx="1114425" cy="966161"/>
        </a:xfrm>
        <a:prstGeom prst="rect">
          <a:avLst/>
        </a:prstGeom>
        <a:noFill/>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1190625</xdr:colOff>
      <xdr:row>3</xdr:row>
      <xdr:rowOff>142898</xdr:rowOff>
    </xdr:from>
    <xdr:to>
      <xdr:col>1</xdr:col>
      <xdr:colOff>2038931</xdr:colOff>
      <xdr:row>7</xdr:row>
      <xdr:rowOff>0</xdr:rowOff>
    </xdr:to>
    <xdr:pic>
      <xdr:nvPicPr>
        <xdr:cNvPr id="4" name="Picture 3">
          <a:extLst>
            <a:ext uri="{FF2B5EF4-FFF2-40B4-BE49-F238E27FC236}">
              <a16:creationId xmlns:a16="http://schemas.microsoft.com/office/drawing/2014/main" id="{CF6CAAEE-8383-4E46-9D78-86C3E4410AC5}"/>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800225" y="714398"/>
          <a:ext cx="848306" cy="619102"/>
        </a:xfrm>
        <a:prstGeom prst="rect">
          <a:avLst/>
        </a:prstGeom>
        <a:noFill/>
      </xdr:spPr>
    </xdr:pic>
    <xdr:clientData/>
  </xdr:twoCellAnchor>
  <xdr:twoCellAnchor editAs="oneCell">
    <xdr:from>
      <xdr:col>1</xdr:col>
      <xdr:colOff>0</xdr:colOff>
      <xdr:row>0</xdr:row>
      <xdr:rowOff>1</xdr:rowOff>
    </xdr:from>
    <xdr:to>
      <xdr:col>1</xdr:col>
      <xdr:colOff>1114425</xdr:colOff>
      <xdr:row>7</xdr:row>
      <xdr:rowOff>4137</xdr:rowOff>
    </xdr:to>
    <xdr:pic>
      <xdr:nvPicPr>
        <xdr:cNvPr id="5" name="Picture 4">
          <a:extLst>
            <a:ext uri="{FF2B5EF4-FFF2-40B4-BE49-F238E27FC236}">
              <a16:creationId xmlns:a16="http://schemas.microsoft.com/office/drawing/2014/main" id="{7A4F7E52-0295-4733-BDF7-9B7F2E5C1466}"/>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609600" y="1"/>
          <a:ext cx="1114425" cy="1337636"/>
        </a:xfrm>
        <a:prstGeom prst="rect">
          <a:avLst/>
        </a:prstGeom>
        <a:noFill/>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USER/Dropbox/Bethel%20(Eunice)/BETCCCU%20Easybook%202015,2016%20fin%20yr.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Z:\Users\USER\Dropbox\Bethel%20(Eunice)\BETCCCU%20Easybook%202015,2016%20fin%20y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CR"/>
      <sheetName val="OBS"/>
      <sheetName val="PRTR07"/>
      <sheetName val="07"/>
      <sheetName val="PRTR08"/>
      <sheetName val="08"/>
      <sheetName val="PRTR09"/>
      <sheetName val="09"/>
      <sheetName val="PRTR10"/>
      <sheetName val="10"/>
      <sheetName val="PRTR11"/>
      <sheetName val="11"/>
      <sheetName val="PRTR12"/>
      <sheetName val="12"/>
      <sheetName val="PRTR01"/>
      <sheetName val="01"/>
      <sheetName val="PRTR02"/>
      <sheetName val="02"/>
      <sheetName val="PRTR03"/>
      <sheetName val="03"/>
      <sheetName val="PRTR04"/>
      <sheetName val="04"/>
      <sheetName val="PRTR05"/>
      <sheetName val="05"/>
      <sheetName val="PRTR06"/>
      <sheetName val="06"/>
      <sheetName val="RMFIDC12"/>
      <sheetName val="RMFIDC06"/>
      <sheetName val="GENERAL"/>
      <sheetName val="BoG"/>
      <sheetName val="Highlights"/>
      <sheetName val="EWS"/>
      <sheetName val="Classific"/>
      <sheetName val="Classific OLD"/>
      <sheetName val="GRMRanking"/>
      <sheetName val="PEARLS"/>
      <sheetName val="MFRatios"/>
      <sheetName val="Data"/>
      <sheetName val="Graphs"/>
      <sheetName val="Target"/>
      <sheetName val="Budget"/>
      <sheetName val="Quality report"/>
      <sheetName val="LPP"/>
      <sheetName val="LSP"/>
      <sheetName val="Invest"/>
      <sheetName val="Fixed"/>
      <sheetName val="Payroll"/>
      <sheetName val="CashCount"/>
      <sheetName val="BankRecon"/>
      <sheetName val="CashRecon"/>
      <sheetName val="ContrSum"/>
      <sheetName val="RSCI+M-ILC"/>
      <sheetName val="Control"/>
    </sheetNames>
    <sheetDataSet>
      <sheetData sheetId="0" refreshError="1">
        <row r="10">
          <cell r="A10">
            <v>42187</v>
          </cell>
          <cell r="B10">
            <v>338</v>
          </cell>
          <cell r="C10" t="str">
            <v>AGARTHA BOTCHWAY</v>
          </cell>
          <cell r="D10" t="str">
            <v>RV0142680</v>
          </cell>
          <cell r="E10" t="str">
            <v>CASH DEPOSIT</v>
          </cell>
          <cell r="F10" t="str">
            <v>OK</v>
          </cell>
          <cell r="G10">
            <v>20</v>
          </cell>
          <cell r="N10">
            <v>20</v>
          </cell>
        </row>
        <row r="11">
          <cell r="A11">
            <v>42187</v>
          </cell>
          <cell r="B11">
            <v>326</v>
          </cell>
          <cell r="C11" t="str">
            <v>OPEIKUMA TOWN METHODIST CH.</v>
          </cell>
          <cell r="D11" t="str">
            <v>RV0142681</v>
          </cell>
          <cell r="E11" t="str">
            <v>CASH DEPOSIT</v>
          </cell>
          <cell r="F11" t="str">
            <v>OK</v>
          </cell>
          <cell r="G11">
            <v>342.2</v>
          </cell>
          <cell r="N11">
            <v>342.2</v>
          </cell>
        </row>
        <row r="12">
          <cell r="A12">
            <v>42187</v>
          </cell>
          <cell r="B12">
            <v>374</v>
          </cell>
          <cell r="C12" t="str">
            <v>DOM-BAYOR GAD KOBINA</v>
          </cell>
          <cell r="D12" t="str">
            <v>RV0142682</v>
          </cell>
          <cell r="E12" t="str">
            <v>LOAN REPAYMENT / INTEREST</v>
          </cell>
          <cell r="F12" t="str">
            <v>OK</v>
          </cell>
          <cell r="G12">
            <v>400</v>
          </cell>
          <cell r="R12">
            <v>334</v>
          </cell>
          <cell r="AQ12">
            <v>66</v>
          </cell>
        </row>
        <row r="13">
          <cell r="A13">
            <v>42187</v>
          </cell>
          <cell r="B13">
            <v>317</v>
          </cell>
          <cell r="C13" t="str">
            <v>JOANA ODOOM</v>
          </cell>
          <cell r="D13" t="str">
            <v>RV0142683</v>
          </cell>
          <cell r="E13" t="str">
            <v>LOAN REPAYMENT / DEPOSIT</v>
          </cell>
          <cell r="F13" t="str">
            <v>OK</v>
          </cell>
          <cell r="G13">
            <v>200</v>
          </cell>
          <cell r="N13">
            <v>20</v>
          </cell>
          <cell r="R13">
            <v>150</v>
          </cell>
          <cell r="AQ13">
            <v>30</v>
          </cell>
        </row>
        <row r="14">
          <cell r="A14">
            <v>42188</v>
          </cell>
          <cell r="B14">
            <v>223</v>
          </cell>
          <cell r="C14" t="str">
            <v>BETHEL METHODIST YOUTH FELLOSHIP</v>
          </cell>
          <cell r="D14" t="str">
            <v>PV0054118</v>
          </cell>
          <cell r="E14" t="str">
            <v>SAVINGS WITHDRAWAL</v>
          </cell>
          <cell r="F14" t="str">
            <v>OK</v>
          </cell>
          <cell r="H14">
            <v>200</v>
          </cell>
          <cell r="M14">
            <v>200</v>
          </cell>
        </row>
        <row r="15">
          <cell r="A15">
            <v>42187</v>
          </cell>
          <cell r="B15">
            <v>54350</v>
          </cell>
          <cell r="C15" t="str">
            <v>Protocol Expenses</v>
          </cell>
          <cell r="D15" t="str">
            <v>PV0054119</v>
          </cell>
          <cell r="E15" t="str">
            <v>T&amp;T FOR CUA OFFICIAL</v>
          </cell>
          <cell r="F15" t="str">
            <v>OK</v>
          </cell>
          <cell r="H15">
            <v>30</v>
          </cell>
        </row>
        <row r="16">
          <cell r="A16">
            <v>42187</v>
          </cell>
          <cell r="B16">
            <v>179</v>
          </cell>
          <cell r="C16" t="str">
            <v>BRO.OTABIL CLASS</v>
          </cell>
          <cell r="D16" t="str">
            <v>PV0054120</v>
          </cell>
          <cell r="E16" t="str">
            <v>SAVINGS WITHDRAWAL</v>
          </cell>
          <cell r="F16" t="str">
            <v>OK</v>
          </cell>
          <cell r="H16">
            <v>100</v>
          </cell>
          <cell r="M16">
            <v>100</v>
          </cell>
        </row>
        <row r="17">
          <cell r="A17">
            <v>42188</v>
          </cell>
          <cell r="B17">
            <v>5</v>
          </cell>
          <cell r="C17" t="str">
            <v>GEORGE K.DANQUAH</v>
          </cell>
          <cell r="D17" t="str">
            <v>PV0054122</v>
          </cell>
          <cell r="E17" t="str">
            <v>SAVINGS WITHDRAWAL</v>
          </cell>
          <cell r="F17" t="str">
            <v>OK</v>
          </cell>
          <cell r="H17">
            <v>200</v>
          </cell>
          <cell r="M17">
            <v>200</v>
          </cell>
        </row>
        <row r="18">
          <cell r="A18">
            <v>42188</v>
          </cell>
          <cell r="B18">
            <v>56310</v>
          </cell>
          <cell r="C18" t="str">
            <v>Postage &amp; Communication</v>
          </cell>
          <cell r="D18" t="str">
            <v>PV0054123</v>
          </cell>
          <cell r="E18" t="str">
            <v>PURCHASE OF CALL CREDIT</v>
          </cell>
          <cell r="F18" t="str">
            <v>OK</v>
          </cell>
          <cell r="H18">
            <v>30</v>
          </cell>
        </row>
        <row r="19">
          <cell r="A19">
            <v>42188</v>
          </cell>
          <cell r="B19">
            <v>56400</v>
          </cell>
          <cell r="C19" t="str">
            <v>Travel &amp; Transport (T &amp; T)</v>
          </cell>
          <cell r="D19" t="str">
            <v>PV0054124</v>
          </cell>
          <cell r="E19" t="str">
            <v>T&amp;T TO BANK</v>
          </cell>
          <cell r="F19" t="str">
            <v>OK</v>
          </cell>
          <cell r="H19">
            <v>7</v>
          </cell>
        </row>
        <row r="20">
          <cell r="A20">
            <v>42188</v>
          </cell>
          <cell r="B20">
            <v>56900</v>
          </cell>
          <cell r="C20" t="str">
            <v>Office Expenses</v>
          </cell>
          <cell r="D20" t="str">
            <v>PV0054125</v>
          </cell>
          <cell r="E20" t="str">
            <v>GABBAGE DISPOSAL</v>
          </cell>
          <cell r="F20" t="str">
            <v>OK</v>
          </cell>
          <cell r="H20">
            <v>1</v>
          </cell>
        </row>
        <row r="21">
          <cell r="A21">
            <v>42188</v>
          </cell>
          <cell r="B21">
            <v>54330</v>
          </cell>
          <cell r="C21" t="str">
            <v>Travel and Transport expenses for BoD and Committee executives</v>
          </cell>
          <cell r="D21" t="str">
            <v>PV0054126</v>
          </cell>
          <cell r="E21" t="str">
            <v>T&amp;T TO CHAPTER MEETING</v>
          </cell>
          <cell r="F21" t="str">
            <v>OK</v>
          </cell>
          <cell r="H21">
            <v>200</v>
          </cell>
        </row>
        <row r="22">
          <cell r="A22">
            <v>42188</v>
          </cell>
          <cell r="B22">
            <v>11201</v>
          </cell>
          <cell r="C22" t="str">
            <v>Bawjiase Area Rural Bank</v>
          </cell>
          <cell r="E22" t="str">
            <v>CASH DEPOSIT TO BANK</v>
          </cell>
          <cell r="F22" t="str">
            <v>OK</v>
          </cell>
          <cell r="H22">
            <v>1265</v>
          </cell>
          <cell r="I22">
            <v>1265</v>
          </cell>
        </row>
        <row r="23">
          <cell r="A23">
            <v>42190</v>
          </cell>
          <cell r="B23">
            <v>318</v>
          </cell>
          <cell r="C23" t="str">
            <v>DORCAS BOTCHWAY</v>
          </cell>
          <cell r="D23" t="str">
            <v>RV0142684</v>
          </cell>
          <cell r="E23" t="str">
            <v>CASH DEPOSIT</v>
          </cell>
          <cell r="F23" t="str">
            <v>OK</v>
          </cell>
          <cell r="G23">
            <v>10</v>
          </cell>
          <cell r="N23">
            <v>10</v>
          </cell>
        </row>
        <row r="24">
          <cell r="A24">
            <v>42190</v>
          </cell>
          <cell r="B24">
            <v>355</v>
          </cell>
          <cell r="C24" t="str">
            <v>JAMES CLASS</v>
          </cell>
          <cell r="D24" t="str">
            <v>RV0142685</v>
          </cell>
          <cell r="E24" t="str">
            <v>CASH DEPOSIT</v>
          </cell>
          <cell r="F24" t="str">
            <v>OK</v>
          </cell>
          <cell r="G24">
            <v>27.6</v>
          </cell>
          <cell r="N24">
            <v>27.6</v>
          </cell>
        </row>
        <row r="25">
          <cell r="A25">
            <v>42190</v>
          </cell>
          <cell r="B25">
            <v>177</v>
          </cell>
          <cell r="C25" t="str">
            <v>WEDNESDAY CLASS</v>
          </cell>
          <cell r="D25" t="str">
            <v>RV0142686</v>
          </cell>
          <cell r="E25" t="str">
            <v>CASH DEPOSIT</v>
          </cell>
          <cell r="F25" t="str">
            <v>OK</v>
          </cell>
          <cell r="G25">
            <v>157</v>
          </cell>
          <cell r="N25">
            <v>157</v>
          </cell>
        </row>
        <row r="26">
          <cell r="A26">
            <v>42190</v>
          </cell>
          <cell r="B26">
            <v>345</v>
          </cell>
          <cell r="C26" t="str">
            <v>SAMUEL ESSILFIE</v>
          </cell>
          <cell r="D26" t="str">
            <v>RV0142687</v>
          </cell>
          <cell r="E26" t="str">
            <v>CASH DEPOSIT</v>
          </cell>
          <cell r="F26" t="str">
            <v>OK</v>
          </cell>
          <cell r="G26">
            <v>100</v>
          </cell>
          <cell r="N26">
            <v>100</v>
          </cell>
        </row>
        <row r="27">
          <cell r="A27">
            <v>42190</v>
          </cell>
          <cell r="B27">
            <v>324</v>
          </cell>
          <cell r="C27" t="str">
            <v>KWABENA AGYEKUM-SABRAW</v>
          </cell>
          <cell r="D27" t="str">
            <v>RV0142688</v>
          </cell>
          <cell r="E27" t="str">
            <v>LOAN REPAYMENT / INTEREST</v>
          </cell>
          <cell r="F27" t="str">
            <v>OK</v>
          </cell>
          <cell r="G27">
            <v>350</v>
          </cell>
          <cell r="R27">
            <v>300</v>
          </cell>
          <cell r="AQ27">
            <v>50</v>
          </cell>
        </row>
        <row r="28">
          <cell r="A28">
            <v>42190</v>
          </cell>
          <cell r="B28">
            <v>379</v>
          </cell>
          <cell r="C28" t="str">
            <v>LYDIA TIBU KWAKYE</v>
          </cell>
          <cell r="D28" t="str">
            <v>RV0142689</v>
          </cell>
          <cell r="E28" t="str">
            <v>CASH DEPOSIT</v>
          </cell>
          <cell r="F28" t="str">
            <v>OK</v>
          </cell>
          <cell r="G28">
            <v>200</v>
          </cell>
          <cell r="N28">
            <v>200</v>
          </cell>
        </row>
        <row r="29">
          <cell r="A29">
            <v>42190</v>
          </cell>
          <cell r="B29">
            <v>389</v>
          </cell>
          <cell r="C29" t="str">
            <v>ESTHER T.KWOFIE</v>
          </cell>
          <cell r="D29" t="str">
            <v>RV0142690</v>
          </cell>
          <cell r="E29" t="str">
            <v>Cash deposit</v>
          </cell>
          <cell r="F29" t="str">
            <v>OK</v>
          </cell>
          <cell r="G29">
            <v>100</v>
          </cell>
          <cell r="N29">
            <v>100</v>
          </cell>
        </row>
        <row r="30">
          <cell r="A30">
            <v>42190</v>
          </cell>
          <cell r="B30">
            <v>56900</v>
          </cell>
          <cell r="C30" t="str">
            <v>Office Expenses</v>
          </cell>
          <cell r="D30" t="str">
            <v>PV0054127</v>
          </cell>
          <cell r="E30" t="str">
            <v xml:space="preserve"> Payment of photograph for opening of a/c at Gold Coast</v>
          </cell>
          <cell r="F30" t="str">
            <v>OK</v>
          </cell>
          <cell r="H30">
            <v>20</v>
          </cell>
        </row>
        <row r="31">
          <cell r="A31">
            <v>42191</v>
          </cell>
          <cell r="B31">
            <v>56900</v>
          </cell>
          <cell r="C31" t="str">
            <v>Office Expenses</v>
          </cell>
          <cell r="D31" t="str">
            <v>PV0054128</v>
          </cell>
          <cell r="E31" t="str">
            <v>Water for the office</v>
          </cell>
          <cell r="F31" t="str">
            <v>OK</v>
          </cell>
          <cell r="H31">
            <v>3</v>
          </cell>
        </row>
        <row r="32">
          <cell r="A32">
            <v>42191</v>
          </cell>
          <cell r="B32">
            <v>56400</v>
          </cell>
          <cell r="C32" t="str">
            <v>Travel &amp; Transport (T &amp; T)</v>
          </cell>
          <cell r="D32" t="str">
            <v>PV0054129</v>
          </cell>
          <cell r="E32" t="str">
            <v>T&amp;T to bank</v>
          </cell>
          <cell r="F32" t="str">
            <v>OK</v>
          </cell>
          <cell r="H32">
            <v>7</v>
          </cell>
        </row>
        <row r="33">
          <cell r="A33">
            <v>42191</v>
          </cell>
          <cell r="B33">
            <v>54300</v>
          </cell>
          <cell r="C33" t="str">
            <v>BoD and Committee expenses</v>
          </cell>
          <cell r="D33" t="str">
            <v>PV0054130</v>
          </cell>
          <cell r="E33" t="str">
            <v>Cost of refreshment on Board meeting</v>
          </cell>
          <cell r="F33" t="str">
            <v>OK</v>
          </cell>
          <cell r="H33">
            <v>70</v>
          </cell>
        </row>
        <row r="34">
          <cell r="A34">
            <v>42191</v>
          </cell>
          <cell r="C34">
            <v>0</v>
          </cell>
          <cell r="F34" t="str">
            <v>OK</v>
          </cell>
        </row>
        <row r="35">
          <cell r="A35">
            <v>42191</v>
          </cell>
          <cell r="B35">
            <v>11201</v>
          </cell>
          <cell r="C35" t="str">
            <v>Bawjiase Area Rural Bank</v>
          </cell>
          <cell r="E35" t="str">
            <v>Cash deposit to Bank</v>
          </cell>
          <cell r="F35" t="str">
            <v>OK</v>
          </cell>
          <cell r="H35">
            <v>2600</v>
          </cell>
          <cell r="I35">
            <v>2600</v>
          </cell>
        </row>
        <row r="36">
          <cell r="A36">
            <v>42191</v>
          </cell>
          <cell r="B36">
            <v>367</v>
          </cell>
          <cell r="C36" t="str">
            <v>FIJAI METHODIST CHURCH</v>
          </cell>
          <cell r="D36" t="str">
            <v>RV0142691</v>
          </cell>
          <cell r="E36" t="str">
            <v>Cash  Deposit</v>
          </cell>
          <cell r="F36" t="str">
            <v>OK</v>
          </cell>
          <cell r="G36">
            <v>250</v>
          </cell>
          <cell r="N36">
            <v>250</v>
          </cell>
        </row>
        <row r="37">
          <cell r="A37">
            <v>42191</v>
          </cell>
          <cell r="B37">
            <v>300</v>
          </cell>
          <cell r="C37" t="str">
            <v>CIRCUIT WOMEN'S FELLOWSHIP METH.</v>
          </cell>
          <cell r="D37" t="str">
            <v>RV0142692</v>
          </cell>
          <cell r="E37" t="str">
            <v>Cash  Deposit</v>
          </cell>
          <cell r="F37" t="str">
            <v>OK</v>
          </cell>
          <cell r="G37">
            <v>300</v>
          </cell>
          <cell r="N37">
            <v>300</v>
          </cell>
        </row>
        <row r="38">
          <cell r="A38">
            <v>42191</v>
          </cell>
          <cell r="B38">
            <v>365</v>
          </cell>
          <cell r="C38" t="str">
            <v>RACHEAL VISSION WORKERS</v>
          </cell>
          <cell r="D38" t="str">
            <v>RV0142693</v>
          </cell>
          <cell r="E38" t="str">
            <v>Cash  Deposit</v>
          </cell>
          <cell r="F38" t="str">
            <v>OK</v>
          </cell>
          <cell r="G38">
            <v>100</v>
          </cell>
          <cell r="N38">
            <v>100</v>
          </cell>
        </row>
        <row r="39">
          <cell r="A39">
            <v>42191</v>
          </cell>
          <cell r="B39">
            <v>326</v>
          </cell>
          <cell r="C39" t="str">
            <v>OPEIKUMA TOWN METHODIST CH.</v>
          </cell>
          <cell r="D39" t="str">
            <v>RV0142694</v>
          </cell>
          <cell r="E39" t="str">
            <v>Cash  Deposit</v>
          </cell>
          <cell r="F39" t="str">
            <v>OK</v>
          </cell>
          <cell r="G39">
            <v>446</v>
          </cell>
          <cell r="N39">
            <v>446</v>
          </cell>
        </row>
        <row r="40">
          <cell r="A40">
            <v>42191</v>
          </cell>
          <cell r="B40">
            <v>178</v>
          </cell>
          <cell r="C40" t="str">
            <v>OSOFO MAAME CLASS</v>
          </cell>
          <cell r="D40" t="str">
            <v>RV0142695</v>
          </cell>
          <cell r="E40" t="str">
            <v>Cash  Deposit</v>
          </cell>
          <cell r="F40" t="str">
            <v>OK</v>
          </cell>
          <cell r="G40">
            <v>114</v>
          </cell>
          <cell r="N40">
            <v>114</v>
          </cell>
        </row>
        <row r="41">
          <cell r="A41">
            <v>42191</v>
          </cell>
          <cell r="B41">
            <v>255</v>
          </cell>
          <cell r="C41" t="str">
            <v>JOHN K.ANNAN</v>
          </cell>
          <cell r="D41" t="str">
            <v>RV0142696</v>
          </cell>
          <cell r="E41" t="str">
            <v>Cash  Deposit</v>
          </cell>
          <cell r="F41" t="str">
            <v>OK</v>
          </cell>
          <cell r="G41">
            <v>200</v>
          </cell>
          <cell r="N41">
            <v>200</v>
          </cell>
        </row>
        <row r="42">
          <cell r="A42">
            <v>42191</v>
          </cell>
          <cell r="B42">
            <v>256</v>
          </cell>
          <cell r="C42" t="str">
            <v>CHARLES ANDOH</v>
          </cell>
          <cell r="D42" t="str">
            <v>RV0142697</v>
          </cell>
          <cell r="E42" t="str">
            <v>Cash  Deposit</v>
          </cell>
          <cell r="F42" t="str">
            <v>OK</v>
          </cell>
          <cell r="G42">
            <v>200</v>
          </cell>
          <cell r="N42">
            <v>200</v>
          </cell>
        </row>
        <row r="43">
          <cell r="A43">
            <v>42191</v>
          </cell>
          <cell r="B43">
            <v>371</v>
          </cell>
          <cell r="C43" t="str">
            <v>DESMOND ASANTE</v>
          </cell>
          <cell r="D43" t="str">
            <v>RV0142698</v>
          </cell>
          <cell r="E43" t="str">
            <v>Cash  Deposit</v>
          </cell>
          <cell r="F43" t="str">
            <v>OK</v>
          </cell>
          <cell r="G43">
            <v>200</v>
          </cell>
          <cell r="N43">
            <v>200</v>
          </cell>
        </row>
        <row r="44">
          <cell r="A44">
            <v>42191</v>
          </cell>
          <cell r="B44">
            <v>231</v>
          </cell>
          <cell r="C44" t="str">
            <v>EMMANUEL DANSO</v>
          </cell>
          <cell r="D44" t="str">
            <v>RV0142699</v>
          </cell>
          <cell r="E44" t="str">
            <v>Loan Repayment / Deposit</v>
          </cell>
          <cell r="F44" t="str">
            <v>OK</v>
          </cell>
          <cell r="G44">
            <v>40</v>
          </cell>
          <cell r="I44">
            <v>700</v>
          </cell>
          <cell r="N44">
            <v>41</v>
          </cell>
          <cell r="R44">
            <v>600</v>
          </cell>
          <cell r="AQ44">
            <v>99</v>
          </cell>
        </row>
        <row r="45">
          <cell r="A45">
            <v>42191</v>
          </cell>
          <cell r="B45">
            <v>27</v>
          </cell>
          <cell r="C45" t="str">
            <v>RICHARD ASAMOAH</v>
          </cell>
          <cell r="D45" t="str">
            <v>RV0142700</v>
          </cell>
          <cell r="E45" t="str">
            <v>Loan Repayment / Deposit</v>
          </cell>
          <cell r="F45" t="str">
            <v>OK</v>
          </cell>
          <cell r="G45">
            <v>300</v>
          </cell>
          <cell r="N45">
            <v>6</v>
          </cell>
          <cell r="R45">
            <v>246</v>
          </cell>
          <cell r="AQ45">
            <v>48</v>
          </cell>
        </row>
        <row r="46">
          <cell r="A46">
            <v>42191</v>
          </cell>
          <cell r="B46">
            <v>372</v>
          </cell>
          <cell r="C46" t="str">
            <v>PHILIP AIDOO</v>
          </cell>
          <cell r="D46" t="str">
            <v>RV0154101</v>
          </cell>
          <cell r="E46" t="str">
            <v>Cash  Deposit</v>
          </cell>
          <cell r="F46" t="str">
            <v>OK</v>
          </cell>
          <cell r="G46">
            <v>80</v>
          </cell>
          <cell r="N46">
            <v>80</v>
          </cell>
        </row>
        <row r="47">
          <cell r="A47">
            <v>42192</v>
          </cell>
          <cell r="B47">
            <v>338</v>
          </cell>
          <cell r="C47" t="str">
            <v>AGARTHA BOTCHWAY</v>
          </cell>
          <cell r="D47" t="str">
            <v>RV0154102</v>
          </cell>
          <cell r="E47" t="str">
            <v>Cash  Deposit</v>
          </cell>
          <cell r="F47" t="str">
            <v>OK</v>
          </cell>
          <cell r="G47">
            <v>15</v>
          </cell>
          <cell r="N47">
            <v>15</v>
          </cell>
        </row>
        <row r="48">
          <cell r="A48">
            <v>42192</v>
          </cell>
          <cell r="B48">
            <v>318</v>
          </cell>
          <cell r="C48" t="str">
            <v>DORCAS BOTCHWAY</v>
          </cell>
          <cell r="D48" t="str">
            <v>RV0154103</v>
          </cell>
          <cell r="E48" t="str">
            <v>Loan Repayment / Inerest</v>
          </cell>
          <cell r="F48" t="str">
            <v>OK</v>
          </cell>
          <cell r="G48">
            <v>350</v>
          </cell>
          <cell r="R48">
            <v>300</v>
          </cell>
          <cell r="AQ48">
            <v>50</v>
          </cell>
        </row>
        <row r="49">
          <cell r="A49">
            <v>42192</v>
          </cell>
          <cell r="B49">
            <v>315</v>
          </cell>
          <cell r="C49" t="str">
            <v>SELINA NAANA ANDAM</v>
          </cell>
          <cell r="D49" t="str">
            <v>RV0154104</v>
          </cell>
          <cell r="E49" t="str">
            <v>Cash  Deposit</v>
          </cell>
          <cell r="F49" t="str">
            <v>OK</v>
          </cell>
          <cell r="G49">
            <v>50</v>
          </cell>
          <cell r="N49">
            <v>50</v>
          </cell>
        </row>
        <row r="50">
          <cell r="A50">
            <v>42192</v>
          </cell>
          <cell r="B50">
            <v>136</v>
          </cell>
          <cell r="C50" t="str">
            <v>LETICIA ARHIN</v>
          </cell>
          <cell r="D50" t="str">
            <v>RV0154105</v>
          </cell>
          <cell r="E50" t="str">
            <v>Loan Repayment / Inerest</v>
          </cell>
          <cell r="F50" t="str">
            <v>OK</v>
          </cell>
          <cell r="G50">
            <v>700</v>
          </cell>
          <cell r="R50">
            <v>601</v>
          </cell>
          <cell r="AQ50">
            <v>99</v>
          </cell>
        </row>
        <row r="51">
          <cell r="A51">
            <v>42192</v>
          </cell>
          <cell r="B51">
            <v>264</v>
          </cell>
          <cell r="C51" t="str">
            <v>AGNES BENTIL</v>
          </cell>
          <cell r="D51" t="str">
            <v>RV0154106</v>
          </cell>
          <cell r="E51" t="str">
            <v>Loan Repayment / Inerest</v>
          </cell>
          <cell r="F51" t="str">
            <v>OK</v>
          </cell>
          <cell r="G51">
            <v>275</v>
          </cell>
          <cell r="R51">
            <v>265</v>
          </cell>
          <cell r="AQ51">
            <v>10</v>
          </cell>
        </row>
        <row r="52">
          <cell r="A52">
            <v>42192</v>
          </cell>
          <cell r="B52">
            <v>2</v>
          </cell>
          <cell r="C52" t="str">
            <v>EMMANUEL OTABIL</v>
          </cell>
          <cell r="D52" t="str">
            <v>RV0154107</v>
          </cell>
          <cell r="E52" t="str">
            <v>Loan Repayment / Inerest</v>
          </cell>
          <cell r="F52" t="str">
            <v>OK</v>
          </cell>
          <cell r="G52">
            <v>2410</v>
          </cell>
          <cell r="R52">
            <v>2146</v>
          </cell>
          <cell r="AQ52">
            <v>264</v>
          </cell>
        </row>
        <row r="53">
          <cell r="A53">
            <v>42192</v>
          </cell>
          <cell r="B53">
            <v>316</v>
          </cell>
          <cell r="C53" t="str">
            <v>AGNES ARKOFUL</v>
          </cell>
          <cell r="D53" t="str">
            <v>RV0154108</v>
          </cell>
          <cell r="E53" t="str">
            <v>Loan processing fees</v>
          </cell>
          <cell r="F53" t="str">
            <v>OK</v>
          </cell>
          <cell r="G53">
            <v>10</v>
          </cell>
        </row>
        <row r="54">
          <cell r="A54">
            <v>42192</v>
          </cell>
          <cell r="B54">
            <v>318</v>
          </cell>
          <cell r="C54" t="str">
            <v>DORCAS BOTCHWAY</v>
          </cell>
          <cell r="D54" t="str">
            <v>PV0054131</v>
          </cell>
          <cell r="E54" t="str">
            <v>Savings  withdrawal</v>
          </cell>
          <cell r="F54" t="str">
            <v>OK</v>
          </cell>
          <cell r="H54">
            <v>150</v>
          </cell>
          <cell r="M54">
            <v>150</v>
          </cell>
        </row>
        <row r="55">
          <cell r="A55">
            <v>42192</v>
          </cell>
          <cell r="B55">
            <v>386</v>
          </cell>
          <cell r="C55" t="str">
            <v>ERNEST TETTEH</v>
          </cell>
          <cell r="D55" t="str">
            <v>PV0054132</v>
          </cell>
          <cell r="E55" t="str">
            <v>Savings  withdrawal</v>
          </cell>
          <cell r="F55" t="str">
            <v>OK</v>
          </cell>
          <cell r="H55">
            <v>200</v>
          </cell>
          <cell r="M55">
            <v>200</v>
          </cell>
        </row>
        <row r="56">
          <cell r="A56">
            <v>42192</v>
          </cell>
          <cell r="B56">
            <v>2</v>
          </cell>
          <cell r="C56" t="str">
            <v>EMMANUEL OTABIL</v>
          </cell>
          <cell r="D56" t="str">
            <v>PV0054133</v>
          </cell>
          <cell r="E56" t="str">
            <v>Savings  withdrawal</v>
          </cell>
          <cell r="F56" t="str">
            <v>OK</v>
          </cell>
          <cell r="H56">
            <v>2410</v>
          </cell>
          <cell r="M56">
            <v>2410</v>
          </cell>
        </row>
        <row r="57">
          <cell r="A57">
            <v>42192</v>
          </cell>
          <cell r="B57">
            <v>316</v>
          </cell>
          <cell r="C57" t="str">
            <v>AGNES ARKOFUL</v>
          </cell>
          <cell r="D57" t="str">
            <v>PV0054134</v>
          </cell>
          <cell r="E57" t="str">
            <v>Loan Disbursed</v>
          </cell>
          <cell r="F57" t="str">
            <v>OK</v>
          </cell>
          <cell r="H57">
            <v>500</v>
          </cell>
          <cell r="Q57">
            <v>500</v>
          </cell>
        </row>
        <row r="58">
          <cell r="A58">
            <v>42192</v>
          </cell>
          <cell r="B58">
            <v>56310</v>
          </cell>
          <cell r="C58" t="str">
            <v>Postage &amp; Communication</v>
          </cell>
          <cell r="D58" t="str">
            <v>PV0054135</v>
          </cell>
          <cell r="E58" t="str">
            <v>Purchase of call credit</v>
          </cell>
          <cell r="F58" t="str">
            <v>OK</v>
          </cell>
          <cell r="H58">
            <v>30</v>
          </cell>
        </row>
        <row r="59">
          <cell r="A59">
            <v>42192</v>
          </cell>
          <cell r="B59">
            <v>56400</v>
          </cell>
          <cell r="C59" t="str">
            <v>Travel &amp; Transport (T &amp; T)</v>
          </cell>
          <cell r="D59" t="str">
            <v>PV0054136</v>
          </cell>
          <cell r="E59" t="str">
            <v>Cost of fuel to loan defaulters</v>
          </cell>
          <cell r="F59" t="str">
            <v>OK</v>
          </cell>
          <cell r="H59">
            <v>50</v>
          </cell>
        </row>
        <row r="60">
          <cell r="A60">
            <v>42193</v>
          </cell>
          <cell r="B60">
            <v>54900</v>
          </cell>
          <cell r="C60" t="str">
            <v>Other Organizational Cost</v>
          </cell>
          <cell r="D60" t="str">
            <v>PV0054137</v>
          </cell>
          <cell r="E60" t="str">
            <v>Payment of building levy to CUA</v>
          </cell>
          <cell r="F60" t="str">
            <v>OK</v>
          </cell>
          <cell r="J60">
            <v>456</v>
          </cell>
        </row>
        <row r="61">
          <cell r="A61">
            <v>42193</v>
          </cell>
          <cell r="B61">
            <v>54350</v>
          </cell>
          <cell r="C61" t="str">
            <v>Protocol Expenses</v>
          </cell>
          <cell r="D61" t="str">
            <v>PV0054138</v>
          </cell>
          <cell r="E61" t="str">
            <v>t&amp;t for CUA official</v>
          </cell>
          <cell r="F61" t="str">
            <v>OK</v>
          </cell>
          <cell r="H61">
            <v>30</v>
          </cell>
        </row>
        <row r="62">
          <cell r="A62">
            <v>42193</v>
          </cell>
          <cell r="B62">
            <v>56310</v>
          </cell>
          <cell r="C62" t="str">
            <v>Postage &amp; Communication</v>
          </cell>
          <cell r="D62" t="str">
            <v>PV0054139</v>
          </cell>
          <cell r="E62" t="str">
            <v>Credit for internet modem</v>
          </cell>
          <cell r="F62" t="str">
            <v>OK</v>
          </cell>
          <cell r="H62">
            <v>10</v>
          </cell>
        </row>
        <row r="63">
          <cell r="A63">
            <v>42193</v>
          </cell>
          <cell r="B63">
            <v>54300</v>
          </cell>
          <cell r="C63" t="str">
            <v>BoD and Committee expenses</v>
          </cell>
          <cell r="D63" t="str">
            <v>PV0054140</v>
          </cell>
          <cell r="E63" t="str">
            <v>Additional cost incured on refreshment on board meeting</v>
          </cell>
          <cell r="F63" t="str">
            <v>OK</v>
          </cell>
          <cell r="H63">
            <v>10</v>
          </cell>
        </row>
        <row r="64">
          <cell r="A64">
            <v>42193</v>
          </cell>
          <cell r="B64">
            <v>338</v>
          </cell>
          <cell r="C64" t="str">
            <v>AGARTHA BOTCHWAY</v>
          </cell>
          <cell r="D64" t="str">
            <v>RV0154109</v>
          </cell>
          <cell r="E64" t="str">
            <v>Cash  Deposit</v>
          </cell>
          <cell r="F64" t="str">
            <v>OK</v>
          </cell>
          <cell r="G64">
            <v>20</v>
          </cell>
          <cell r="N64">
            <v>20</v>
          </cell>
        </row>
        <row r="65">
          <cell r="A65">
            <v>42193</v>
          </cell>
          <cell r="B65">
            <v>331</v>
          </cell>
          <cell r="C65" t="str">
            <v>THERESA ANDOH</v>
          </cell>
          <cell r="D65" t="str">
            <v>RV0154110</v>
          </cell>
          <cell r="E65" t="str">
            <v>Cash  Deposit</v>
          </cell>
          <cell r="F65" t="str">
            <v>OK</v>
          </cell>
          <cell r="G65">
            <v>110</v>
          </cell>
          <cell r="N65">
            <v>110</v>
          </cell>
        </row>
        <row r="66">
          <cell r="A66">
            <v>42193</v>
          </cell>
          <cell r="B66">
            <v>301</v>
          </cell>
          <cell r="C66" t="str">
            <v>ELIZABETH QUAYE</v>
          </cell>
          <cell r="D66" t="str">
            <v>RV0154111</v>
          </cell>
          <cell r="E66" t="str">
            <v>Loan Repayment / Inerest</v>
          </cell>
          <cell r="F66" t="str">
            <v>OK</v>
          </cell>
          <cell r="G66">
            <v>40</v>
          </cell>
          <cell r="R66">
            <v>33.75</v>
          </cell>
          <cell r="AQ66">
            <v>6.25</v>
          </cell>
        </row>
        <row r="67">
          <cell r="A67">
            <v>42194</v>
          </cell>
          <cell r="B67">
            <v>338</v>
          </cell>
          <cell r="C67" t="str">
            <v>AGARTHA BOTCHWAY</v>
          </cell>
          <cell r="D67" t="str">
            <v>RV0154112</v>
          </cell>
          <cell r="E67" t="str">
            <v>Cash  Deposit</v>
          </cell>
          <cell r="F67" t="str">
            <v>OK</v>
          </cell>
          <cell r="G67">
            <v>15</v>
          </cell>
          <cell r="N67">
            <v>15</v>
          </cell>
        </row>
        <row r="68">
          <cell r="A68">
            <v>42194</v>
          </cell>
          <cell r="B68">
            <v>345</v>
          </cell>
          <cell r="C68" t="str">
            <v>SAMUEL ESSILFIE</v>
          </cell>
          <cell r="D68" t="str">
            <v>RV0154113</v>
          </cell>
          <cell r="E68" t="str">
            <v>Cash  Deposit</v>
          </cell>
          <cell r="F68" t="str">
            <v>OK</v>
          </cell>
          <cell r="G68">
            <v>290</v>
          </cell>
          <cell r="N68">
            <v>290</v>
          </cell>
        </row>
        <row r="69">
          <cell r="A69">
            <v>42194</v>
          </cell>
          <cell r="B69">
            <v>264</v>
          </cell>
          <cell r="C69" t="str">
            <v>AGNES BENTIL</v>
          </cell>
          <cell r="D69" t="str">
            <v>RV0154114</v>
          </cell>
          <cell r="E69" t="str">
            <v>Loan processing fees</v>
          </cell>
          <cell r="F69" t="str">
            <v>OK</v>
          </cell>
          <cell r="G69">
            <v>16</v>
          </cell>
        </row>
        <row r="70">
          <cell r="A70">
            <v>42194</v>
          </cell>
          <cell r="B70">
            <v>264</v>
          </cell>
          <cell r="C70" t="str">
            <v>AGNES BENTIL</v>
          </cell>
          <cell r="D70" t="str">
            <v>PV0054141</v>
          </cell>
          <cell r="E70" t="str">
            <v>Loan Disbursed</v>
          </cell>
          <cell r="F70" t="str">
            <v>OK</v>
          </cell>
          <cell r="H70">
            <v>800</v>
          </cell>
          <cell r="M70">
            <v>800</v>
          </cell>
        </row>
        <row r="71">
          <cell r="A71">
            <v>42194</v>
          </cell>
          <cell r="B71">
            <v>56900</v>
          </cell>
          <cell r="C71" t="str">
            <v>Office Expenses</v>
          </cell>
          <cell r="D71" t="str">
            <v>PV0054142</v>
          </cell>
          <cell r="E71" t="str">
            <v>Purchase of ECG prepaid unit</v>
          </cell>
          <cell r="F71" t="str">
            <v>OK</v>
          </cell>
          <cell r="H71">
            <v>50</v>
          </cell>
        </row>
        <row r="72">
          <cell r="A72">
            <v>42195</v>
          </cell>
          <cell r="B72">
            <v>343</v>
          </cell>
          <cell r="C72" t="str">
            <v>METHODIST YOUTH FELLOWSHIP KS.CIRCUIT</v>
          </cell>
          <cell r="D72" t="str">
            <v>PV0054143</v>
          </cell>
          <cell r="E72" t="str">
            <v>Savings  withdrawal</v>
          </cell>
          <cell r="F72" t="str">
            <v>OK</v>
          </cell>
          <cell r="H72">
            <v>200</v>
          </cell>
          <cell r="M72">
            <v>200</v>
          </cell>
        </row>
        <row r="73">
          <cell r="A73">
            <v>42195</v>
          </cell>
          <cell r="B73">
            <v>388</v>
          </cell>
          <cell r="C73" t="str">
            <v>LOVE ENOS-AIDOOO</v>
          </cell>
          <cell r="D73" t="str">
            <v>RV0154116</v>
          </cell>
          <cell r="E73" t="str">
            <v>Cash  Deposit</v>
          </cell>
          <cell r="F73" t="str">
            <v>OK</v>
          </cell>
          <cell r="G73">
            <v>50</v>
          </cell>
          <cell r="N73">
            <v>50</v>
          </cell>
        </row>
        <row r="74">
          <cell r="A74">
            <v>42195</v>
          </cell>
          <cell r="B74">
            <v>70</v>
          </cell>
          <cell r="C74" t="str">
            <v>SAMUEL A.ANSAH</v>
          </cell>
          <cell r="D74" t="str">
            <v>RV0154117</v>
          </cell>
          <cell r="E74" t="str">
            <v>Cash  Deposit</v>
          </cell>
          <cell r="F74" t="str">
            <v>OK</v>
          </cell>
          <cell r="G74">
            <v>50</v>
          </cell>
          <cell r="N74">
            <v>50</v>
          </cell>
        </row>
        <row r="75">
          <cell r="A75">
            <v>42195</v>
          </cell>
          <cell r="B75">
            <v>338</v>
          </cell>
          <cell r="C75" t="str">
            <v>AGARTHA BOTCHWAY</v>
          </cell>
          <cell r="D75" t="str">
            <v>RV0154118</v>
          </cell>
          <cell r="E75" t="str">
            <v>Cash  Deposit</v>
          </cell>
          <cell r="F75" t="str">
            <v>OK</v>
          </cell>
          <cell r="G75">
            <v>10</v>
          </cell>
          <cell r="N75">
            <v>10</v>
          </cell>
        </row>
        <row r="76">
          <cell r="A76">
            <v>42195</v>
          </cell>
          <cell r="B76">
            <v>33</v>
          </cell>
          <cell r="C76" t="str">
            <v>NANA KOJO QUANSAH</v>
          </cell>
          <cell r="D76" t="str">
            <v>RV0154119</v>
          </cell>
          <cell r="E76" t="str">
            <v>Cash  Deposit</v>
          </cell>
          <cell r="F76" t="str">
            <v>OK</v>
          </cell>
          <cell r="G76">
            <v>400</v>
          </cell>
          <cell r="N76">
            <v>400</v>
          </cell>
        </row>
        <row r="77">
          <cell r="A77">
            <v>42197</v>
          </cell>
          <cell r="B77">
            <v>171</v>
          </cell>
          <cell r="C77" t="str">
            <v>DORA MENSAH</v>
          </cell>
          <cell r="D77" t="str">
            <v>RV0154120</v>
          </cell>
          <cell r="E77" t="str">
            <v>Cash  Deposit</v>
          </cell>
          <cell r="F77" t="str">
            <v>OK</v>
          </cell>
          <cell r="G77">
            <v>60</v>
          </cell>
          <cell r="N77">
            <v>60</v>
          </cell>
        </row>
        <row r="78">
          <cell r="A78">
            <v>42197</v>
          </cell>
          <cell r="B78">
            <v>132</v>
          </cell>
          <cell r="C78" t="str">
            <v>CHRISTIANA KARKO</v>
          </cell>
          <cell r="D78" t="str">
            <v>RV0154121</v>
          </cell>
          <cell r="E78" t="str">
            <v>Cash  Deposit</v>
          </cell>
          <cell r="F78" t="str">
            <v>OK</v>
          </cell>
          <cell r="G78">
            <v>50</v>
          </cell>
          <cell r="N78">
            <v>50</v>
          </cell>
        </row>
        <row r="79">
          <cell r="A79">
            <v>42197</v>
          </cell>
          <cell r="B79">
            <v>295</v>
          </cell>
          <cell r="C79" t="str">
            <v>MATHEW EDUOKU</v>
          </cell>
          <cell r="D79" t="str">
            <v>RV0154122</v>
          </cell>
          <cell r="E79" t="str">
            <v>Loan Repayment / Inerest</v>
          </cell>
          <cell r="F79" t="str">
            <v>OK</v>
          </cell>
          <cell r="G79">
            <v>50</v>
          </cell>
          <cell r="R79">
            <v>40</v>
          </cell>
          <cell r="AQ79">
            <v>10</v>
          </cell>
        </row>
        <row r="80">
          <cell r="A80">
            <v>42198</v>
          </cell>
          <cell r="B80">
            <v>54350</v>
          </cell>
          <cell r="C80" t="str">
            <v>Protocol Expenses</v>
          </cell>
          <cell r="D80" t="str">
            <v>PV0054144</v>
          </cell>
          <cell r="E80" t="str">
            <v>T&amp;T for CUA official</v>
          </cell>
          <cell r="F80" t="str">
            <v>OK</v>
          </cell>
          <cell r="H80">
            <v>100</v>
          </cell>
        </row>
        <row r="81">
          <cell r="A81">
            <v>42198</v>
          </cell>
          <cell r="B81">
            <v>162</v>
          </cell>
          <cell r="C81" t="str">
            <v>EMMANUEL KEELSON(SNR)</v>
          </cell>
          <cell r="D81" t="str">
            <v>PV0054145</v>
          </cell>
          <cell r="E81" t="str">
            <v>Savings  withdrawal</v>
          </cell>
          <cell r="F81" t="str">
            <v>OK</v>
          </cell>
          <cell r="H81">
            <v>100</v>
          </cell>
          <cell r="M81">
            <v>100</v>
          </cell>
        </row>
        <row r="82">
          <cell r="A82">
            <v>42198</v>
          </cell>
          <cell r="B82">
            <v>69</v>
          </cell>
          <cell r="C82" t="str">
            <v>PATIENCE ANSAH</v>
          </cell>
          <cell r="D82" t="str">
            <v>PV0054146</v>
          </cell>
          <cell r="E82" t="str">
            <v>Savings  withdrawal</v>
          </cell>
          <cell r="F82" t="str">
            <v>OK</v>
          </cell>
          <cell r="H82">
            <v>426</v>
          </cell>
          <cell r="M82">
            <v>426</v>
          </cell>
        </row>
        <row r="83">
          <cell r="A83">
            <v>42198</v>
          </cell>
          <cell r="B83">
            <v>56900</v>
          </cell>
          <cell r="C83" t="str">
            <v>Office Expenses</v>
          </cell>
          <cell r="D83" t="str">
            <v>PV0054147</v>
          </cell>
          <cell r="E83" t="str">
            <v>Gabbage disposal</v>
          </cell>
          <cell r="F83" t="str">
            <v>OK</v>
          </cell>
          <cell r="H83">
            <v>1</v>
          </cell>
        </row>
        <row r="84">
          <cell r="A84">
            <v>42198</v>
          </cell>
          <cell r="B84">
            <v>70</v>
          </cell>
          <cell r="C84" t="str">
            <v>SAMUEL A.ANSAH</v>
          </cell>
          <cell r="D84" t="str">
            <v>PV0054148</v>
          </cell>
          <cell r="E84" t="str">
            <v>Loan Disbursed</v>
          </cell>
          <cell r="F84" t="str">
            <v>OK</v>
          </cell>
          <cell r="J84">
            <v>1000</v>
          </cell>
          <cell r="Q84">
            <v>1000</v>
          </cell>
        </row>
        <row r="85">
          <cell r="A85">
            <v>42198</v>
          </cell>
          <cell r="B85">
            <v>69</v>
          </cell>
          <cell r="C85" t="str">
            <v>PATIENCE ANSAH</v>
          </cell>
          <cell r="D85" t="str">
            <v>RV0154123</v>
          </cell>
          <cell r="E85" t="str">
            <v>Loan Repayment / Inerest</v>
          </cell>
          <cell r="F85" t="str">
            <v>OK</v>
          </cell>
          <cell r="G85">
            <v>426</v>
          </cell>
          <cell r="R85">
            <v>375</v>
          </cell>
          <cell r="AQ85">
            <v>51</v>
          </cell>
        </row>
        <row r="86">
          <cell r="A86">
            <v>42198</v>
          </cell>
          <cell r="B86">
            <v>367</v>
          </cell>
          <cell r="C86" t="str">
            <v>FIJAI METHODIST CHURCH</v>
          </cell>
          <cell r="D86" t="str">
            <v>RV0154124</v>
          </cell>
          <cell r="E86" t="str">
            <v>Cash  Deposit</v>
          </cell>
          <cell r="F86" t="str">
            <v>OK</v>
          </cell>
          <cell r="G86">
            <v>220</v>
          </cell>
          <cell r="L86">
            <v>20</v>
          </cell>
          <cell r="N86">
            <v>200</v>
          </cell>
        </row>
        <row r="87">
          <cell r="A87">
            <v>42198</v>
          </cell>
          <cell r="B87">
            <v>354</v>
          </cell>
          <cell r="C87" t="str">
            <v>ANNA EHUN AMU</v>
          </cell>
          <cell r="D87" t="str">
            <v>RV0154125</v>
          </cell>
          <cell r="E87" t="str">
            <v>Cash  Deposit</v>
          </cell>
          <cell r="F87" t="str">
            <v>OK</v>
          </cell>
          <cell r="G87">
            <v>30</v>
          </cell>
          <cell r="N87">
            <v>30</v>
          </cell>
        </row>
        <row r="88">
          <cell r="A88">
            <v>42198</v>
          </cell>
          <cell r="B88">
            <v>70</v>
          </cell>
          <cell r="C88" t="str">
            <v>SAMUEL A.ANSAH</v>
          </cell>
          <cell r="D88" t="str">
            <v>RV0154126</v>
          </cell>
          <cell r="E88" t="str">
            <v>Loan processing fees</v>
          </cell>
          <cell r="F88" t="str">
            <v>OK</v>
          </cell>
          <cell r="G88">
            <v>20</v>
          </cell>
        </row>
        <row r="89">
          <cell r="A89">
            <v>42198</v>
          </cell>
          <cell r="B89">
            <v>209</v>
          </cell>
          <cell r="C89" t="str">
            <v>BERNARD BENTSIL BARNES</v>
          </cell>
          <cell r="D89" t="str">
            <v>RV0154127</v>
          </cell>
          <cell r="E89" t="str">
            <v>Cash  Deposit</v>
          </cell>
          <cell r="F89" t="str">
            <v>OK</v>
          </cell>
          <cell r="G89">
            <v>50</v>
          </cell>
          <cell r="N89">
            <v>50</v>
          </cell>
        </row>
        <row r="90">
          <cell r="A90">
            <v>42199</v>
          </cell>
          <cell r="B90">
            <v>338</v>
          </cell>
          <cell r="C90" t="str">
            <v>AGARTHA BOTCHWAY</v>
          </cell>
          <cell r="D90" t="str">
            <v>RV0154128</v>
          </cell>
          <cell r="E90" t="str">
            <v>Cash  Deposit</v>
          </cell>
          <cell r="F90" t="str">
            <v>OK</v>
          </cell>
          <cell r="G90">
            <v>10</v>
          </cell>
          <cell r="N90">
            <v>10</v>
          </cell>
        </row>
        <row r="91">
          <cell r="A91">
            <v>42199</v>
          </cell>
          <cell r="B91">
            <v>37</v>
          </cell>
          <cell r="C91" t="str">
            <v>RACHEAL NYARKO</v>
          </cell>
          <cell r="D91" t="str">
            <v>RV0154129</v>
          </cell>
          <cell r="E91" t="str">
            <v>Loan Repayment / Inerest</v>
          </cell>
          <cell r="F91" t="str">
            <v>OK</v>
          </cell>
          <cell r="G91">
            <v>146</v>
          </cell>
          <cell r="R91">
            <v>125</v>
          </cell>
          <cell r="AQ91">
            <v>21</v>
          </cell>
        </row>
        <row r="92">
          <cell r="A92">
            <v>42199</v>
          </cell>
          <cell r="B92">
            <v>365</v>
          </cell>
          <cell r="C92" t="str">
            <v>RACHEAL VISSION WORKERS</v>
          </cell>
          <cell r="D92" t="str">
            <v>RV0154130</v>
          </cell>
          <cell r="E92" t="str">
            <v>Cash  Deposit</v>
          </cell>
          <cell r="F92" t="str">
            <v>OK</v>
          </cell>
          <cell r="G92">
            <v>145</v>
          </cell>
          <cell r="N92">
            <v>145</v>
          </cell>
        </row>
        <row r="93">
          <cell r="A93">
            <v>42199</v>
          </cell>
          <cell r="B93">
            <v>365</v>
          </cell>
          <cell r="C93" t="str">
            <v>RACHEAL VISSION WORKERS</v>
          </cell>
          <cell r="D93" t="str">
            <v>RV0154131</v>
          </cell>
          <cell r="E93" t="str">
            <v>Cash  Deposit</v>
          </cell>
          <cell r="F93" t="str">
            <v>OK</v>
          </cell>
          <cell r="G93">
            <v>20</v>
          </cell>
          <cell r="N93">
            <v>20</v>
          </cell>
        </row>
        <row r="94">
          <cell r="A94">
            <v>42199</v>
          </cell>
          <cell r="B94">
            <v>361</v>
          </cell>
          <cell r="C94" t="str">
            <v>JULIANA ADU BREMPONG</v>
          </cell>
          <cell r="D94" t="str">
            <v>RV0154132</v>
          </cell>
          <cell r="E94" t="str">
            <v>Loan Repayment / Inerest</v>
          </cell>
          <cell r="F94" t="str">
            <v>OK</v>
          </cell>
          <cell r="G94">
            <v>100</v>
          </cell>
          <cell r="R94">
            <v>91</v>
          </cell>
          <cell r="AQ94">
            <v>9</v>
          </cell>
        </row>
        <row r="95">
          <cell r="A95">
            <v>42199</v>
          </cell>
          <cell r="B95">
            <v>56900</v>
          </cell>
          <cell r="C95" t="str">
            <v>Office Expenses</v>
          </cell>
          <cell r="D95" t="str">
            <v>PV0054149</v>
          </cell>
          <cell r="E95" t="str">
            <v>Provissions for the office</v>
          </cell>
          <cell r="F95" t="str">
            <v>OK</v>
          </cell>
          <cell r="H95">
            <v>50</v>
          </cell>
        </row>
        <row r="96">
          <cell r="A96">
            <v>42199</v>
          </cell>
          <cell r="B96">
            <v>54300</v>
          </cell>
          <cell r="C96" t="str">
            <v>BoD and Committee expenses</v>
          </cell>
          <cell r="D96" t="str">
            <v>PV0054150</v>
          </cell>
          <cell r="E96" t="str">
            <v>Fees paid for Board of Direstoers training</v>
          </cell>
          <cell r="F96" t="str">
            <v>OK</v>
          </cell>
          <cell r="H96">
            <v>275</v>
          </cell>
        </row>
        <row r="97">
          <cell r="A97">
            <v>42199</v>
          </cell>
          <cell r="B97">
            <v>54300</v>
          </cell>
          <cell r="C97" t="str">
            <v>BoD and Committee expenses</v>
          </cell>
          <cell r="D97" t="str">
            <v>PV0054151</v>
          </cell>
          <cell r="E97" t="str">
            <v>t&amp;t to BOD Training</v>
          </cell>
          <cell r="F97" t="str">
            <v>OK</v>
          </cell>
          <cell r="H97">
            <v>30</v>
          </cell>
        </row>
        <row r="98">
          <cell r="A98">
            <v>42199</v>
          </cell>
          <cell r="B98">
            <v>384</v>
          </cell>
          <cell r="C98" t="str">
            <v>SEMENHYIA METH PREACHING POST</v>
          </cell>
          <cell r="D98" t="str">
            <v>PV0054153</v>
          </cell>
          <cell r="E98" t="str">
            <v>Savings  withdrawal</v>
          </cell>
          <cell r="F98" t="str">
            <v>OK</v>
          </cell>
          <cell r="H98">
            <v>500</v>
          </cell>
          <cell r="M98">
            <v>500</v>
          </cell>
        </row>
        <row r="99">
          <cell r="A99">
            <v>42200</v>
          </cell>
          <cell r="B99">
            <v>162</v>
          </cell>
          <cell r="C99" t="str">
            <v>EMMANUEL KEELSON(SNR)</v>
          </cell>
          <cell r="D99" t="str">
            <v>PV0054154</v>
          </cell>
          <cell r="E99" t="str">
            <v>Loan Disbursed</v>
          </cell>
          <cell r="F99" t="str">
            <v>OK</v>
          </cell>
          <cell r="H99">
            <v>400</v>
          </cell>
          <cell r="Q99">
            <v>400</v>
          </cell>
        </row>
        <row r="100">
          <cell r="A100">
            <v>42200</v>
          </cell>
          <cell r="B100">
            <v>85</v>
          </cell>
          <cell r="C100" t="str">
            <v>GOOD SHEPHERD METH CH.</v>
          </cell>
          <cell r="D100" t="str">
            <v>PV0054155</v>
          </cell>
          <cell r="E100" t="str">
            <v>Savings  withdrawal</v>
          </cell>
          <cell r="F100" t="str">
            <v>OK</v>
          </cell>
          <cell r="H100">
            <v>800</v>
          </cell>
          <cell r="M100">
            <v>800</v>
          </cell>
        </row>
        <row r="101">
          <cell r="A101">
            <v>42200</v>
          </cell>
          <cell r="B101">
            <v>99999</v>
          </cell>
          <cell r="C101" t="str">
            <v>cancelled voucher</v>
          </cell>
          <cell r="D101" t="str">
            <v>PV0054156</v>
          </cell>
          <cell r="F101" t="str">
            <v>OK</v>
          </cell>
        </row>
        <row r="102">
          <cell r="A102">
            <v>42200</v>
          </cell>
          <cell r="B102">
            <v>54350</v>
          </cell>
          <cell r="C102" t="str">
            <v>Protocol Expenses</v>
          </cell>
          <cell r="D102" t="str">
            <v>PV0054157</v>
          </cell>
          <cell r="E102" t="str">
            <v>t&amp;t for CUA official</v>
          </cell>
          <cell r="F102" t="str">
            <v>OK</v>
          </cell>
          <cell r="H102">
            <v>30</v>
          </cell>
        </row>
        <row r="103">
          <cell r="A103">
            <v>42201</v>
          </cell>
          <cell r="B103">
            <v>56310</v>
          </cell>
          <cell r="C103" t="str">
            <v>Postage &amp; Communication</v>
          </cell>
          <cell r="D103" t="str">
            <v>PV0054158</v>
          </cell>
          <cell r="E103" t="str">
            <v>credit for internet modem and call</v>
          </cell>
          <cell r="F103" t="str">
            <v>OK</v>
          </cell>
          <cell r="H103">
            <v>40</v>
          </cell>
        </row>
        <row r="104">
          <cell r="A104">
            <v>42200</v>
          </cell>
          <cell r="B104">
            <v>394</v>
          </cell>
          <cell r="C104" t="str">
            <v>JAMES KOUFIE</v>
          </cell>
          <cell r="D104" t="str">
            <v>RV0154133</v>
          </cell>
          <cell r="E104" t="str">
            <v>Cash  Deposit</v>
          </cell>
          <cell r="F104" t="str">
            <v>OK</v>
          </cell>
          <cell r="G104">
            <v>505</v>
          </cell>
          <cell r="L104">
            <v>50</v>
          </cell>
          <cell r="N104">
            <v>450</v>
          </cell>
        </row>
        <row r="105">
          <cell r="A105">
            <v>42200</v>
          </cell>
          <cell r="B105">
            <v>338</v>
          </cell>
          <cell r="C105" t="str">
            <v>AGARTHA BOTCHWAY</v>
          </cell>
          <cell r="D105" t="str">
            <v>RV0154134</v>
          </cell>
          <cell r="E105" t="str">
            <v>Cash  Deposit</v>
          </cell>
          <cell r="F105" t="str">
            <v>OK</v>
          </cell>
          <cell r="G105">
            <v>10</v>
          </cell>
          <cell r="N105">
            <v>10</v>
          </cell>
        </row>
        <row r="106">
          <cell r="A106">
            <v>42200</v>
          </cell>
          <cell r="B106">
            <v>231</v>
          </cell>
          <cell r="C106" t="str">
            <v>EMMANUEL DANSO</v>
          </cell>
          <cell r="D106" t="str">
            <v>RV0154135</v>
          </cell>
          <cell r="E106" t="str">
            <v>Cash  Deposit</v>
          </cell>
          <cell r="F106" t="str">
            <v>OK</v>
          </cell>
          <cell r="G106">
            <v>30</v>
          </cell>
          <cell r="N106">
            <v>30</v>
          </cell>
        </row>
        <row r="107">
          <cell r="A107">
            <v>42200</v>
          </cell>
          <cell r="B107">
            <v>33</v>
          </cell>
          <cell r="C107" t="str">
            <v>NANA KOJO QUANSAH</v>
          </cell>
          <cell r="D107" t="str">
            <v>RV0154136</v>
          </cell>
          <cell r="E107" t="str">
            <v>Cash  Deposit</v>
          </cell>
          <cell r="F107" t="str">
            <v>OK</v>
          </cell>
          <cell r="G107">
            <v>800</v>
          </cell>
          <cell r="N107">
            <v>800</v>
          </cell>
        </row>
        <row r="108">
          <cell r="A108">
            <v>42200</v>
          </cell>
          <cell r="B108">
            <v>162</v>
          </cell>
          <cell r="C108" t="str">
            <v>EMMANUEL KEELSON(SNR)</v>
          </cell>
          <cell r="D108" t="str">
            <v>RV0154137</v>
          </cell>
          <cell r="E108" t="str">
            <v>Loan processing fees</v>
          </cell>
          <cell r="F108" t="str">
            <v>OK</v>
          </cell>
          <cell r="G108">
            <v>8</v>
          </cell>
        </row>
        <row r="109">
          <cell r="A109">
            <v>42200</v>
          </cell>
          <cell r="B109">
            <v>339</v>
          </cell>
          <cell r="C109" t="str">
            <v>FRANKLINA ESSEL</v>
          </cell>
          <cell r="D109" t="str">
            <v>RV0154138</v>
          </cell>
          <cell r="E109" t="str">
            <v>Loan Repayment / Deposit</v>
          </cell>
          <cell r="F109" t="str">
            <v>OK</v>
          </cell>
          <cell r="G109">
            <v>60</v>
          </cell>
          <cell r="N109">
            <v>1.5</v>
          </cell>
          <cell r="R109">
            <v>50</v>
          </cell>
          <cell r="AQ109">
            <v>8.5</v>
          </cell>
        </row>
        <row r="110">
          <cell r="A110">
            <v>42201</v>
          </cell>
          <cell r="B110">
            <v>384</v>
          </cell>
          <cell r="C110" t="str">
            <v>SEMENHYIA METH PREACHING POST</v>
          </cell>
          <cell r="D110" t="str">
            <v>RV0154139</v>
          </cell>
          <cell r="E110" t="str">
            <v>Cash  Deposit</v>
          </cell>
          <cell r="F110" t="str">
            <v>OK</v>
          </cell>
          <cell r="G110">
            <v>173</v>
          </cell>
          <cell r="N110">
            <v>173</v>
          </cell>
        </row>
        <row r="111">
          <cell r="A111">
            <v>42201</v>
          </cell>
          <cell r="B111">
            <v>271</v>
          </cell>
          <cell r="C111" t="str">
            <v>METHODIST MEN'S FELLOWSHIP KASOA</v>
          </cell>
          <cell r="D111" t="str">
            <v>RV0154140</v>
          </cell>
          <cell r="E111" t="str">
            <v>Cash  Deposit</v>
          </cell>
          <cell r="F111" t="str">
            <v>OK</v>
          </cell>
          <cell r="G111">
            <v>100</v>
          </cell>
          <cell r="N111">
            <v>100</v>
          </cell>
        </row>
        <row r="112">
          <cell r="A112">
            <v>42201</v>
          </cell>
          <cell r="B112">
            <v>338</v>
          </cell>
          <cell r="C112" t="str">
            <v>AGARTHA BOTCHWAY</v>
          </cell>
          <cell r="D112" t="str">
            <v>RV0154141</v>
          </cell>
          <cell r="E112" t="str">
            <v>Cash  Deposit</v>
          </cell>
          <cell r="F112" t="str">
            <v>OK</v>
          </cell>
          <cell r="G112">
            <v>10</v>
          </cell>
          <cell r="N112">
            <v>10</v>
          </cell>
        </row>
        <row r="113">
          <cell r="A113">
            <v>42202</v>
          </cell>
          <cell r="B113">
            <v>356</v>
          </cell>
          <cell r="C113" t="str">
            <v>BEATRICE ARTHUR</v>
          </cell>
          <cell r="D113" t="str">
            <v>RV0154142</v>
          </cell>
          <cell r="E113" t="str">
            <v>Loan Repayment / Inerest</v>
          </cell>
          <cell r="F113" t="str">
            <v>OK</v>
          </cell>
          <cell r="G113">
            <v>109</v>
          </cell>
          <cell r="R113">
            <v>100</v>
          </cell>
          <cell r="AQ113">
            <v>9</v>
          </cell>
        </row>
        <row r="114">
          <cell r="A114">
            <v>42202</v>
          </cell>
          <cell r="B114">
            <v>365</v>
          </cell>
          <cell r="C114" t="str">
            <v>RACHEAL VISSION WORKERS</v>
          </cell>
          <cell r="D114" t="str">
            <v>RV0154143</v>
          </cell>
          <cell r="E114" t="str">
            <v>Cash  Deposit</v>
          </cell>
          <cell r="F114" t="str">
            <v>OK</v>
          </cell>
          <cell r="G114">
            <v>80</v>
          </cell>
          <cell r="N114">
            <v>80</v>
          </cell>
        </row>
        <row r="115">
          <cell r="A115">
            <v>42202</v>
          </cell>
          <cell r="B115">
            <v>361</v>
          </cell>
          <cell r="C115" t="str">
            <v>JULIANA ADU BREMPONG</v>
          </cell>
          <cell r="D115" t="str">
            <v>RV0154144</v>
          </cell>
          <cell r="E115" t="str">
            <v>Loan repayment</v>
          </cell>
          <cell r="F115" t="str">
            <v>OK</v>
          </cell>
          <cell r="G115">
            <v>50</v>
          </cell>
          <cell r="R115">
            <v>50</v>
          </cell>
        </row>
        <row r="116">
          <cell r="A116">
            <v>42202</v>
          </cell>
          <cell r="B116">
            <v>392</v>
          </cell>
          <cell r="C116" t="str">
            <v>AL-HALIM HALIMA OTOO</v>
          </cell>
          <cell r="D116" t="str">
            <v>RV0154145</v>
          </cell>
          <cell r="E116" t="str">
            <v>Cash  Deposit</v>
          </cell>
          <cell r="F116" t="str">
            <v>OK</v>
          </cell>
          <cell r="G116">
            <v>60</v>
          </cell>
          <cell r="L116">
            <v>40</v>
          </cell>
          <cell r="N116">
            <v>20</v>
          </cell>
        </row>
        <row r="117">
          <cell r="A117">
            <v>42202</v>
          </cell>
          <cell r="B117">
            <v>35</v>
          </cell>
          <cell r="C117" t="str">
            <v>MICHEAL PADDY MENDS</v>
          </cell>
          <cell r="D117" t="str">
            <v>RV0154146</v>
          </cell>
          <cell r="E117" t="str">
            <v>Loan Repayment / Inerest</v>
          </cell>
          <cell r="F117" t="str">
            <v>OK</v>
          </cell>
          <cell r="G117">
            <v>70</v>
          </cell>
          <cell r="R117">
            <v>60</v>
          </cell>
          <cell r="AQ117">
            <v>10</v>
          </cell>
        </row>
        <row r="118">
          <cell r="A118">
            <v>42202</v>
          </cell>
          <cell r="B118">
            <v>11201</v>
          </cell>
          <cell r="C118" t="str">
            <v>Bawjiase Area Rural Bank</v>
          </cell>
          <cell r="E118" t="str">
            <v>Cash deposit to Bank</v>
          </cell>
          <cell r="F118" t="str">
            <v>OK</v>
          </cell>
          <cell r="H118">
            <v>1807.8</v>
          </cell>
          <cell r="I118">
            <v>1807.8</v>
          </cell>
        </row>
        <row r="119">
          <cell r="A119">
            <v>42204</v>
          </cell>
          <cell r="B119">
            <v>52</v>
          </cell>
          <cell r="C119" t="str">
            <v>FLORENCE DONKOR</v>
          </cell>
          <cell r="D119" t="str">
            <v>RV0154147</v>
          </cell>
          <cell r="E119" t="str">
            <v>Loan Repayment / Deposit</v>
          </cell>
          <cell r="F119" t="str">
            <v>OK</v>
          </cell>
          <cell r="G119">
            <v>195</v>
          </cell>
          <cell r="N119">
            <v>20</v>
          </cell>
          <cell r="R119">
            <v>150</v>
          </cell>
          <cell r="AQ119">
            <v>25</v>
          </cell>
        </row>
        <row r="120">
          <cell r="A120">
            <v>42204</v>
          </cell>
          <cell r="B120">
            <v>329</v>
          </cell>
          <cell r="C120" t="str">
            <v>FAUSTINA BAINE</v>
          </cell>
          <cell r="D120" t="str">
            <v>RV0154148</v>
          </cell>
          <cell r="E120" t="str">
            <v>Cash  Deposit</v>
          </cell>
          <cell r="F120" t="str">
            <v>OK</v>
          </cell>
          <cell r="G120">
            <v>40</v>
          </cell>
          <cell r="N120">
            <v>40</v>
          </cell>
        </row>
        <row r="121">
          <cell r="A121">
            <v>42204</v>
          </cell>
          <cell r="B121">
            <v>379</v>
          </cell>
          <cell r="C121" t="str">
            <v>LYDIA TIBU KWAKYE</v>
          </cell>
          <cell r="D121" t="str">
            <v>RV0154149</v>
          </cell>
          <cell r="E121" t="str">
            <v>Cash  Deposit</v>
          </cell>
          <cell r="F121" t="str">
            <v>OK</v>
          </cell>
          <cell r="G121">
            <v>200</v>
          </cell>
          <cell r="N121">
            <v>200</v>
          </cell>
        </row>
        <row r="122">
          <cell r="A122">
            <v>42204</v>
          </cell>
          <cell r="B122">
            <v>260</v>
          </cell>
          <cell r="C122" t="str">
            <v>BETHEL METHODIST CHURCH CHOIR</v>
          </cell>
          <cell r="D122" t="str">
            <v>RV0154150</v>
          </cell>
          <cell r="E122" t="str">
            <v>Cash  Deposit</v>
          </cell>
          <cell r="F122" t="str">
            <v>OK</v>
          </cell>
          <cell r="G122">
            <v>2600</v>
          </cell>
          <cell r="N122">
            <v>2600</v>
          </cell>
        </row>
        <row r="123">
          <cell r="A123">
            <v>42204</v>
          </cell>
          <cell r="B123">
            <v>321</v>
          </cell>
          <cell r="C123" t="str">
            <v>HAGAR EBIASIMAH GYAMFI</v>
          </cell>
          <cell r="D123" t="str">
            <v>RV0154151</v>
          </cell>
          <cell r="E123" t="str">
            <v>Cash  Deposit</v>
          </cell>
          <cell r="F123" t="str">
            <v>OK</v>
          </cell>
          <cell r="G123">
            <v>50</v>
          </cell>
          <cell r="N123">
            <v>50</v>
          </cell>
        </row>
        <row r="124">
          <cell r="A124">
            <v>42204</v>
          </cell>
          <cell r="B124">
            <v>171</v>
          </cell>
          <cell r="C124" t="str">
            <v>DORA MENSAH</v>
          </cell>
          <cell r="D124" t="str">
            <v>RV0154152</v>
          </cell>
          <cell r="E124" t="str">
            <v>Cash  Deposit</v>
          </cell>
          <cell r="F124" t="str">
            <v>OK</v>
          </cell>
          <cell r="G124">
            <v>20</v>
          </cell>
          <cell r="N124">
            <v>20</v>
          </cell>
        </row>
        <row r="125">
          <cell r="A125">
            <v>42204</v>
          </cell>
          <cell r="B125">
            <v>97</v>
          </cell>
          <cell r="C125" t="str">
            <v>GRACE ABENA AKORLOR</v>
          </cell>
          <cell r="D125" t="str">
            <v>RV0154153</v>
          </cell>
          <cell r="E125" t="str">
            <v>Loan Repayment / Deposit</v>
          </cell>
          <cell r="F125" t="str">
            <v>OK</v>
          </cell>
          <cell r="G125">
            <v>650</v>
          </cell>
          <cell r="R125">
            <v>518</v>
          </cell>
          <cell r="AQ125">
            <v>132</v>
          </cell>
        </row>
        <row r="126">
          <cell r="A126">
            <v>42204</v>
          </cell>
          <cell r="B126">
            <v>345</v>
          </cell>
          <cell r="C126" t="str">
            <v>SAMUEL ESSILFIE</v>
          </cell>
          <cell r="D126" t="str">
            <v>RV0154154</v>
          </cell>
          <cell r="E126" t="str">
            <v>Cash  Deposit</v>
          </cell>
          <cell r="F126" t="str">
            <v>OK</v>
          </cell>
          <cell r="G126">
            <v>210</v>
          </cell>
          <cell r="N126">
            <v>210</v>
          </cell>
        </row>
        <row r="127">
          <cell r="A127">
            <v>42204</v>
          </cell>
          <cell r="B127">
            <v>65</v>
          </cell>
          <cell r="C127" t="str">
            <v>COMFORT ARTHUR</v>
          </cell>
          <cell r="D127" t="str">
            <v>RV0154155</v>
          </cell>
          <cell r="E127" t="str">
            <v>Cash  Deposit</v>
          </cell>
          <cell r="F127" t="str">
            <v>OK</v>
          </cell>
          <cell r="G127">
            <v>100</v>
          </cell>
          <cell r="N127">
            <v>100</v>
          </cell>
        </row>
        <row r="128">
          <cell r="A128">
            <v>42204</v>
          </cell>
          <cell r="B128">
            <v>268</v>
          </cell>
          <cell r="C128" t="str">
            <v>BRO.NYARKO AND SAM'S CLASS</v>
          </cell>
          <cell r="D128" t="str">
            <v>RV0154156</v>
          </cell>
          <cell r="E128" t="str">
            <v>Cash  Deposit</v>
          </cell>
          <cell r="F128" t="str">
            <v>OK</v>
          </cell>
          <cell r="G128">
            <v>88</v>
          </cell>
          <cell r="N128">
            <v>88</v>
          </cell>
        </row>
        <row r="129">
          <cell r="A129">
            <v>42204</v>
          </cell>
          <cell r="B129">
            <v>349</v>
          </cell>
          <cell r="C129" t="str">
            <v>SALOMEY BORTEI</v>
          </cell>
          <cell r="D129" t="str">
            <v>RV0154157</v>
          </cell>
          <cell r="E129" t="str">
            <v>Loan Repayment / Inerest</v>
          </cell>
          <cell r="F129" t="str">
            <v>OK</v>
          </cell>
          <cell r="G129">
            <v>234</v>
          </cell>
          <cell r="R129">
            <v>200</v>
          </cell>
          <cell r="AQ129">
            <v>34</v>
          </cell>
        </row>
        <row r="130">
          <cell r="A130">
            <v>42204</v>
          </cell>
          <cell r="B130">
            <v>321</v>
          </cell>
          <cell r="C130" t="str">
            <v>HAGAR EBIASIMAH GYAMFI</v>
          </cell>
          <cell r="D130" t="str">
            <v>PV0054159</v>
          </cell>
          <cell r="E130" t="str">
            <v>Savings  withdrawal</v>
          </cell>
          <cell r="F130" t="str">
            <v>OK</v>
          </cell>
          <cell r="H130">
            <v>200</v>
          </cell>
          <cell r="M130">
            <v>200</v>
          </cell>
        </row>
        <row r="131">
          <cell r="A131">
            <v>42206</v>
          </cell>
          <cell r="B131">
            <v>56900</v>
          </cell>
          <cell r="C131" t="str">
            <v>Office Expenses</v>
          </cell>
          <cell r="D131" t="str">
            <v>PV0054161</v>
          </cell>
          <cell r="E131" t="str">
            <v>Purchase of extension board</v>
          </cell>
          <cell r="F131" t="str">
            <v>OK</v>
          </cell>
          <cell r="H131">
            <v>18</v>
          </cell>
        </row>
        <row r="132">
          <cell r="A132">
            <v>42206</v>
          </cell>
          <cell r="B132">
            <v>56420</v>
          </cell>
          <cell r="C132" t="str">
            <v>Travel &amp; Transport (incl. Motor, Fuel and Taxi fare expenses)</v>
          </cell>
          <cell r="D132" t="str">
            <v>PV0054162</v>
          </cell>
          <cell r="E132" t="str">
            <v>t&amp;t to bank</v>
          </cell>
          <cell r="F132" t="str">
            <v>OK</v>
          </cell>
          <cell r="H132">
            <v>7</v>
          </cell>
        </row>
        <row r="133">
          <cell r="A133">
            <v>42206</v>
          </cell>
          <cell r="B133">
            <v>338</v>
          </cell>
          <cell r="C133" t="str">
            <v>AGARTHA BOTCHWAY</v>
          </cell>
          <cell r="D133" t="str">
            <v>PV0054163</v>
          </cell>
          <cell r="E133" t="str">
            <v>Savings  withdrawal</v>
          </cell>
          <cell r="F133" t="str">
            <v>OK</v>
          </cell>
          <cell r="H133">
            <v>168</v>
          </cell>
          <cell r="M133">
            <v>168</v>
          </cell>
        </row>
        <row r="134">
          <cell r="A134">
            <v>42206</v>
          </cell>
          <cell r="B134">
            <v>11201</v>
          </cell>
          <cell r="C134" t="str">
            <v>Bawjiase Area Rural Bank</v>
          </cell>
          <cell r="E134" t="str">
            <v>Cash deposit to Bank</v>
          </cell>
          <cell r="F134" t="str">
            <v>OK</v>
          </cell>
          <cell r="H134">
            <v>6400</v>
          </cell>
          <cell r="I134">
            <v>6400</v>
          </cell>
        </row>
        <row r="135">
          <cell r="A135">
            <v>42206</v>
          </cell>
          <cell r="B135">
            <v>361</v>
          </cell>
          <cell r="C135" t="str">
            <v>JULIANA ADU BREMPONG</v>
          </cell>
          <cell r="D135" t="str">
            <v>RV0154158</v>
          </cell>
          <cell r="E135" t="str">
            <v>Loan repayment</v>
          </cell>
          <cell r="F135" t="str">
            <v>OK</v>
          </cell>
          <cell r="G135">
            <v>50</v>
          </cell>
          <cell r="R135">
            <v>50</v>
          </cell>
        </row>
        <row r="136">
          <cell r="A136">
            <v>42206</v>
          </cell>
          <cell r="B136">
            <v>215</v>
          </cell>
          <cell r="C136" t="str">
            <v>JUSTICE ABRAHAMS</v>
          </cell>
          <cell r="D136" t="str">
            <v>RV0154159</v>
          </cell>
          <cell r="E136" t="str">
            <v>Loan Repayment / Deposit</v>
          </cell>
          <cell r="F136" t="str">
            <v>OK</v>
          </cell>
          <cell r="I136">
            <v>1800</v>
          </cell>
          <cell r="N136">
            <v>90</v>
          </cell>
          <cell r="R136">
            <v>1300</v>
          </cell>
          <cell r="AQ136">
            <v>410</v>
          </cell>
        </row>
        <row r="137">
          <cell r="A137">
            <v>42206</v>
          </cell>
          <cell r="B137">
            <v>394</v>
          </cell>
          <cell r="C137" t="str">
            <v>JAMES KOUFIE</v>
          </cell>
          <cell r="D137" t="str">
            <v>RV0154160</v>
          </cell>
          <cell r="E137" t="str">
            <v>Cash  Deposit</v>
          </cell>
          <cell r="F137" t="str">
            <v>OK</v>
          </cell>
          <cell r="G137">
            <v>200</v>
          </cell>
          <cell r="N137">
            <v>200</v>
          </cell>
        </row>
        <row r="138">
          <cell r="A138">
            <v>42206</v>
          </cell>
          <cell r="B138">
            <v>347</v>
          </cell>
          <cell r="C138" t="str">
            <v>MARGARET ESSUMAN</v>
          </cell>
          <cell r="D138" t="str">
            <v>RV0154161</v>
          </cell>
          <cell r="E138" t="str">
            <v>Loan Repayment / Deposit</v>
          </cell>
          <cell r="F138" t="str">
            <v>OK</v>
          </cell>
          <cell r="G138">
            <v>120</v>
          </cell>
          <cell r="N138">
            <v>3</v>
          </cell>
          <cell r="R138">
            <v>100</v>
          </cell>
          <cell r="AQ138">
            <v>17</v>
          </cell>
        </row>
        <row r="139">
          <cell r="A139">
            <v>42206</v>
          </cell>
          <cell r="B139">
            <v>369</v>
          </cell>
          <cell r="C139" t="str">
            <v>AGNES ANIM ANKOMAH</v>
          </cell>
          <cell r="D139" t="str">
            <v>RV0154162</v>
          </cell>
          <cell r="E139" t="str">
            <v>Cash  Deposit</v>
          </cell>
          <cell r="F139" t="str">
            <v>OK</v>
          </cell>
          <cell r="G139">
            <v>50</v>
          </cell>
          <cell r="N139">
            <v>50</v>
          </cell>
        </row>
        <row r="140">
          <cell r="A140">
            <v>42206</v>
          </cell>
          <cell r="B140">
            <v>386</v>
          </cell>
          <cell r="C140" t="str">
            <v>ERNEST TETTEH</v>
          </cell>
          <cell r="D140" t="str">
            <v>RV0154163</v>
          </cell>
          <cell r="E140" t="str">
            <v>Cash  Deposit</v>
          </cell>
          <cell r="F140" t="str">
            <v>OK</v>
          </cell>
          <cell r="G140">
            <v>3200</v>
          </cell>
          <cell r="N140">
            <v>3200</v>
          </cell>
        </row>
        <row r="141">
          <cell r="A141">
            <v>42206</v>
          </cell>
          <cell r="B141">
            <v>338</v>
          </cell>
          <cell r="C141" t="str">
            <v>AGARTHA BOTCHWAY</v>
          </cell>
          <cell r="D141" t="str">
            <v>RV0154164</v>
          </cell>
          <cell r="E141" t="str">
            <v>Loan Repayment / Deposit</v>
          </cell>
          <cell r="F141" t="str">
            <v>OK</v>
          </cell>
          <cell r="G141">
            <v>198</v>
          </cell>
          <cell r="N141">
            <v>30</v>
          </cell>
          <cell r="R141">
            <v>144</v>
          </cell>
          <cell r="AQ141">
            <v>24</v>
          </cell>
        </row>
        <row r="142">
          <cell r="A142">
            <v>42206</v>
          </cell>
          <cell r="B142">
            <v>332</v>
          </cell>
          <cell r="C142" t="str">
            <v>REBECCA SAIM</v>
          </cell>
          <cell r="D142" t="str">
            <v>RV0154165</v>
          </cell>
          <cell r="E142" t="str">
            <v>Loan Repayment / Deposit</v>
          </cell>
          <cell r="F142" t="str">
            <v>OK</v>
          </cell>
          <cell r="G142">
            <v>700</v>
          </cell>
          <cell r="N142">
            <v>1</v>
          </cell>
          <cell r="R142">
            <v>600</v>
          </cell>
          <cell r="AQ142">
            <v>99</v>
          </cell>
        </row>
        <row r="143">
          <cell r="A143">
            <v>42206</v>
          </cell>
          <cell r="B143">
            <v>69</v>
          </cell>
          <cell r="C143" t="str">
            <v>PATIENCE ANSAH</v>
          </cell>
          <cell r="D143" t="str">
            <v>PV0054160</v>
          </cell>
          <cell r="E143" t="str">
            <v>Shares/savings withdrawal</v>
          </cell>
          <cell r="F143" t="str">
            <v>OK</v>
          </cell>
          <cell r="H143">
            <v>165.92</v>
          </cell>
          <cell r="K143">
            <v>50</v>
          </cell>
          <cell r="M143">
            <v>115.92</v>
          </cell>
        </row>
        <row r="144">
          <cell r="A144">
            <v>42207</v>
          </cell>
          <cell r="B144">
            <v>394</v>
          </cell>
          <cell r="C144" t="str">
            <v>JAMES KOUFIE</v>
          </cell>
          <cell r="D144" t="str">
            <v>PV0054164</v>
          </cell>
          <cell r="E144" t="str">
            <v>Savings  withdrawal</v>
          </cell>
          <cell r="F144" t="str">
            <v>OK</v>
          </cell>
          <cell r="H144">
            <v>500</v>
          </cell>
          <cell r="M144">
            <v>500</v>
          </cell>
        </row>
        <row r="145">
          <cell r="A145">
            <v>42207</v>
          </cell>
          <cell r="B145">
            <v>56420</v>
          </cell>
          <cell r="C145" t="str">
            <v>Travel &amp; Transport (incl. Motor, Fuel and Taxi fare expenses)</v>
          </cell>
          <cell r="D145" t="str">
            <v>PV0054165</v>
          </cell>
          <cell r="E145" t="str">
            <v>fuel to Ecobank</v>
          </cell>
          <cell r="F145" t="str">
            <v>OK</v>
          </cell>
          <cell r="H145">
            <v>50</v>
          </cell>
        </row>
        <row r="146">
          <cell r="A146">
            <v>42207</v>
          </cell>
          <cell r="B146">
            <v>343</v>
          </cell>
          <cell r="C146" t="str">
            <v>METHODIST YOUTH FELLOWSHIP KS.CIRCUIT</v>
          </cell>
          <cell r="D146" t="str">
            <v>PV0054166</v>
          </cell>
          <cell r="E146" t="str">
            <v>Savings  withdrawal</v>
          </cell>
          <cell r="F146" t="str">
            <v>OK</v>
          </cell>
          <cell r="H146">
            <v>300</v>
          </cell>
          <cell r="M146">
            <v>300</v>
          </cell>
        </row>
        <row r="147">
          <cell r="A147">
            <v>42207</v>
          </cell>
          <cell r="B147">
            <v>16830</v>
          </cell>
          <cell r="C147" t="str">
            <v>Office Equipment (anything other than IT-Equipment, like Shredder, AC, …)</v>
          </cell>
          <cell r="D147" t="str">
            <v>PV0054167</v>
          </cell>
          <cell r="E147" t="str">
            <v>purchase of money counting machine</v>
          </cell>
          <cell r="F147" t="str">
            <v>OK</v>
          </cell>
          <cell r="J147">
            <v>1600</v>
          </cell>
        </row>
        <row r="148">
          <cell r="A148">
            <v>42207</v>
          </cell>
          <cell r="B148">
            <v>56310</v>
          </cell>
          <cell r="C148" t="str">
            <v>Postage &amp; Communication</v>
          </cell>
          <cell r="D148" t="str">
            <v>PV0054168</v>
          </cell>
          <cell r="E148" t="str">
            <v>credit for inteernet modem</v>
          </cell>
          <cell r="F148" t="str">
            <v>OK</v>
          </cell>
          <cell r="H148">
            <v>10</v>
          </cell>
        </row>
        <row r="149">
          <cell r="A149">
            <v>42207</v>
          </cell>
          <cell r="B149">
            <v>394</v>
          </cell>
          <cell r="C149" t="str">
            <v>JAMES KOUFIE</v>
          </cell>
          <cell r="D149" t="str">
            <v>RV0154166</v>
          </cell>
          <cell r="E149" t="str">
            <v>Cash  Deposit</v>
          </cell>
          <cell r="F149" t="str">
            <v>OK</v>
          </cell>
          <cell r="G149">
            <v>60</v>
          </cell>
          <cell r="N149">
            <v>60</v>
          </cell>
        </row>
        <row r="150">
          <cell r="A150">
            <v>42207</v>
          </cell>
          <cell r="B150">
            <v>367</v>
          </cell>
          <cell r="C150" t="str">
            <v>FIJAI METHODIST CHURCH</v>
          </cell>
          <cell r="D150" t="str">
            <v>RV0154167</v>
          </cell>
          <cell r="E150" t="str">
            <v>Cash  Deposit</v>
          </cell>
          <cell r="F150" t="str">
            <v>OK</v>
          </cell>
          <cell r="G150">
            <v>260</v>
          </cell>
          <cell r="L150">
            <v>10</v>
          </cell>
          <cell r="N150">
            <v>250</v>
          </cell>
        </row>
        <row r="151">
          <cell r="A151">
            <v>42207</v>
          </cell>
          <cell r="B151">
            <v>301</v>
          </cell>
          <cell r="C151" t="str">
            <v>ELIZABETH QUAYE</v>
          </cell>
          <cell r="D151" t="str">
            <v>RV0154168</v>
          </cell>
          <cell r="E151" t="str">
            <v>Loan Repayment / Inerest</v>
          </cell>
          <cell r="F151" t="str">
            <v>OK</v>
          </cell>
          <cell r="G151">
            <v>45</v>
          </cell>
          <cell r="R151">
            <v>38.75</v>
          </cell>
          <cell r="AQ151">
            <v>6.25</v>
          </cell>
        </row>
        <row r="152">
          <cell r="A152">
            <v>42208</v>
          </cell>
          <cell r="B152">
            <v>338</v>
          </cell>
          <cell r="C152" t="str">
            <v>AGARTHA BOTCHWAY</v>
          </cell>
          <cell r="D152" t="str">
            <v>RV0154169</v>
          </cell>
          <cell r="E152" t="str">
            <v>Cash  Deposit</v>
          </cell>
          <cell r="F152" t="str">
            <v>OK</v>
          </cell>
          <cell r="G152">
            <v>10</v>
          </cell>
          <cell r="N152">
            <v>10</v>
          </cell>
        </row>
        <row r="153">
          <cell r="A153">
            <v>42208</v>
          </cell>
          <cell r="B153">
            <v>394</v>
          </cell>
          <cell r="C153" t="str">
            <v>JAMES KOUFIE</v>
          </cell>
          <cell r="D153" t="str">
            <v>PV0054169</v>
          </cell>
          <cell r="E153" t="str">
            <v>Savings  withdrawal</v>
          </cell>
          <cell r="F153" t="str">
            <v>OK</v>
          </cell>
          <cell r="H153">
            <v>100</v>
          </cell>
          <cell r="M153">
            <v>100</v>
          </cell>
        </row>
        <row r="154">
          <cell r="A154">
            <v>42208</v>
          </cell>
          <cell r="B154">
            <v>343</v>
          </cell>
          <cell r="C154" t="str">
            <v>METHODIST YOUTH FELLOWSHIP KS.CIRCUIT</v>
          </cell>
          <cell r="D154" t="str">
            <v>PV0054170</v>
          </cell>
          <cell r="E154" t="str">
            <v>Savings  withdrawal</v>
          </cell>
          <cell r="F154" t="str">
            <v>OK</v>
          </cell>
          <cell r="H154">
            <v>200</v>
          </cell>
          <cell r="M154">
            <v>200</v>
          </cell>
        </row>
        <row r="155">
          <cell r="A155">
            <v>42208</v>
          </cell>
          <cell r="B155">
            <v>54300</v>
          </cell>
          <cell r="C155" t="str">
            <v>BoD and Committee expenses</v>
          </cell>
          <cell r="D155" t="str">
            <v>PV0054171</v>
          </cell>
          <cell r="E155" t="str">
            <v>sitting allowance paid to loans chairman</v>
          </cell>
          <cell r="F155" t="str">
            <v>OK</v>
          </cell>
          <cell r="H155">
            <v>20</v>
          </cell>
        </row>
        <row r="156">
          <cell r="A156">
            <v>42208</v>
          </cell>
          <cell r="B156">
            <v>54300</v>
          </cell>
          <cell r="C156" t="str">
            <v>BoD and Committee expenses</v>
          </cell>
          <cell r="D156" t="str">
            <v>PV0054172</v>
          </cell>
          <cell r="E156" t="str">
            <v>additional cost on refreshment on board meeting</v>
          </cell>
          <cell r="F156" t="str">
            <v>OK</v>
          </cell>
          <cell r="H156">
            <v>30</v>
          </cell>
        </row>
        <row r="157">
          <cell r="A157">
            <v>42208</v>
          </cell>
          <cell r="B157">
            <v>56310</v>
          </cell>
          <cell r="C157" t="str">
            <v>Postage &amp; Communication</v>
          </cell>
          <cell r="D157" t="str">
            <v>PV0054173</v>
          </cell>
          <cell r="E157" t="str">
            <v>purchase of call creddit</v>
          </cell>
          <cell r="F157" t="str">
            <v>OK</v>
          </cell>
          <cell r="H157">
            <v>30</v>
          </cell>
        </row>
        <row r="158">
          <cell r="A158">
            <v>42209</v>
          </cell>
          <cell r="B158">
            <v>233</v>
          </cell>
          <cell r="C158" t="str">
            <v>ALBERT ACQUAH</v>
          </cell>
          <cell r="D158" t="str">
            <v>PV0054174</v>
          </cell>
          <cell r="E158" t="str">
            <v>Savings  withdrawal</v>
          </cell>
          <cell r="F158" t="str">
            <v>OK</v>
          </cell>
          <cell r="H158">
            <v>200</v>
          </cell>
          <cell r="M158">
            <v>200</v>
          </cell>
        </row>
        <row r="159">
          <cell r="A159">
            <v>42209</v>
          </cell>
          <cell r="B159">
            <v>271</v>
          </cell>
          <cell r="C159" t="str">
            <v>METHODIST MEN'S FELLOWSHIP KASOA</v>
          </cell>
          <cell r="D159" t="str">
            <v>PV0054175</v>
          </cell>
          <cell r="E159" t="str">
            <v>Savings  withdrawal</v>
          </cell>
          <cell r="F159" t="str">
            <v>OK</v>
          </cell>
          <cell r="H159">
            <v>100</v>
          </cell>
          <cell r="M159">
            <v>100</v>
          </cell>
        </row>
        <row r="160">
          <cell r="A160">
            <v>42209</v>
          </cell>
          <cell r="B160">
            <v>56900</v>
          </cell>
          <cell r="C160" t="str">
            <v>Office Expenses</v>
          </cell>
          <cell r="D160" t="str">
            <v>PV0054176</v>
          </cell>
          <cell r="E160" t="str">
            <v>t&amp;t for anti virus installer</v>
          </cell>
          <cell r="F160" t="str">
            <v>OK</v>
          </cell>
          <cell r="H160">
            <v>50</v>
          </cell>
        </row>
        <row r="161">
          <cell r="A161">
            <v>42211</v>
          </cell>
          <cell r="B161">
            <v>345</v>
          </cell>
          <cell r="C161" t="str">
            <v>SAMUEL ESSILFIE</v>
          </cell>
          <cell r="D161" t="str">
            <v>PV0054177</v>
          </cell>
          <cell r="E161" t="str">
            <v>Loan Disbursed</v>
          </cell>
          <cell r="F161" t="str">
            <v>OK</v>
          </cell>
          <cell r="J161">
            <v>5000</v>
          </cell>
          <cell r="Q161">
            <v>5000</v>
          </cell>
        </row>
        <row r="162">
          <cell r="A162">
            <v>42211</v>
          </cell>
          <cell r="B162">
            <v>53400</v>
          </cell>
          <cell r="C162" t="str">
            <v>Repairs and Maintenance of office premises</v>
          </cell>
          <cell r="D162" t="str">
            <v>PV0054178</v>
          </cell>
          <cell r="E162" t="str">
            <v>installation of anti-virus on office computers</v>
          </cell>
          <cell r="F162" t="str">
            <v>OK</v>
          </cell>
          <cell r="H162">
            <v>300</v>
          </cell>
        </row>
        <row r="163">
          <cell r="A163">
            <v>42211</v>
          </cell>
          <cell r="B163">
            <v>99999</v>
          </cell>
          <cell r="C163" t="str">
            <v>cancelled voucher</v>
          </cell>
          <cell r="D163" t="str">
            <v>PV0054179</v>
          </cell>
          <cell r="F163" t="str">
            <v>OK</v>
          </cell>
        </row>
        <row r="164">
          <cell r="A164">
            <v>42211</v>
          </cell>
          <cell r="B164">
            <v>56310</v>
          </cell>
          <cell r="C164" t="str">
            <v>Postage &amp; Communication</v>
          </cell>
          <cell r="D164" t="str">
            <v>PV0054180</v>
          </cell>
          <cell r="E164" t="str">
            <v>credit fot internet modem</v>
          </cell>
          <cell r="F164" t="str">
            <v>OK</v>
          </cell>
          <cell r="H164">
            <v>10</v>
          </cell>
        </row>
        <row r="165">
          <cell r="A165">
            <v>42211</v>
          </cell>
          <cell r="B165">
            <v>345</v>
          </cell>
          <cell r="C165" t="str">
            <v>SAMUEL ESSILFIE</v>
          </cell>
          <cell r="D165" t="str">
            <v>RV0154170</v>
          </cell>
          <cell r="E165" t="str">
            <v>Loan processing fees</v>
          </cell>
          <cell r="F165" t="str">
            <v>OK</v>
          </cell>
          <cell r="G165">
            <v>100</v>
          </cell>
        </row>
        <row r="166">
          <cell r="A166">
            <v>42211</v>
          </cell>
          <cell r="B166">
            <v>177</v>
          </cell>
          <cell r="C166" t="str">
            <v>WEDNESDAY CLASS</v>
          </cell>
          <cell r="D166" t="str">
            <v>RV0154171</v>
          </cell>
          <cell r="E166" t="str">
            <v>Cash  Deposit</v>
          </cell>
          <cell r="F166" t="str">
            <v>OK</v>
          </cell>
          <cell r="G166">
            <v>82</v>
          </cell>
          <cell r="N166">
            <v>82</v>
          </cell>
        </row>
        <row r="167">
          <cell r="A167">
            <v>42211</v>
          </cell>
          <cell r="B167">
            <v>306</v>
          </cell>
          <cell r="C167" t="str">
            <v>DORA N.ATIAPA</v>
          </cell>
          <cell r="D167" t="str">
            <v>RV0154172</v>
          </cell>
          <cell r="E167" t="str">
            <v>Cash  Deposit</v>
          </cell>
          <cell r="F167" t="str">
            <v>OK</v>
          </cell>
          <cell r="G167">
            <v>10</v>
          </cell>
          <cell r="N167">
            <v>10</v>
          </cell>
        </row>
        <row r="168">
          <cell r="A168">
            <v>42211</v>
          </cell>
          <cell r="B168">
            <v>263</v>
          </cell>
          <cell r="C168" t="str">
            <v>GIFTY FOSU</v>
          </cell>
          <cell r="D168" t="str">
            <v>RV0154173</v>
          </cell>
          <cell r="E168" t="str">
            <v>Cash  Deposit</v>
          </cell>
          <cell r="F168" t="str">
            <v>OK</v>
          </cell>
          <cell r="G168">
            <v>150</v>
          </cell>
          <cell r="N168">
            <v>150</v>
          </cell>
        </row>
        <row r="169">
          <cell r="A169">
            <v>42212</v>
          </cell>
          <cell r="B169">
            <v>359</v>
          </cell>
          <cell r="C169" t="str">
            <v>GOOD SHEPHERD METH.YOUTH SUPPORT FUND</v>
          </cell>
          <cell r="D169" t="str">
            <v>RV0154174</v>
          </cell>
          <cell r="E169" t="str">
            <v>Cash  Deposit</v>
          </cell>
          <cell r="F169" t="str">
            <v>OK</v>
          </cell>
          <cell r="G169">
            <v>219</v>
          </cell>
          <cell r="N169">
            <v>219</v>
          </cell>
        </row>
        <row r="170">
          <cell r="A170">
            <v>42212</v>
          </cell>
          <cell r="B170">
            <v>289</v>
          </cell>
          <cell r="C170" t="str">
            <v>JEMIMA AGYEMANG BONSO</v>
          </cell>
          <cell r="D170" t="str">
            <v>RV0154175</v>
          </cell>
          <cell r="E170" t="str">
            <v>Cash  Deposit</v>
          </cell>
          <cell r="F170" t="str">
            <v>OK</v>
          </cell>
          <cell r="G170">
            <v>20</v>
          </cell>
          <cell r="N170">
            <v>20</v>
          </cell>
        </row>
        <row r="171">
          <cell r="A171">
            <v>42212</v>
          </cell>
          <cell r="B171">
            <v>27</v>
          </cell>
          <cell r="C171" t="str">
            <v>RICHARD ASAMOAH</v>
          </cell>
          <cell r="D171" t="str">
            <v>RV0154176</v>
          </cell>
          <cell r="E171" t="str">
            <v>Loan Repayment / Deposit</v>
          </cell>
          <cell r="F171" t="str">
            <v>OK</v>
          </cell>
          <cell r="G171">
            <v>300</v>
          </cell>
          <cell r="N171">
            <v>6</v>
          </cell>
          <cell r="R171">
            <v>246</v>
          </cell>
          <cell r="AQ171">
            <v>48</v>
          </cell>
        </row>
        <row r="172">
          <cell r="A172">
            <v>42212</v>
          </cell>
          <cell r="B172">
            <v>365</v>
          </cell>
          <cell r="C172" t="str">
            <v>RACHEAL VISSION WORKERS</v>
          </cell>
          <cell r="D172" t="str">
            <v>RV0154177</v>
          </cell>
          <cell r="E172" t="str">
            <v>Cash  Deposit</v>
          </cell>
          <cell r="F172" t="str">
            <v>OK</v>
          </cell>
          <cell r="G172">
            <v>80</v>
          </cell>
          <cell r="N172">
            <v>80</v>
          </cell>
        </row>
        <row r="173">
          <cell r="A173">
            <v>42212</v>
          </cell>
          <cell r="B173">
            <v>5</v>
          </cell>
          <cell r="C173" t="str">
            <v>GEORGE K.DANQUAH</v>
          </cell>
          <cell r="D173" t="str">
            <v>RV0154178</v>
          </cell>
          <cell r="E173" t="str">
            <v>Cash  Deposit</v>
          </cell>
          <cell r="F173" t="str">
            <v>OK</v>
          </cell>
          <cell r="G173">
            <v>40</v>
          </cell>
          <cell r="N173">
            <v>40</v>
          </cell>
        </row>
        <row r="174">
          <cell r="A174">
            <v>42212</v>
          </cell>
          <cell r="B174">
            <v>118</v>
          </cell>
          <cell r="C174" t="str">
            <v>BETHEL METHODIST CHURCH KS</v>
          </cell>
          <cell r="D174" t="str">
            <v>RV0154179</v>
          </cell>
          <cell r="E174" t="str">
            <v>Loan Repayment / Inerest</v>
          </cell>
          <cell r="F174" t="str">
            <v>OK</v>
          </cell>
          <cell r="I174">
            <v>4000</v>
          </cell>
          <cell r="R174">
            <v>3350</v>
          </cell>
          <cell r="AQ174">
            <v>650</v>
          </cell>
        </row>
        <row r="175">
          <cell r="A175">
            <v>42212</v>
          </cell>
          <cell r="B175">
            <v>4</v>
          </cell>
          <cell r="C175" t="str">
            <v>FRANCIS E.OKYEAHENE</v>
          </cell>
          <cell r="D175" t="str">
            <v>RV0154180</v>
          </cell>
          <cell r="E175" t="str">
            <v>Cash  Deposit</v>
          </cell>
          <cell r="F175" t="str">
            <v>OK</v>
          </cell>
          <cell r="G175">
            <v>40</v>
          </cell>
          <cell r="N175">
            <v>40</v>
          </cell>
        </row>
        <row r="176">
          <cell r="A176">
            <v>42212</v>
          </cell>
          <cell r="B176">
            <v>215</v>
          </cell>
          <cell r="C176" t="str">
            <v>JUSTICE ABRAHAMS</v>
          </cell>
          <cell r="D176" t="str">
            <v>RV0154181</v>
          </cell>
          <cell r="E176" t="str">
            <v>Cash  Deposit</v>
          </cell>
          <cell r="F176" t="str">
            <v>OK</v>
          </cell>
          <cell r="G176">
            <v>40</v>
          </cell>
          <cell r="N176">
            <v>40</v>
          </cell>
        </row>
        <row r="177">
          <cell r="A177">
            <v>42212</v>
          </cell>
          <cell r="B177">
            <v>257</v>
          </cell>
          <cell r="C177" t="str">
            <v>FRANKLIN KWESI ANDREWS</v>
          </cell>
          <cell r="D177" t="str">
            <v>RV0154182</v>
          </cell>
          <cell r="E177" t="str">
            <v>Cash  Deposit</v>
          </cell>
          <cell r="F177" t="str">
            <v>OK</v>
          </cell>
          <cell r="G177">
            <v>40</v>
          </cell>
          <cell r="N177">
            <v>40</v>
          </cell>
        </row>
        <row r="178">
          <cell r="A178">
            <v>42212</v>
          </cell>
          <cell r="B178">
            <v>2</v>
          </cell>
          <cell r="C178" t="str">
            <v>EMMANUEL OTABIL</v>
          </cell>
          <cell r="D178" t="str">
            <v>RV0154183</v>
          </cell>
          <cell r="E178" t="str">
            <v>Cash  Deposit</v>
          </cell>
          <cell r="F178" t="str">
            <v>OK</v>
          </cell>
          <cell r="G178">
            <v>40</v>
          </cell>
          <cell r="N178">
            <v>40</v>
          </cell>
        </row>
        <row r="179">
          <cell r="A179">
            <v>42212</v>
          </cell>
          <cell r="B179">
            <v>52100</v>
          </cell>
          <cell r="C179" t="str">
            <v>Staff Salaries</v>
          </cell>
          <cell r="D179" t="str">
            <v>PV0054181</v>
          </cell>
          <cell r="E179" t="str">
            <v>Staff salaries paid</v>
          </cell>
          <cell r="F179" t="str">
            <v>OK</v>
          </cell>
          <cell r="J179">
            <v>900</v>
          </cell>
        </row>
        <row r="180">
          <cell r="A180">
            <v>42212</v>
          </cell>
          <cell r="B180">
            <v>56420</v>
          </cell>
          <cell r="C180" t="str">
            <v>Travel &amp; Transport (incl. Motor, Fuel and Taxi fare expenses)</v>
          </cell>
          <cell r="D180" t="str">
            <v>pv0054182</v>
          </cell>
          <cell r="E180" t="str">
            <v>t&amp;t to bank</v>
          </cell>
          <cell r="F180" t="str">
            <v>OK</v>
          </cell>
          <cell r="H180">
            <v>7</v>
          </cell>
        </row>
        <row r="181">
          <cell r="A181">
            <v>42212</v>
          </cell>
          <cell r="B181">
            <v>306</v>
          </cell>
          <cell r="C181" t="str">
            <v>DORA N.ATIAPA</v>
          </cell>
          <cell r="D181" t="str">
            <v>PV0054183</v>
          </cell>
          <cell r="E181" t="str">
            <v>Savings  withdrawal</v>
          </cell>
          <cell r="F181" t="str">
            <v>OK</v>
          </cell>
          <cell r="H181">
            <v>250</v>
          </cell>
          <cell r="M181">
            <v>250</v>
          </cell>
        </row>
        <row r="182">
          <cell r="A182">
            <v>42212</v>
          </cell>
          <cell r="B182">
            <v>54350</v>
          </cell>
          <cell r="C182" t="str">
            <v>Protocol Expenses</v>
          </cell>
          <cell r="D182" t="str">
            <v>PV0054184</v>
          </cell>
          <cell r="E182" t="str">
            <v>t&amp;t for CUA official</v>
          </cell>
          <cell r="F182" t="str">
            <v>OK</v>
          </cell>
          <cell r="H182">
            <v>20</v>
          </cell>
        </row>
        <row r="183">
          <cell r="A183">
            <v>42212</v>
          </cell>
          <cell r="B183">
            <v>54300</v>
          </cell>
          <cell r="C183" t="str">
            <v>BoD and Committee expenses</v>
          </cell>
          <cell r="D183" t="str">
            <v>PV0054185</v>
          </cell>
          <cell r="E183" t="str">
            <v>T&amp;T cost incured on board meeting</v>
          </cell>
          <cell r="F183" t="str">
            <v>OK</v>
          </cell>
          <cell r="H183">
            <v>280</v>
          </cell>
        </row>
        <row r="184">
          <cell r="A184">
            <v>42213</v>
          </cell>
          <cell r="B184">
            <v>322</v>
          </cell>
          <cell r="C184" t="str">
            <v>KOFI MENSAH OTABIL</v>
          </cell>
          <cell r="D184" t="str">
            <v>PV0054186</v>
          </cell>
          <cell r="E184" t="str">
            <v>Savings  withdrawal</v>
          </cell>
          <cell r="F184" t="str">
            <v>OK</v>
          </cell>
          <cell r="H184">
            <v>250</v>
          </cell>
          <cell r="M184">
            <v>250</v>
          </cell>
        </row>
        <row r="185">
          <cell r="A185">
            <v>42213</v>
          </cell>
          <cell r="B185">
            <v>56900</v>
          </cell>
          <cell r="C185" t="str">
            <v>Office Expenses</v>
          </cell>
          <cell r="D185" t="str">
            <v>PV0054187</v>
          </cell>
          <cell r="E185" t="str">
            <v>Water for the office</v>
          </cell>
          <cell r="F185" t="str">
            <v>OK</v>
          </cell>
          <cell r="H185">
            <v>4</v>
          </cell>
        </row>
        <row r="186">
          <cell r="A186">
            <v>42213</v>
          </cell>
          <cell r="B186">
            <v>257</v>
          </cell>
          <cell r="C186" t="str">
            <v>FRANKLIN KWESI ANDREWS</v>
          </cell>
          <cell r="D186" t="str">
            <v>RV0157184</v>
          </cell>
          <cell r="E186" t="str">
            <v>Loan Repayment / Inerest</v>
          </cell>
          <cell r="F186" t="str">
            <v>OK</v>
          </cell>
          <cell r="G186">
            <v>1500</v>
          </cell>
          <cell r="R186">
            <v>1260</v>
          </cell>
          <cell r="AQ186">
            <v>240</v>
          </cell>
        </row>
        <row r="187">
          <cell r="A187">
            <v>42213</v>
          </cell>
          <cell r="B187">
            <v>365</v>
          </cell>
          <cell r="C187" t="str">
            <v>RACHEAL VISSION WORKERS</v>
          </cell>
          <cell r="D187" t="str">
            <v>RV0154185</v>
          </cell>
          <cell r="E187" t="str">
            <v>Cash  Deposit</v>
          </cell>
          <cell r="F187" t="str">
            <v>OK</v>
          </cell>
          <cell r="G187">
            <v>17</v>
          </cell>
          <cell r="N187">
            <v>17</v>
          </cell>
        </row>
        <row r="188">
          <cell r="A188">
            <v>42213</v>
          </cell>
          <cell r="B188">
            <v>384</v>
          </cell>
          <cell r="C188" t="str">
            <v>SEMENHYIA METH PREACHING POST</v>
          </cell>
          <cell r="D188" t="str">
            <v>RV0151186</v>
          </cell>
          <cell r="E188" t="str">
            <v>Cash  Deposit</v>
          </cell>
          <cell r="F188" t="str">
            <v>OK</v>
          </cell>
          <cell r="G188">
            <v>344</v>
          </cell>
          <cell r="N188">
            <v>344</v>
          </cell>
        </row>
        <row r="189">
          <cell r="A189">
            <v>42213</v>
          </cell>
          <cell r="B189">
            <v>99999</v>
          </cell>
          <cell r="C189" t="str">
            <v>cancelled voucher</v>
          </cell>
          <cell r="D189" t="str">
            <v>RV0148187</v>
          </cell>
          <cell r="F189" t="str">
            <v>OK</v>
          </cell>
        </row>
        <row r="190">
          <cell r="A190">
            <v>42213</v>
          </cell>
          <cell r="B190">
            <v>338</v>
          </cell>
          <cell r="C190" t="str">
            <v>AGARTHA BOTCHWAY</v>
          </cell>
          <cell r="D190" t="str">
            <v>RV0145188</v>
          </cell>
          <cell r="E190" t="str">
            <v>Cash  Deposit</v>
          </cell>
          <cell r="F190" t="str">
            <v>OK</v>
          </cell>
          <cell r="G190">
            <v>20</v>
          </cell>
          <cell r="N190">
            <v>20</v>
          </cell>
        </row>
        <row r="191">
          <cell r="A191">
            <v>42213</v>
          </cell>
          <cell r="B191">
            <v>348</v>
          </cell>
          <cell r="C191" t="str">
            <v>CHRISTABEL ABAKUA PRAH</v>
          </cell>
          <cell r="D191" t="str">
            <v>RV0142189</v>
          </cell>
          <cell r="E191" t="str">
            <v>Cash  Deposit</v>
          </cell>
          <cell r="F191" t="str">
            <v>OK</v>
          </cell>
          <cell r="G191">
            <v>200</v>
          </cell>
          <cell r="N191">
            <v>200</v>
          </cell>
        </row>
        <row r="192">
          <cell r="A192">
            <v>42213</v>
          </cell>
          <cell r="B192">
            <v>113</v>
          </cell>
          <cell r="C192" t="str">
            <v>MARK KUMI</v>
          </cell>
          <cell r="D192" t="str">
            <v>RV0139190</v>
          </cell>
          <cell r="E192" t="str">
            <v>Loan repayment</v>
          </cell>
          <cell r="F192" t="str">
            <v>OK</v>
          </cell>
          <cell r="G192">
            <v>200</v>
          </cell>
          <cell r="N192">
            <v>200</v>
          </cell>
        </row>
        <row r="193">
          <cell r="A193">
            <v>42214</v>
          </cell>
          <cell r="B193">
            <v>365</v>
          </cell>
          <cell r="C193" t="str">
            <v>RACHEAL VISSION WORKERS</v>
          </cell>
          <cell r="D193" t="str">
            <v>RV0136191</v>
          </cell>
          <cell r="E193" t="str">
            <v>Cash  Deposit</v>
          </cell>
          <cell r="F193" t="str">
            <v>OK</v>
          </cell>
          <cell r="G193">
            <v>50</v>
          </cell>
          <cell r="N193">
            <v>50</v>
          </cell>
        </row>
        <row r="194">
          <cell r="A194">
            <v>42214</v>
          </cell>
          <cell r="B194">
            <v>37</v>
          </cell>
          <cell r="C194" t="str">
            <v>RACHEAL NYARKO</v>
          </cell>
          <cell r="D194" t="str">
            <v>RV0133192</v>
          </cell>
          <cell r="E194" t="str">
            <v>Loan Repayment / Inerest</v>
          </cell>
          <cell r="F194" t="str">
            <v>OK</v>
          </cell>
          <cell r="G194">
            <v>146</v>
          </cell>
          <cell r="R194">
            <v>125</v>
          </cell>
          <cell r="AQ194">
            <v>21</v>
          </cell>
        </row>
        <row r="195">
          <cell r="A195">
            <v>42214</v>
          </cell>
          <cell r="B195">
            <v>364</v>
          </cell>
          <cell r="C195" t="str">
            <v>HENRIETTA ADOBEA QUARCOO</v>
          </cell>
          <cell r="D195" t="str">
            <v>RV0130193</v>
          </cell>
          <cell r="E195" t="str">
            <v>Cash  Deposit</v>
          </cell>
          <cell r="F195" t="str">
            <v>OK</v>
          </cell>
          <cell r="G195">
            <v>195</v>
          </cell>
          <cell r="N195">
            <v>195</v>
          </cell>
        </row>
        <row r="196">
          <cell r="A196">
            <v>42214</v>
          </cell>
          <cell r="B196">
            <v>170</v>
          </cell>
          <cell r="C196" t="str">
            <v>SABINA H.IDAN</v>
          </cell>
          <cell r="D196" t="str">
            <v>RV0127194</v>
          </cell>
          <cell r="E196" t="str">
            <v>Cash  Deposit</v>
          </cell>
          <cell r="F196" t="str">
            <v>OK</v>
          </cell>
          <cell r="G196">
            <v>20</v>
          </cell>
          <cell r="N196">
            <v>20</v>
          </cell>
        </row>
        <row r="197">
          <cell r="A197">
            <v>42214</v>
          </cell>
          <cell r="B197">
            <v>322</v>
          </cell>
          <cell r="C197" t="str">
            <v>KOFI MENSAH OTABIL</v>
          </cell>
          <cell r="D197" t="str">
            <v>RV0124195</v>
          </cell>
          <cell r="E197" t="str">
            <v>Loan processing fees</v>
          </cell>
          <cell r="F197" t="str">
            <v>OK</v>
          </cell>
          <cell r="G197">
            <v>32</v>
          </cell>
        </row>
        <row r="198">
          <cell r="A198">
            <v>42214</v>
          </cell>
          <cell r="B198">
            <v>394</v>
          </cell>
          <cell r="C198" t="str">
            <v>JAMES KOUFIE</v>
          </cell>
          <cell r="D198" t="str">
            <v>PV0054188</v>
          </cell>
          <cell r="E198" t="str">
            <v>Savings  withdrawal</v>
          </cell>
          <cell r="F198" t="str">
            <v>OK</v>
          </cell>
          <cell r="H198">
            <v>80</v>
          </cell>
          <cell r="M198">
            <v>80</v>
          </cell>
        </row>
        <row r="199">
          <cell r="A199">
            <v>42214</v>
          </cell>
          <cell r="B199">
            <v>322</v>
          </cell>
          <cell r="C199" t="str">
            <v>KOFI MENSAH OTABIL</v>
          </cell>
          <cell r="D199" t="str">
            <v>PV0054189</v>
          </cell>
          <cell r="E199" t="str">
            <v>Loan Disbursed</v>
          </cell>
          <cell r="F199" t="str">
            <v>OK</v>
          </cell>
          <cell r="H199">
            <v>1600</v>
          </cell>
          <cell r="Q199">
            <v>1600</v>
          </cell>
        </row>
        <row r="200">
          <cell r="A200">
            <v>42214</v>
          </cell>
          <cell r="B200">
            <v>56310</v>
          </cell>
          <cell r="C200" t="str">
            <v>Postage &amp; Communication</v>
          </cell>
          <cell r="D200" t="str">
            <v>PV0054190</v>
          </cell>
          <cell r="E200" t="str">
            <v>Credit for internet modem</v>
          </cell>
          <cell r="F200" t="str">
            <v>OK</v>
          </cell>
          <cell r="H200">
            <v>10</v>
          </cell>
        </row>
        <row r="201">
          <cell r="A201">
            <v>42214</v>
          </cell>
          <cell r="B201">
            <v>390</v>
          </cell>
          <cell r="C201" t="str">
            <v>NOAH AFARI</v>
          </cell>
          <cell r="D201" t="str">
            <v>PV0474201</v>
          </cell>
          <cell r="E201" t="str">
            <v>Savings  withdrawal</v>
          </cell>
          <cell r="F201" t="str">
            <v>OK</v>
          </cell>
          <cell r="H201">
            <v>100</v>
          </cell>
          <cell r="M201">
            <v>100</v>
          </cell>
        </row>
        <row r="202">
          <cell r="A202">
            <v>42214</v>
          </cell>
          <cell r="B202">
            <v>56200</v>
          </cell>
          <cell r="C202" t="str">
            <v>Printing &amp; Stationery</v>
          </cell>
          <cell r="D202" t="str">
            <v>PV0474223</v>
          </cell>
          <cell r="E202" t="str">
            <v>Photocopies and envelopes</v>
          </cell>
          <cell r="F202" t="str">
            <v>OK</v>
          </cell>
          <cell r="H202">
            <v>50</v>
          </cell>
        </row>
        <row r="203">
          <cell r="A203">
            <v>42215</v>
          </cell>
          <cell r="B203">
            <v>395</v>
          </cell>
          <cell r="C203" t="str">
            <v>KASOA CIRCUIT YOUTH MIN. DIRECTRATE</v>
          </cell>
          <cell r="D203" t="str">
            <v>RV0154196</v>
          </cell>
          <cell r="E203" t="str">
            <v>Cash  Deposit</v>
          </cell>
          <cell r="F203" t="str">
            <v>OK</v>
          </cell>
          <cell r="G203">
            <v>205</v>
          </cell>
          <cell r="N203">
            <v>200</v>
          </cell>
        </row>
        <row r="204">
          <cell r="A204">
            <v>42215</v>
          </cell>
          <cell r="B204">
            <v>396</v>
          </cell>
          <cell r="C204" t="str">
            <v>EMMANUEL BLABOE</v>
          </cell>
          <cell r="D204" t="str">
            <v>RV0154197</v>
          </cell>
          <cell r="E204" t="str">
            <v>Cash  Deposit</v>
          </cell>
          <cell r="F204" t="str">
            <v>OK</v>
          </cell>
          <cell r="G204">
            <v>45</v>
          </cell>
          <cell r="L204">
            <v>20</v>
          </cell>
          <cell r="N204">
            <v>20</v>
          </cell>
        </row>
        <row r="205">
          <cell r="A205">
            <v>42215</v>
          </cell>
          <cell r="B205">
            <v>54762</v>
          </cell>
          <cell r="C205" t="str">
            <v>Donations</v>
          </cell>
          <cell r="D205" t="str">
            <v>PV0054191</v>
          </cell>
          <cell r="E205" t="str">
            <v>Donation to the methodist school</v>
          </cell>
          <cell r="F205" t="str">
            <v>OK</v>
          </cell>
          <cell r="H205">
            <v>50</v>
          </cell>
        </row>
        <row r="206">
          <cell r="A206">
            <v>42215</v>
          </cell>
          <cell r="B206">
            <v>54762</v>
          </cell>
          <cell r="C206" t="str">
            <v>Donations</v>
          </cell>
          <cell r="D206" t="str">
            <v>PV0054192</v>
          </cell>
          <cell r="E206" t="str">
            <v>Donation to outgoing GM of CUA</v>
          </cell>
          <cell r="F206" t="str">
            <v>OK</v>
          </cell>
          <cell r="H206">
            <v>200</v>
          </cell>
        </row>
        <row r="207">
          <cell r="A207">
            <v>42216</v>
          </cell>
          <cell r="B207">
            <v>56420</v>
          </cell>
          <cell r="C207" t="str">
            <v>Travel &amp; Transport (incl. Motor, Fuel and Taxi fare expenses)</v>
          </cell>
          <cell r="D207" t="str">
            <v>PV0054193</v>
          </cell>
          <cell r="E207" t="str">
            <v>Cost of fuel to CUTraC</v>
          </cell>
          <cell r="F207" t="str">
            <v>OK</v>
          </cell>
          <cell r="H207">
            <v>50</v>
          </cell>
        </row>
        <row r="208">
          <cell r="A208">
            <v>42216</v>
          </cell>
          <cell r="B208">
            <v>54350</v>
          </cell>
          <cell r="C208" t="str">
            <v>Protocol Expenses</v>
          </cell>
          <cell r="D208" t="str">
            <v>PV0054194</v>
          </cell>
          <cell r="E208" t="str">
            <v>t&amp;t for CUA official</v>
          </cell>
          <cell r="F208" t="str">
            <v>OK</v>
          </cell>
          <cell r="H208">
            <v>30</v>
          </cell>
        </row>
        <row r="209">
          <cell r="A209">
            <v>42216</v>
          </cell>
          <cell r="B209">
            <v>56310</v>
          </cell>
          <cell r="C209" t="str">
            <v>Postage &amp; Communication</v>
          </cell>
          <cell r="D209" t="str">
            <v>PV0474224</v>
          </cell>
          <cell r="E209" t="str">
            <v>Credit for call AND T&amp;T</v>
          </cell>
          <cell r="F209" t="str">
            <v>OK</v>
          </cell>
          <cell r="H209">
            <v>40</v>
          </cell>
        </row>
        <row r="210">
          <cell r="A210">
            <v>42216</v>
          </cell>
          <cell r="B210">
            <v>11201</v>
          </cell>
          <cell r="C210" t="str">
            <v>Bawjiase Area Rural Bank</v>
          </cell>
          <cell r="E210" t="str">
            <v>Cash deposit to bank</v>
          </cell>
          <cell r="F210" t="str">
            <v>OK</v>
          </cell>
          <cell r="H210">
            <v>1438.1</v>
          </cell>
          <cell r="I210">
            <v>1438.1</v>
          </cell>
        </row>
        <row r="211">
          <cell r="C211" t="str">
            <v>&lt;-- enter valid PB./Acc. # in this cell!</v>
          </cell>
          <cell r="F211" t="str">
            <v>OK</v>
          </cell>
        </row>
        <row r="212">
          <cell r="C212" t="str">
            <v>&lt;-- enter valid PB./Acc. # in this cell!</v>
          </cell>
          <cell r="F212" t="str">
            <v>OK</v>
          </cell>
        </row>
        <row r="213">
          <cell r="C213" t="str">
            <v>&lt;-- enter valid PB./Acc. # in this cell!</v>
          </cell>
          <cell r="F213" t="str">
            <v>OK</v>
          </cell>
        </row>
        <row r="214">
          <cell r="C214" t="str">
            <v>&lt;-- enter valid PB./Acc. # in this cell!</v>
          </cell>
          <cell r="F214" t="str">
            <v>OK</v>
          </cell>
        </row>
        <row r="215">
          <cell r="C215" t="str">
            <v>&lt;-- enter valid PB./Acc. # in this cell!</v>
          </cell>
          <cell r="F215" t="str">
            <v>OK</v>
          </cell>
        </row>
        <row r="216">
          <cell r="C216" t="str">
            <v>&lt;-- enter valid PB./Acc. # in this cell!</v>
          </cell>
          <cell r="F216" t="str">
            <v>OK</v>
          </cell>
        </row>
        <row r="217">
          <cell r="C217" t="str">
            <v>&lt;-- enter valid PB./Acc. # in this cell!</v>
          </cell>
          <cell r="F217" t="str">
            <v>OK</v>
          </cell>
        </row>
        <row r="218">
          <cell r="C218" t="str">
            <v>&lt;-- enter valid PB./Acc. # in this cell!</v>
          </cell>
          <cell r="F218" t="str">
            <v>OK</v>
          </cell>
        </row>
        <row r="219">
          <cell r="C219" t="str">
            <v>&lt;-- enter valid PB./Acc. # in this cell!</v>
          </cell>
          <cell r="F219" t="str">
            <v>OK</v>
          </cell>
        </row>
        <row r="220">
          <cell r="C220" t="str">
            <v>&lt;-- enter valid PB./Acc. # in this cell!</v>
          </cell>
          <cell r="F220" t="str">
            <v>OK</v>
          </cell>
        </row>
        <row r="221">
          <cell r="C221" t="str">
            <v>&lt;-- enter valid PB./Acc. # in this cell!</v>
          </cell>
          <cell r="F221" t="str">
            <v>OK</v>
          </cell>
        </row>
        <row r="222">
          <cell r="C222" t="str">
            <v>&lt;-- enter valid PB./Acc. # in this cell!</v>
          </cell>
          <cell r="F222" t="str">
            <v>OK</v>
          </cell>
        </row>
        <row r="223">
          <cell r="C223" t="str">
            <v>&lt;-- enter valid PB./Acc. # in this cell!</v>
          </cell>
          <cell r="F223" t="str">
            <v>OK</v>
          </cell>
        </row>
        <row r="224">
          <cell r="C224" t="str">
            <v>&lt;-- enter valid PB./Acc. # in this cell!</v>
          </cell>
          <cell r="F224" t="str">
            <v>OK</v>
          </cell>
        </row>
        <row r="225">
          <cell r="C225" t="str">
            <v>&lt;-- enter valid PB./Acc. # in this cell!</v>
          </cell>
          <cell r="F225" t="str">
            <v>OK</v>
          </cell>
        </row>
        <row r="226">
          <cell r="C226" t="str">
            <v>&lt;-- enter valid PB./Acc. # in this cell!</v>
          </cell>
          <cell r="F226" t="str">
            <v>OK</v>
          </cell>
        </row>
        <row r="227">
          <cell r="C227" t="str">
            <v>&lt;-- enter valid PB./Acc. # in this cell!</v>
          </cell>
          <cell r="F227" t="str">
            <v>OK</v>
          </cell>
        </row>
        <row r="228">
          <cell r="C228" t="str">
            <v>&lt;-- enter valid PB./Acc. # in this cell!</v>
          </cell>
          <cell r="F228" t="str">
            <v>OK</v>
          </cell>
        </row>
        <row r="229">
          <cell r="C229" t="str">
            <v>&lt;-- enter valid PB./Acc. # in this cell!</v>
          </cell>
          <cell r="F229" t="str">
            <v>OK</v>
          </cell>
        </row>
        <row r="230">
          <cell r="C230" t="str">
            <v>&lt;-- enter valid PB./Acc. # in this cell!</v>
          </cell>
          <cell r="F230" t="str">
            <v>OK</v>
          </cell>
        </row>
        <row r="231">
          <cell r="C231" t="str">
            <v>&lt;-- enter valid PB./Acc. # in this cell!</v>
          </cell>
          <cell r="F231" t="str">
            <v>OK</v>
          </cell>
        </row>
        <row r="232">
          <cell r="C232" t="str">
            <v>&lt;-- enter valid PB./Acc. # in this cell!</v>
          </cell>
          <cell r="F232" t="str">
            <v>OK</v>
          </cell>
        </row>
        <row r="233">
          <cell r="C233" t="str">
            <v>&lt;-- enter valid PB./Acc. # in this cell!</v>
          </cell>
          <cell r="F233" t="str">
            <v>OK</v>
          </cell>
        </row>
        <row r="234">
          <cell r="C234" t="str">
            <v>&lt;-- enter valid PB./Acc. # in this cell!</v>
          </cell>
          <cell r="F234" t="str">
            <v>OK</v>
          </cell>
        </row>
        <row r="235">
          <cell r="C235" t="str">
            <v>&lt;-- enter valid PB./Acc. # in this cell!</v>
          </cell>
          <cell r="F235" t="str">
            <v>OK</v>
          </cell>
        </row>
        <row r="236">
          <cell r="C236" t="str">
            <v>&lt;-- enter valid PB./Acc. # in this cell!</v>
          </cell>
          <cell r="F236" t="str">
            <v>OK</v>
          </cell>
        </row>
        <row r="237">
          <cell r="C237" t="str">
            <v>&lt;-- enter valid PB./Acc. # in this cell!</v>
          </cell>
          <cell r="F237" t="str">
            <v>OK</v>
          </cell>
        </row>
        <row r="238">
          <cell r="C238" t="str">
            <v>&lt;-- enter valid PB./Acc. # in this cell!</v>
          </cell>
          <cell r="F238" t="str">
            <v>OK</v>
          </cell>
        </row>
        <row r="239">
          <cell r="C239" t="str">
            <v>&lt;-- enter valid PB./Acc. # in this cell!</v>
          </cell>
          <cell r="F239" t="str">
            <v>OK</v>
          </cell>
        </row>
        <row r="240">
          <cell r="C240" t="str">
            <v>&lt;-- enter valid PB./Acc. # in this cell!</v>
          </cell>
          <cell r="F240" t="str">
            <v>OK</v>
          </cell>
        </row>
        <row r="241">
          <cell r="C241" t="str">
            <v>&lt;-- enter valid PB./Acc. # in this cell!</v>
          </cell>
          <cell r="F241" t="str">
            <v>OK</v>
          </cell>
        </row>
        <row r="242">
          <cell r="C242" t="str">
            <v>&lt;-- enter valid PB./Acc. # in this cell!</v>
          </cell>
          <cell r="F242" t="str">
            <v>OK</v>
          </cell>
        </row>
        <row r="243">
          <cell r="C243" t="str">
            <v>&lt;-- enter valid PB./Acc. # in this cell!</v>
          </cell>
          <cell r="F243" t="str">
            <v>OK</v>
          </cell>
        </row>
        <row r="244">
          <cell r="C244" t="str">
            <v>&lt;-- enter valid PB./Acc. # in this cell!</v>
          </cell>
          <cell r="F244" t="str">
            <v>OK</v>
          </cell>
        </row>
        <row r="245">
          <cell r="C245" t="str">
            <v>&lt;-- enter valid PB./Acc. # in this cell!</v>
          </cell>
          <cell r="F245" t="str">
            <v>OK</v>
          </cell>
        </row>
        <row r="246">
          <cell r="C246" t="str">
            <v>&lt;-- enter valid PB./Acc. # in this cell!</v>
          </cell>
          <cell r="F246" t="str">
            <v>OK</v>
          </cell>
        </row>
        <row r="247">
          <cell r="C247" t="str">
            <v>&lt;-- enter valid PB./Acc. # in this cell!</v>
          </cell>
          <cell r="F247" t="str">
            <v>OK</v>
          </cell>
        </row>
        <row r="248">
          <cell r="C248" t="str">
            <v>&lt;-- enter valid PB./Acc. # in this cell!</v>
          </cell>
          <cell r="F248" t="str">
            <v>OK</v>
          </cell>
        </row>
        <row r="249">
          <cell r="C249" t="str">
            <v>&lt;-- enter valid PB./Acc. # in this cell!</v>
          </cell>
          <cell r="F249" t="str">
            <v>OK</v>
          </cell>
        </row>
        <row r="250">
          <cell r="C250" t="str">
            <v>&lt;-- enter valid PB./Acc. # in this cell!</v>
          </cell>
          <cell r="F250" t="str">
            <v>OK</v>
          </cell>
        </row>
        <row r="251">
          <cell r="C251" t="str">
            <v>&lt;-- enter valid PB./Acc. # in this cell!</v>
          </cell>
          <cell r="F251" t="str">
            <v>OK</v>
          </cell>
        </row>
        <row r="252">
          <cell r="C252" t="str">
            <v>&lt;-- enter valid PB./Acc. # in this cell!</v>
          </cell>
          <cell r="F252" t="str">
            <v>OK</v>
          </cell>
        </row>
        <row r="253">
          <cell r="C253" t="str">
            <v>&lt;-- enter valid PB./Acc. # in this cell!</v>
          </cell>
          <cell r="F253" t="str">
            <v>OK</v>
          </cell>
        </row>
        <row r="254">
          <cell r="C254" t="str">
            <v>&lt;-- enter valid PB./Acc. # in this cell!</v>
          </cell>
          <cell r="F254" t="str">
            <v>OK</v>
          </cell>
        </row>
        <row r="255">
          <cell r="C255" t="str">
            <v>&lt;-- enter valid PB./Acc. # in this cell!</v>
          </cell>
          <cell r="F255" t="str">
            <v>OK</v>
          </cell>
        </row>
        <row r="256">
          <cell r="C256" t="str">
            <v>&lt;-- enter valid PB./Acc. # in this cell!</v>
          </cell>
          <cell r="F256" t="str">
            <v>OK</v>
          </cell>
        </row>
        <row r="257">
          <cell r="C257" t="str">
            <v>&lt;-- enter valid PB./Acc. # in this cell!</v>
          </cell>
          <cell r="F257" t="str">
            <v>OK</v>
          </cell>
        </row>
        <row r="258">
          <cell r="C258" t="str">
            <v>&lt;-- enter valid PB./Acc. # in this cell!</v>
          </cell>
          <cell r="F258" t="str">
            <v>OK</v>
          </cell>
        </row>
        <row r="259">
          <cell r="C259" t="str">
            <v>&lt;-- enter valid PB./Acc. # in this cell!</v>
          </cell>
          <cell r="F259" t="str">
            <v>OK</v>
          </cell>
        </row>
        <row r="260">
          <cell r="C260" t="str">
            <v>&lt;-- enter valid PB./Acc. # in this cell!</v>
          </cell>
          <cell r="F260" t="str">
            <v>OK</v>
          </cell>
        </row>
        <row r="261">
          <cell r="C261" t="str">
            <v>&lt;-- enter valid PB./Acc. # in this cell!</v>
          </cell>
          <cell r="F261" t="str">
            <v>OK</v>
          </cell>
        </row>
        <row r="262">
          <cell r="C262" t="str">
            <v>&lt;-- enter valid PB./Acc. # in this cell!</v>
          </cell>
          <cell r="F262" t="str">
            <v>OK</v>
          </cell>
        </row>
        <row r="263">
          <cell r="C263" t="str">
            <v>&lt;-- enter valid PB./Acc. # in this cell!</v>
          </cell>
          <cell r="F263" t="str">
            <v>OK</v>
          </cell>
        </row>
        <row r="264">
          <cell r="C264" t="str">
            <v>&lt;-- enter valid PB./Acc. # in this cell!</v>
          </cell>
          <cell r="F264" t="str">
            <v>OK</v>
          </cell>
        </row>
        <row r="265">
          <cell r="C265" t="str">
            <v>&lt;-- enter valid PB./Acc. # in this cell!</v>
          </cell>
          <cell r="F265" t="str">
            <v>OK</v>
          </cell>
        </row>
        <row r="266">
          <cell r="C266" t="str">
            <v>&lt;-- enter valid PB./Acc. # in this cell!</v>
          </cell>
          <cell r="F266" t="str">
            <v>OK</v>
          </cell>
        </row>
        <row r="267">
          <cell r="C267" t="str">
            <v>&lt;-- enter valid PB./Acc. # in this cell!</v>
          </cell>
          <cell r="F267" t="str">
            <v>OK</v>
          </cell>
        </row>
        <row r="268">
          <cell r="C268" t="str">
            <v>&lt;-- enter valid PB./Acc. # in this cell!</v>
          </cell>
          <cell r="F268" t="str">
            <v>OK</v>
          </cell>
        </row>
        <row r="269">
          <cell r="C269" t="str">
            <v>&lt;-- enter valid PB./Acc. # in this cell!</v>
          </cell>
          <cell r="F269" t="str">
            <v>OK</v>
          </cell>
        </row>
        <row r="270">
          <cell r="C270" t="str">
            <v>&lt;-- enter valid PB./Acc. # in this cell!</v>
          </cell>
          <cell r="F270" t="str">
            <v>OK</v>
          </cell>
        </row>
        <row r="271">
          <cell r="C271" t="str">
            <v>&lt;-- enter valid PB./Acc. # in this cell!</v>
          </cell>
          <cell r="F271" t="str">
            <v>OK</v>
          </cell>
        </row>
        <row r="272">
          <cell r="C272" t="str">
            <v>&lt;-- enter valid PB./Acc. # in this cell!</v>
          </cell>
          <cell r="F272" t="str">
            <v>OK</v>
          </cell>
        </row>
        <row r="273">
          <cell r="C273" t="str">
            <v>&lt;-- enter valid PB./Acc. # in this cell!</v>
          </cell>
          <cell r="F273" t="str">
            <v>OK</v>
          </cell>
        </row>
        <row r="274">
          <cell r="C274" t="str">
            <v>&lt;-- enter valid PB./Acc. # in this cell!</v>
          </cell>
          <cell r="F274" t="str">
            <v>OK</v>
          </cell>
        </row>
        <row r="275">
          <cell r="C275" t="str">
            <v>&lt;-- enter valid PB./Acc. # in this cell!</v>
          </cell>
          <cell r="F275" t="str">
            <v>OK</v>
          </cell>
        </row>
        <row r="276">
          <cell r="C276" t="str">
            <v>&lt;-- enter valid PB./Acc. # in this cell!</v>
          </cell>
          <cell r="F276" t="str">
            <v>OK</v>
          </cell>
        </row>
        <row r="277">
          <cell r="C277" t="str">
            <v>&lt;-- enter valid PB./Acc. # in this cell!</v>
          </cell>
          <cell r="F277" t="str">
            <v>OK</v>
          </cell>
        </row>
        <row r="278">
          <cell r="C278" t="str">
            <v>&lt;-- enter valid PB./Acc. # in this cell!</v>
          </cell>
          <cell r="F278" t="str">
            <v>OK</v>
          </cell>
        </row>
        <row r="279">
          <cell r="C279" t="str">
            <v>&lt;-- enter valid PB./Acc. # in this cell!</v>
          </cell>
          <cell r="F279" t="str">
            <v>OK</v>
          </cell>
        </row>
        <row r="280">
          <cell r="C280" t="str">
            <v>&lt;-- enter valid PB./Acc. # in this cell!</v>
          </cell>
          <cell r="F280" t="str">
            <v>OK</v>
          </cell>
        </row>
        <row r="281">
          <cell r="C281" t="str">
            <v>&lt;-- enter valid PB./Acc. # in this cell!</v>
          </cell>
          <cell r="F281" t="str">
            <v>OK</v>
          </cell>
        </row>
        <row r="282">
          <cell r="C282" t="str">
            <v>&lt;-- enter valid PB./Acc. # in this cell!</v>
          </cell>
          <cell r="F282" t="str">
            <v>OK</v>
          </cell>
        </row>
        <row r="283">
          <cell r="C283" t="str">
            <v>&lt;-- enter valid PB./Acc. # in this cell!</v>
          </cell>
          <cell r="F283" t="str">
            <v>OK</v>
          </cell>
        </row>
        <row r="284">
          <cell r="C284" t="str">
            <v>&lt;-- enter valid PB./Acc. # in this cell!</v>
          </cell>
          <cell r="F284" t="str">
            <v>OK</v>
          </cell>
        </row>
        <row r="285">
          <cell r="C285" t="str">
            <v>&lt;-- enter valid PB./Acc. # in this cell!</v>
          </cell>
          <cell r="F285" t="str">
            <v>OK</v>
          </cell>
        </row>
        <row r="286">
          <cell r="C286" t="str">
            <v>&lt;-- enter valid PB./Acc. # in this cell!</v>
          </cell>
          <cell r="F286" t="str">
            <v>OK</v>
          </cell>
        </row>
        <row r="287">
          <cell r="C287" t="str">
            <v>&lt;-- enter valid PB./Acc. # in this cell!</v>
          </cell>
          <cell r="F287" t="str">
            <v>OK</v>
          </cell>
        </row>
        <row r="288">
          <cell r="C288" t="str">
            <v>&lt;-- enter valid PB./Acc. # in this cell!</v>
          </cell>
          <cell r="F288" t="str">
            <v>OK</v>
          </cell>
        </row>
        <row r="289">
          <cell r="C289" t="str">
            <v>&lt;-- enter valid PB./Acc. # in this cell!</v>
          </cell>
          <cell r="F289" t="str">
            <v>OK</v>
          </cell>
        </row>
        <row r="290">
          <cell r="C290" t="str">
            <v>&lt;-- enter valid PB./Acc. # in this cell!</v>
          </cell>
          <cell r="F290" t="str">
            <v>OK</v>
          </cell>
        </row>
        <row r="291">
          <cell r="C291" t="str">
            <v>&lt;-- enter valid PB./Acc. # in this cell!</v>
          </cell>
          <cell r="F291" t="str">
            <v>OK</v>
          </cell>
        </row>
        <row r="292">
          <cell r="C292" t="str">
            <v>&lt;-- enter valid PB./Acc. # in this cell!</v>
          </cell>
          <cell r="F292" t="str">
            <v>OK</v>
          </cell>
        </row>
        <row r="293">
          <cell r="C293" t="str">
            <v>&lt;-- enter valid PB./Acc. # in this cell!</v>
          </cell>
          <cell r="F293" t="str">
            <v>OK</v>
          </cell>
        </row>
        <row r="294">
          <cell r="C294" t="str">
            <v>&lt;-- enter valid PB./Acc. # in this cell!</v>
          </cell>
          <cell r="F294" t="str">
            <v>OK</v>
          </cell>
        </row>
        <row r="295">
          <cell r="C295" t="str">
            <v>&lt;-- enter valid PB./Acc. # in this cell!</v>
          </cell>
          <cell r="F295" t="str">
            <v>OK</v>
          </cell>
        </row>
        <row r="296">
          <cell r="C296" t="str">
            <v>&lt;-- enter valid PB./Acc. # in this cell!</v>
          </cell>
          <cell r="F296" t="str">
            <v>OK</v>
          </cell>
        </row>
        <row r="297">
          <cell r="C297" t="str">
            <v>&lt;-- enter valid PB./Acc. # in this cell!</v>
          </cell>
          <cell r="F297" t="str">
            <v>OK</v>
          </cell>
        </row>
        <row r="298">
          <cell r="C298" t="str">
            <v>&lt;-- enter valid PB./Acc. # in this cell!</v>
          </cell>
          <cell r="F298" t="str">
            <v>OK</v>
          </cell>
        </row>
        <row r="299">
          <cell r="C299" t="str">
            <v>&lt;-- enter valid PB./Acc. # in this cell!</v>
          </cell>
          <cell r="F299" t="str">
            <v>OK</v>
          </cell>
        </row>
        <row r="300">
          <cell r="A300" t="str">
            <v>Total Balances of July 2015</v>
          </cell>
          <cell r="F300" t="str">
            <v>OK</v>
          </cell>
          <cell r="G300">
            <v>25754.799999999999</v>
          </cell>
          <cell r="H300">
            <v>27050.82</v>
          </cell>
          <cell r="I300">
            <v>20010.900000000001</v>
          </cell>
          <cell r="J300">
            <v>8956</v>
          </cell>
          <cell r="K300">
            <v>50</v>
          </cell>
          <cell r="L300">
            <v>140</v>
          </cell>
          <cell r="M300">
            <v>8649.92</v>
          </cell>
          <cell r="N300">
            <v>15418.3</v>
          </cell>
          <cell r="O300">
            <v>0</v>
          </cell>
          <cell r="P300">
            <v>0</v>
          </cell>
          <cell r="Q300">
            <v>8500</v>
          </cell>
          <cell r="R300">
            <v>13948.5</v>
          </cell>
          <cell r="S300">
            <v>0</v>
          </cell>
          <cell r="T300">
            <v>0</v>
          </cell>
          <cell r="AQ300">
            <v>2547</v>
          </cell>
        </row>
        <row r="301">
          <cell r="A301">
            <v>42247</v>
          </cell>
        </row>
        <row r="302">
          <cell r="A302">
            <v>42218</v>
          </cell>
          <cell r="B302">
            <v>345</v>
          </cell>
          <cell r="C302" t="str">
            <v>SAMUEL ESSILFIE</v>
          </cell>
          <cell r="D302" t="str">
            <v>RV0154199</v>
          </cell>
          <cell r="E302" t="str">
            <v>Cash  Deposit</v>
          </cell>
          <cell r="F302" t="str">
            <v>OK</v>
          </cell>
          <cell r="G302">
            <v>150</v>
          </cell>
          <cell r="N302">
            <v>150</v>
          </cell>
        </row>
        <row r="303">
          <cell r="A303">
            <v>42218</v>
          </cell>
          <cell r="B303">
            <v>389</v>
          </cell>
          <cell r="C303" t="str">
            <v>ESTHER T.KWOFIE</v>
          </cell>
          <cell r="D303" t="str">
            <v>RV0154200</v>
          </cell>
          <cell r="E303" t="str">
            <v>Cash  Deposit</v>
          </cell>
          <cell r="F303" t="str">
            <v>OK</v>
          </cell>
          <cell r="G303">
            <v>180</v>
          </cell>
          <cell r="N303">
            <v>180</v>
          </cell>
        </row>
        <row r="304">
          <cell r="A304">
            <v>42218</v>
          </cell>
          <cell r="B304">
            <v>321</v>
          </cell>
          <cell r="C304" t="str">
            <v>HAGAR EBIASIMAH GYAMFI</v>
          </cell>
          <cell r="D304" t="str">
            <v>RV0165001</v>
          </cell>
          <cell r="E304" t="str">
            <v>Cash  Deposit</v>
          </cell>
          <cell r="F304" t="str">
            <v>OK</v>
          </cell>
          <cell r="G304">
            <v>100</v>
          </cell>
          <cell r="N304">
            <v>100</v>
          </cell>
        </row>
        <row r="305">
          <cell r="A305">
            <v>42218</v>
          </cell>
          <cell r="B305">
            <v>118</v>
          </cell>
          <cell r="C305" t="str">
            <v>BETHEL METHODIST CHURCH KS</v>
          </cell>
          <cell r="D305" t="str">
            <v>RV0165002</v>
          </cell>
          <cell r="E305" t="str">
            <v>Cash  Deposit</v>
          </cell>
          <cell r="F305" t="str">
            <v>OK</v>
          </cell>
          <cell r="G305">
            <v>500</v>
          </cell>
          <cell r="N305">
            <v>500</v>
          </cell>
        </row>
        <row r="306">
          <cell r="A306">
            <v>42218</v>
          </cell>
          <cell r="B306">
            <v>56420</v>
          </cell>
          <cell r="C306" t="str">
            <v>Travel &amp; Transport (incl. Motor, Fuel and Taxi fare expenses)</v>
          </cell>
          <cell r="D306" t="str">
            <v>PV0054195</v>
          </cell>
          <cell r="E306" t="str">
            <v>T&amp;T pait to Eunice for working on Sunday</v>
          </cell>
          <cell r="F306" t="str">
            <v>OK</v>
          </cell>
          <cell r="H306">
            <v>20</v>
          </cell>
        </row>
        <row r="307">
          <cell r="A307">
            <v>42218</v>
          </cell>
          <cell r="B307">
            <v>256</v>
          </cell>
          <cell r="C307" t="str">
            <v>CHARLES ANDOH</v>
          </cell>
          <cell r="D307" t="str">
            <v>pv0054196</v>
          </cell>
          <cell r="E307" t="str">
            <v>Savings  withdrawal</v>
          </cell>
          <cell r="F307" t="str">
            <v>OK</v>
          </cell>
          <cell r="H307">
            <v>200</v>
          </cell>
          <cell r="M307">
            <v>200</v>
          </cell>
        </row>
        <row r="308">
          <cell r="A308">
            <v>42219</v>
          </cell>
          <cell r="B308">
            <v>233</v>
          </cell>
          <cell r="C308" t="str">
            <v>ALBERT ACQUAH</v>
          </cell>
          <cell r="D308" t="str">
            <v>PV0054197</v>
          </cell>
          <cell r="E308" t="str">
            <v>Savings  withdrawal</v>
          </cell>
          <cell r="F308" t="str">
            <v>OK</v>
          </cell>
          <cell r="H308">
            <v>600</v>
          </cell>
          <cell r="M308">
            <v>600</v>
          </cell>
        </row>
        <row r="309">
          <cell r="A309">
            <v>42219</v>
          </cell>
          <cell r="B309">
            <v>176</v>
          </cell>
          <cell r="C309" t="str">
            <v>SAMUEL BENTIL</v>
          </cell>
          <cell r="D309" t="str">
            <v>PV0054198</v>
          </cell>
          <cell r="E309" t="str">
            <v>Savings  withdrawal</v>
          </cell>
          <cell r="F309" t="str">
            <v>OK</v>
          </cell>
          <cell r="H309">
            <v>200</v>
          </cell>
          <cell r="M309">
            <v>200</v>
          </cell>
        </row>
        <row r="310">
          <cell r="A310">
            <v>42219</v>
          </cell>
          <cell r="B310">
            <v>388</v>
          </cell>
          <cell r="C310" t="str">
            <v>LOVE ENOS-AIDOOO</v>
          </cell>
          <cell r="D310" t="str">
            <v>PV0054199</v>
          </cell>
          <cell r="E310" t="str">
            <v>Savings  withdrawal</v>
          </cell>
          <cell r="F310" t="str">
            <v>OK</v>
          </cell>
          <cell r="H310">
            <v>50</v>
          </cell>
          <cell r="M310">
            <v>50</v>
          </cell>
        </row>
        <row r="311">
          <cell r="A311">
            <v>42219</v>
          </cell>
          <cell r="B311">
            <v>56900</v>
          </cell>
          <cell r="C311" t="str">
            <v>Office Expenses</v>
          </cell>
          <cell r="D311" t="str">
            <v>PV0054200</v>
          </cell>
          <cell r="E311" t="str">
            <v>Gabbage disposal</v>
          </cell>
          <cell r="F311" t="str">
            <v>OK</v>
          </cell>
          <cell r="H311">
            <v>1</v>
          </cell>
        </row>
        <row r="312">
          <cell r="A312">
            <v>42219</v>
          </cell>
          <cell r="B312">
            <v>394</v>
          </cell>
          <cell r="C312" t="str">
            <v>JAMES KOUFIE</v>
          </cell>
          <cell r="D312" t="str">
            <v>RV0165003</v>
          </cell>
          <cell r="E312" t="str">
            <v>Cash  Deposit</v>
          </cell>
          <cell r="F312" t="str">
            <v>OK</v>
          </cell>
          <cell r="G312">
            <v>120</v>
          </cell>
          <cell r="N312">
            <v>120</v>
          </cell>
        </row>
        <row r="313">
          <cell r="A313">
            <v>42219</v>
          </cell>
          <cell r="B313">
            <v>397</v>
          </cell>
          <cell r="C313" t="str">
            <v>KENNETH ADU ASAMOAH</v>
          </cell>
          <cell r="D313" t="str">
            <v>RV0165004</v>
          </cell>
          <cell r="E313" t="str">
            <v>Cash  Deposit</v>
          </cell>
          <cell r="F313" t="str">
            <v>OK</v>
          </cell>
          <cell r="G313">
            <v>105</v>
          </cell>
          <cell r="L313">
            <v>50</v>
          </cell>
          <cell r="N313">
            <v>50</v>
          </cell>
        </row>
        <row r="314">
          <cell r="A314">
            <v>42219</v>
          </cell>
          <cell r="B314">
            <v>360</v>
          </cell>
          <cell r="C314" t="str">
            <v>GIFTY DADZIE</v>
          </cell>
          <cell r="D314" t="str">
            <v>RV0165005</v>
          </cell>
          <cell r="E314" t="str">
            <v>Cash  Deposit</v>
          </cell>
          <cell r="F314" t="str">
            <v>OK</v>
          </cell>
          <cell r="G314">
            <v>90</v>
          </cell>
          <cell r="N314">
            <v>90</v>
          </cell>
        </row>
        <row r="315">
          <cell r="A315">
            <v>42219</v>
          </cell>
          <cell r="B315">
            <v>272</v>
          </cell>
          <cell r="C315" t="str">
            <v>FLORENCE A.BENYAH</v>
          </cell>
          <cell r="D315" t="str">
            <v>RV0165006</v>
          </cell>
          <cell r="E315" t="str">
            <v>Sale of passbook</v>
          </cell>
          <cell r="F315" t="str">
            <v>OK</v>
          </cell>
          <cell r="G315">
            <v>5</v>
          </cell>
        </row>
        <row r="316">
          <cell r="A316">
            <v>42219</v>
          </cell>
          <cell r="B316">
            <v>310</v>
          </cell>
          <cell r="C316" t="str">
            <v>ST.PAUL'S METHODIST CHURCH KAKRBA</v>
          </cell>
          <cell r="D316" t="str">
            <v>RV0165007</v>
          </cell>
          <cell r="E316" t="str">
            <v>Cash  Deposit</v>
          </cell>
          <cell r="F316" t="str">
            <v>OK</v>
          </cell>
          <cell r="G316">
            <v>300</v>
          </cell>
          <cell r="N316">
            <v>300</v>
          </cell>
        </row>
        <row r="317">
          <cell r="A317">
            <v>42219</v>
          </cell>
          <cell r="B317">
            <v>310</v>
          </cell>
          <cell r="C317" t="str">
            <v>ST.PAUL'S METHODIST CHURCH KAKRBA</v>
          </cell>
          <cell r="D317" t="str">
            <v>RV0165008</v>
          </cell>
          <cell r="E317" t="str">
            <v>Cash  Deposit</v>
          </cell>
          <cell r="F317" t="str">
            <v>OK</v>
          </cell>
          <cell r="G317">
            <v>40</v>
          </cell>
          <cell r="N317">
            <v>40</v>
          </cell>
        </row>
        <row r="318">
          <cell r="A318">
            <v>42220</v>
          </cell>
          <cell r="B318">
            <v>236</v>
          </cell>
          <cell r="C318" t="str">
            <v>GRACE AMPOMAH MENSAH</v>
          </cell>
          <cell r="D318" t="str">
            <v>RV0165009</v>
          </cell>
          <cell r="E318" t="str">
            <v>Cash  Deposit</v>
          </cell>
          <cell r="F318" t="str">
            <v>OK</v>
          </cell>
          <cell r="G318">
            <v>320</v>
          </cell>
          <cell r="N318">
            <v>320</v>
          </cell>
        </row>
        <row r="319">
          <cell r="A319">
            <v>42220</v>
          </cell>
          <cell r="B319">
            <v>46</v>
          </cell>
          <cell r="C319" t="str">
            <v>RICHARD GHANSON</v>
          </cell>
          <cell r="D319" t="str">
            <v>RV0165010</v>
          </cell>
          <cell r="E319" t="str">
            <v>Loan Repayment / Deposit</v>
          </cell>
          <cell r="F319" t="str">
            <v>OK</v>
          </cell>
          <cell r="G319">
            <v>650</v>
          </cell>
          <cell r="N319">
            <v>67</v>
          </cell>
          <cell r="R319">
            <v>500</v>
          </cell>
          <cell r="AQ319">
            <v>83</v>
          </cell>
        </row>
        <row r="320">
          <cell r="A320">
            <v>42220</v>
          </cell>
          <cell r="B320">
            <v>300</v>
          </cell>
          <cell r="C320" t="str">
            <v>CIRCUIT WOMEN'S FELLOWSHIP METH.</v>
          </cell>
          <cell r="D320" t="str">
            <v>RV0165011</v>
          </cell>
          <cell r="E320" t="str">
            <v>Cash  Deposit</v>
          </cell>
          <cell r="F320" t="str">
            <v>OK</v>
          </cell>
          <cell r="G320">
            <v>30</v>
          </cell>
          <cell r="N320">
            <v>30</v>
          </cell>
        </row>
        <row r="321">
          <cell r="A321">
            <v>42220</v>
          </cell>
          <cell r="B321">
            <v>378</v>
          </cell>
          <cell r="C321" t="str">
            <v>SAMUEL KWEKU ABRADU-MANU</v>
          </cell>
          <cell r="D321" t="str">
            <v>PV0474202</v>
          </cell>
          <cell r="E321" t="str">
            <v>Savings  withdrawal</v>
          </cell>
          <cell r="F321" t="str">
            <v>OK</v>
          </cell>
          <cell r="H321">
            <v>50</v>
          </cell>
          <cell r="M321">
            <v>50</v>
          </cell>
        </row>
        <row r="322">
          <cell r="A322">
            <v>42220</v>
          </cell>
          <cell r="B322">
            <v>56310</v>
          </cell>
          <cell r="C322" t="str">
            <v>Postage &amp; Communication</v>
          </cell>
          <cell r="D322" t="str">
            <v>PV0474203</v>
          </cell>
          <cell r="E322" t="str">
            <v>Credit for internet modem</v>
          </cell>
          <cell r="F322" t="str">
            <v>OK</v>
          </cell>
          <cell r="H322">
            <v>10</v>
          </cell>
        </row>
        <row r="323">
          <cell r="A323">
            <v>42220</v>
          </cell>
          <cell r="B323">
            <v>394</v>
          </cell>
          <cell r="C323" t="str">
            <v>JAMES KOUFIE</v>
          </cell>
          <cell r="D323" t="str">
            <v>PV0474204</v>
          </cell>
          <cell r="E323" t="str">
            <v>Savings  withdrawal</v>
          </cell>
          <cell r="F323" t="str">
            <v>OK</v>
          </cell>
          <cell r="H323">
            <v>30</v>
          </cell>
          <cell r="M323">
            <v>30</v>
          </cell>
        </row>
        <row r="324">
          <cell r="A324">
            <v>42221</v>
          </cell>
          <cell r="B324">
            <v>54330</v>
          </cell>
          <cell r="C324" t="str">
            <v>Travel and Transport expenses for BoD and Committee executives</v>
          </cell>
          <cell r="D324" t="str">
            <v>PV0474205</v>
          </cell>
          <cell r="E324" t="str">
            <v>cost of fuel to Gold Coast Security</v>
          </cell>
          <cell r="F324" t="str">
            <v>OK</v>
          </cell>
          <cell r="H324">
            <v>50</v>
          </cell>
        </row>
        <row r="325">
          <cell r="A325">
            <v>42221</v>
          </cell>
          <cell r="B325">
            <v>56420</v>
          </cell>
          <cell r="C325" t="str">
            <v>Travel &amp; Transport (incl. Motor, Fuel and Taxi fare expenses)</v>
          </cell>
          <cell r="D325" t="str">
            <v>PV0474206</v>
          </cell>
          <cell r="E325" t="str">
            <v>t&amp;t to Bank</v>
          </cell>
          <cell r="F325" t="str">
            <v>OK</v>
          </cell>
          <cell r="H325">
            <v>10</v>
          </cell>
        </row>
        <row r="326">
          <cell r="A326">
            <v>42221</v>
          </cell>
          <cell r="B326">
            <v>11201</v>
          </cell>
          <cell r="C326" t="str">
            <v>Bawjiase Area Rural Bank</v>
          </cell>
          <cell r="E326" t="str">
            <v>Cash deposit to bank</v>
          </cell>
          <cell r="F326" t="str">
            <v>OK</v>
          </cell>
          <cell r="H326">
            <v>2260</v>
          </cell>
          <cell r="I326">
            <v>2260</v>
          </cell>
        </row>
        <row r="327">
          <cell r="A327">
            <v>42221</v>
          </cell>
          <cell r="B327">
            <v>326</v>
          </cell>
          <cell r="C327" t="str">
            <v>OPEIKUMA TOWN METHODIST CH.</v>
          </cell>
          <cell r="D327" t="str">
            <v>RV0165012</v>
          </cell>
          <cell r="E327" t="str">
            <v>Cash  Deposit</v>
          </cell>
          <cell r="F327" t="str">
            <v>OK</v>
          </cell>
          <cell r="G327">
            <v>56.3</v>
          </cell>
          <cell r="N327">
            <v>56.3</v>
          </cell>
        </row>
        <row r="328">
          <cell r="A328">
            <v>42221</v>
          </cell>
          <cell r="B328">
            <v>231</v>
          </cell>
          <cell r="C328" t="str">
            <v>EMMANUEL DANSO</v>
          </cell>
          <cell r="D328" t="str">
            <v>RV0165013</v>
          </cell>
          <cell r="E328" t="str">
            <v>Cash  Deposit</v>
          </cell>
          <cell r="F328" t="str">
            <v>OK</v>
          </cell>
          <cell r="G328">
            <v>35</v>
          </cell>
          <cell r="N328">
            <v>30</v>
          </cell>
        </row>
        <row r="329">
          <cell r="A329">
            <v>42221</v>
          </cell>
          <cell r="B329">
            <v>341</v>
          </cell>
          <cell r="C329" t="str">
            <v>REBECCA ESSILFUA ARTHUR</v>
          </cell>
          <cell r="D329" t="str">
            <v>RV0165014</v>
          </cell>
          <cell r="E329" t="str">
            <v>Cash  Deposit</v>
          </cell>
          <cell r="F329" t="str">
            <v>OK</v>
          </cell>
          <cell r="G329">
            <v>1000</v>
          </cell>
          <cell r="N329">
            <v>1000</v>
          </cell>
        </row>
        <row r="330">
          <cell r="A330">
            <v>42221</v>
          </cell>
          <cell r="B330">
            <v>339</v>
          </cell>
          <cell r="C330" t="str">
            <v>FRANKLINA ESSEL</v>
          </cell>
          <cell r="D330" t="str">
            <v>RV0165015</v>
          </cell>
          <cell r="E330" t="str">
            <v>Loan Repayment / Deposit</v>
          </cell>
          <cell r="F330" t="str">
            <v>OK</v>
          </cell>
          <cell r="G330">
            <v>60</v>
          </cell>
          <cell r="N330">
            <v>1.5</v>
          </cell>
          <cell r="R330">
            <v>50</v>
          </cell>
          <cell r="AQ330">
            <v>8.5</v>
          </cell>
        </row>
        <row r="331">
          <cell r="A331">
            <v>42221</v>
          </cell>
          <cell r="B331">
            <v>359</v>
          </cell>
          <cell r="C331" t="str">
            <v>GOOD SHEPHERD METH.YOUTH SUPPORT FUND</v>
          </cell>
          <cell r="D331" t="str">
            <v>RV0165016</v>
          </cell>
          <cell r="E331" t="str">
            <v>Cash  Deposit</v>
          </cell>
          <cell r="F331" t="str">
            <v>OK</v>
          </cell>
          <cell r="G331">
            <v>23.5</v>
          </cell>
          <cell r="N331">
            <v>23.5</v>
          </cell>
        </row>
        <row r="332">
          <cell r="A332">
            <v>42222</v>
          </cell>
          <cell r="B332">
            <v>300</v>
          </cell>
          <cell r="C332" t="str">
            <v>CIRCUIT WOMEN'S FELLOWSHIP METH.</v>
          </cell>
          <cell r="D332" t="str">
            <v>RV0165017</v>
          </cell>
          <cell r="E332" t="str">
            <v>Cash  Deposit</v>
          </cell>
          <cell r="F332" t="str">
            <v>OK</v>
          </cell>
          <cell r="G332">
            <v>30</v>
          </cell>
          <cell r="N332">
            <v>30</v>
          </cell>
        </row>
        <row r="333">
          <cell r="A333">
            <v>42222</v>
          </cell>
          <cell r="B333">
            <v>365</v>
          </cell>
          <cell r="C333" t="str">
            <v>RACHEAL VISSION WORKERS</v>
          </cell>
          <cell r="D333" t="str">
            <v>RV0165018</v>
          </cell>
          <cell r="E333" t="str">
            <v>Cash  Deposit</v>
          </cell>
          <cell r="F333" t="str">
            <v>OK</v>
          </cell>
          <cell r="G333">
            <v>73</v>
          </cell>
          <cell r="N333">
            <v>73</v>
          </cell>
        </row>
        <row r="334">
          <cell r="A334">
            <v>42222</v>
          </cell>
          <cell r="B334">
            <v>178</v>
          </cell>
          <cell r="C334" t="str">
            <v>OSOFO MAAME CLASS</v>
          </cell>
          <cell r="D334" t="str">
            <v>RV0165019</v>
          </cell>
          <cell r="E334" t="str">
            <v>Cash  Deposit</v>
          </cell>
          <cell r="F334" t="str">
            <v>OK</v>
          </cell>
          <cell r="G334">
            <v>98</v>
          </cell>
          <cell r="N334">
            <v>98</v>
          </cell>
        </row>
        <row r="335">
          <cell r="A335">
            <v>42222</v>
          </cell>
          <cell r="B335">
            <v>317</v>
          </cell>
          <cell r="C335" t="str">
            <v>JOANA ODOOM</v>
          </cell>
          <cell r="D335" t="str">
            <v>RV0165020</v>
          </cell>
          <cell r="E335" t="str">
            <v>Loan Repayment / Deposit</v>
          </cell>
          <cell r="F335" t="str">
            <v>OK</v>
          </cell>
          <cell r="G335">
            <v>200</v>
          </cell>
          <cell r="N335">
            <v>20</v>
          </cell>
          <cell r="R335">
            <v>150</v>
          </cell>
          <cell r="AQ335">
            <v>30</v>
          </cell>
        </row>
        <row r="336">
          <cell r="A336">
            <v>42222</v>
          </cell>
          <cell r="B336">
            <v>33</v>
          </cell>
          <cell r="C336" t="str">
            <v>NANA KOJO QUANSAH</v>
          </cell>
          <cell r="D336" t="str">
            <v>RV0165021</v>
          </cell>
          <cell r="E336" t="str">
            <v>Cash  Deposit</v>
          </cell>
          <cell r="F336" t="str">
            <v>OK</v>
          </cell>
          <cell r="G336">
            <v>900</v>
          </cell>
          <cell r="N336">
            <v>900</v>
          </cell>
        </row>
        <row r="337">
          <cell r="A337">
            <v>42222</v>
          </cell>
          <cell r="B337">
            <v>33</v>
          </cell>
          <cell r="C337" t="str">
            <v>NANA KOJO QUANSAH</v>
          </cell>
          <cell r="D337" t="str">
            <v>PV0474207</v>
          </cell>
          <cell r="E337" t="str">
            <v>Savings  withdrawal</v>
          </cell>
          <cell r="F337" t="str">
            <v>OK</v>
          </cell>
          <cell r="J337">
            <v>4000</v>
          </cell>
          <cell r="M337">
            <v>4000</v>
          </cell>
        </row>
        <row r="338">
          <cell r="A338">
            <v>42222</v>
          </cell>
          <cell r="B338">
            <v>54300</v>
          </cell>
          <cell r="C338" t="str">
            <v>BoD and Committee expenses</v>
          </cell>
          <cell r="D338" t="str">
            <v>PV0474208</v>
          </cell>
          <cell r="E338" t="str">
            <v>Cost of refreshment on Board meeting</v>
          </cell>
          <cell r="F338" t="str">
            <v>OK</v>
          </cell>
          <cell r="H338">
            <v>80</v>
          </cell>
        </row>
        <row r="339">
          <cell r="A339">
            <v>42222</v>
          </cell>
          <cell r="B339">
            <v>260</v>
          </cell>
          <cell r="C339" t="str">
            <v>BETHEL METHODIST CHURCH CHOIR</v>
          </cell>
          <cell r="D339" t="str">
            <v>PV0474209</v>
          </cell>
          <cell r="E339" t="str">
            <v>Savings  withdrawal</v>
          </cell>
          <cell r="F339" t="str">
            <v>OK</v>
          </cell>
          <cell r="J339">
            <v>3000</v>
          </cell>
          <cell r="M339">
            <v>3000</v>
          </cell>
        </row>
        <row r="340">
          <cell r="A340">
            <v>42223</v>
          </cell>
          <cell r="B340">
            <v>56420</v>
          </cell>
          <cell r="C340" t="str">
            <v>Travel &amp; Transport (incl. Motor, Fuel and Taxi fare expenses)</v>
          </cell>
          <cell r="D340" t="str">
            <v>PV0474210</v>
          </cell>
          <cell r="E340" t="str">
            <v>t&amp;t to Bank</v>
          </cell>
          <cell r="F340" t="str">
            <v>OK</v>
          </cell>
          <cell r="H340">
            <v>10</v>
          </cell>
        </row>
        <row r="341">
          <cell r="A341">
            <v>42223</v>
          </cell>
          <cell r="B341">
            <v>326</v>
          </cell>
          <cell r="C341" t="str">
            <v>OPEIKUMA TOWN METHODIST CH.</v>
          </cell>
          <cell r="D341" t="str">
            <v>PV0474211</v>
          </cell>
          <cell r="E341" t="str">
            <v>Savings  withdrawal</v>
          </cell>
          <cell r="F341" t="str">
            <v>OK</v>
          </cell>
          <cell r="H341">
            <v>200</v>
          </cell>
          <cell r="M341">
            <v>200</v>
          </cell>
        </row>
        <row r="342">
          <cell r="A342">
            <v>42223</v>
          </cell>
          <cell r="B342">
            <v>56200</v>
          </cell>
          <cell r="C342" t="str">
            <v>Printing &amp; Stationery</v>
          </cell>
          <cell r="D342" t="str">
            <v>PV0474212</v>
          </cell>
          <cell r="E342" t="str">
            <v>t&amp;t given to Eunice for working on Sunday</v>
          </cell>
          <cell r="F342" t="str">
            <v>OK</v>
          </cell>
          <cell r="H342">
            <v>20</v>
          </cell>
        </row>
        <row r="343">
          <cell r="A343">
            <v>42223</v>
          </cell>
          <cell r="B343">
            <v>54330</v>
          </cell>
          <cell r="C343" t="str">
            <v>Travel and Transport expenses for BoD and Committee executives</v>
          </cell>
          <cell r="D343" t="str">
            <v>PV0474213</v>
          </cell>
          <cell r="E343" t="str">
            <v>fuel for manager for official transactions</v>
          </cell>
          <cell r="F343" t="str">
            <v>OK</v>
          </cell>
          <cell r="H343">
            <v>40</v>
          </cell>
        </row>
        <row r="344">
          <cell r="A344">
            <v>42223</v>
          </cell>
          <cell r="B344">
            <v>11201</v>
          </cell>
          <cell r="C344" t="str">
            <v>Bawjiase Area Rural Bank</v>
          </cell>
          <cell r="E344" t="str">
            <v>Cash deposit to bank</v>
          </cell>
          <cell r="F344" t="str">
            <v>OK</v>
          </cell>
          <cell r="H344">
            <v>2800</v>
          </cell>
          <cell r="I344">
            <v>2800</v>
          </cell>
        </row>
        <row r="345">
          <cell r="A345">
            <v>42223</v>
          </cell>
          <cell r="B345">
            <v>264</v>
          </cell>
          <cell r="C345" t="str">
            <v>AGNES BENTIL</v>
          </cell>
          <cell r="D345" t="str">
            <v>RV0165022</v>
          </cell>
          <cell r="E345" t="str">
            <v>Loan Repayment / Deposit</v>
          </cell>
          <cell r="F345" t="str">
            <v>OK</v>
          </cell>
          <cell r="G345">
            <v>130</v>
          </cell>
          <cell r="N345">
            <v>16</v>
          </cell>
          <cell r="R345">
            <v>100</v>
          </cell>
          <cell r="AQ345">
            <v>14</v>
          </cell>
        </row>
        <row r="346">
          <cell r="A346">
            <v>42223</v>
          </cell>
          <cell r="B346">
            <v>25</v>
          </cell>
          <cell r="C346" t="str">
            <v>EMMANUEL N.DONKOR</v>
          </cell>
          <cell r="D346" t="str">
            <v>RV0165023</v>
          </cell>
          <cell r="E346" t="str">
            <v>Cash  Deposit</v>
          </cell>
          <cell r="F346" t="str">
            <v>OK</v>
          </cell>
          <cell r="G346">
            <v>30</v>
          </cell>
          <cell r="N346">
            <v>30</v>
          </cell>
        </row>
        <row r="347">
          <cell r="A347">
            <v>42223</v>
          </cell>
          <cell r="B347">
            <v>394</v>
          </cell>
          <cell r="C347" t="str">
            <v>JAMES KOUFIE</v>
          </cell>
          <cell r="D347" t="str">
            <v>RV0165024</v>
          </cell>
          <cell r="E347" t="str">
            <v>Cash  Deposit</v>
          </cell>
          <cell r="F347" t="str">
            <v>OK</v>
          </cell>
          <cell r="G347">
            <v>50</v>
          </cell>
          <cell r="N347">
            <v>50</v>
          </cell>
        </row>
        <row r="348">
          <cell r="A348">
            <v>42223</v>
          </cell>
          <cell r="B348">
            <v>356</v>
          </cell>
          <cell r="C348" t="str">
            <v>BEATRICE ARTHUR</v>
          </cell>
          <cell r="D348" t="str">
            <v>RV0165025</v>
          </cell>
          <cell r="E348" t="str">
            <v>Loan Repayment / Deposit</v>
          </cell>
          <cell r="F348" t="str">
            <v>OK</v>
          </cell>
          <cell r="G348">
            <v>82</v>
          </cell>
          <cell r="N348">
            <v>0.25</v>
          </cell>
          <cell r="R348">
            <v>75</v>
          </cell>
          <cell r="AQ348">
            <v>6.75</v>
          </cell>
        </row>
        <row r="349">
          <cell r="A349">
            <v>42223</v>
          </cell>
          <cell r="B349">
            <v>397</v>
          </cell>
          <cell r="C349" t="str">
            <v>KENNETH ADU ASAMOAH</v>
          </cell>
          <cell r="D349" t="str">
            <v>RV0165026</v>
          </cell>
          <cell r="E349" t="str">
            <v>Cash  Deposit</v>
          </cell>
          <cell r="F349" t="str">
            <v>OK</v>
          </cell>
          <cell r="G349">
            <v>600</v>
          </cell>
          <cell r="N349">
            <v>600</v>
          </cell>
        </row>
        <row r="350">
          <cell r="A350">
            <v>42223</v>
          </cell>
          <cell r="B350">
            <v>46</v>
          </cell>
          <cell r="C350" t="str">
            <v>RICHARD GHANSON</v>
          </cell>
          <cell r="D350" t="str">
            <v>RV0165027</v>
          </cell>
          <cell r="E350" t="str">
            <v>Loan Repayment / Deposit</v>
          </cell>
          <cell r="F350" t="str">
            <v>OK</v>
          </cell>
          <cell r="G350">
            <v>635</v>
          </cell>
          <cell r="N350">
            <v>52</v>
          </cell>
          <cell r="R350">
            <v>500</v>
          </cell>
          <cell r="AQ350">
            <v>83</v>
          </cell>
        </row>
        <row r="351">
          <cell r="A351">
            <v>42223</v>
          </cell>
          <cell r="B351">
            <v>392</v>
          </cell>
          <cell r="C351" t="str">
            <v>AL-HALIM HALIMA OTOO</v>
          </cell>
          <cell r="D351" t="str">
            <v>RV0165028</v>
          </cell>
          <cell r="E351" t="str">
            <v>Cash  Deposit</v>
          </cell>
          <cell r="F351" t="str">
            <v>OK</v>
          </cell>
          <cell r="G351">
            <v>70</v>
          </cell>
          <cell r="L351">
            <v>20</v>
          </cell>
          <cell r="N351">
            <v>50</v>
          </cell>
        </row>
        <row r="352">
          <cell r="A352">
            <v>42223</v>
          </cell>
          <cell r="B352">
            <v>365</v>
          </cell>
          <cell r="C352" t="str">
            <v>RACHEAL VISSION WORKERS</v>
          </cell>
          <cell r="D352" t="str">
            <v>RV0165029</v>
          </cell>
          <cell r="E352" t="str">
            <v>Cash  Deposit</v>
          </cell>
          <cell r="F352" t="str">
            <v>OK</v>
          </cell>
          <cell r="G352">
            <v>50</v>
          </cell>
          <cell r="N352">
            <v>50</v>
          </cell>
        </row>
        <row r="353">
          <cell r="A353">
            <v>42225</v>
          </cell>
          <cell r="B353">
            <v>205</v>
          </cell>
          <cell r="C353" t="str">
            <v>EMELIA ANOA AMASAH</v>
          </cell>
          <cell r="D353" t="str">
            <v>RV0165030</v>
          </cell>
          <cell r="E353" t="str">
            <v>LOAN Repayment / interest</v>
          </cell>
          <cell r="F353" t="str">
            <v>OK</v>
          </cell>
          <cell r="G353">
            <v>370</v>
          </cell>
          <cell r="R353">
            <v>334</v>
          </cell>
          <cell r="AQ353">
            <v>36</v>
          </cell>
        </row>
        <row r="354">
          <cell r="A354">
            <v>42225</v>
          </cell>
          <cell r="B354">
            <v>329</v>
          </cell>
          <cell r="C354" t="str">
            <v>FAUSTINA BAINE</v>
          </cell>
          <cell r="D354" t="str">
            <v>RV0165031</v>
          </cell>
          <cell r="E354" t="str">
            <v>Cash  Deposit</v>
          </cell>
          <cell r="F354" t="str">
            <v>OK</v>
          </cell>
          <cell r="G354">
            <v>400</v>
          </cell>
          <cell r="L354">
            <v>300</v>
          </cell>
          <cell r="N354">
            <v>100</v>
          </cell>
        </row>
        <row r="355">
          <cell r="A355">
            <v>42225</v>
          </cell>
          <cell r="B355">
            <v>86</v>
          </cell>
          <cell r="C355" t="str">
            <v>BETTY ELEGBA</v>
          </cell>
          <cell r="D355" t="str">
            <v>RV0165032</v>
          </cell>
          <cell r="E355" t="str">
            <v>Loan Repayment / Deposit</v>
          </cell>
          <cell r="F355" t="str">
            <v>OK</v>
          </cell>
          <cell r="G355">
            <v>333</v>
          </cell>
          <cell r="N355">
            <v>100</v>
          </cell>
          <cell r="R355">
            <v>200</v>
          </cell>
          <cell r="AQ355">
            <v>33</v>
          </cell>
        </row>
        <row r="356">
          <cell r="A356">
            <v>42225</v>
          </cell>
          <cell r="B356">
            <v>132</v>
          </cell>
          <cell r="C356" t="str">
            <v>CHRISTIANA KARKO</v>
          </cell>
          <cell r="D356" t="str">
            <v>RV0165033</v>
          </cell>
          <cell r="E356" t="str">
            <v>Cash  Deposit</v>
          </cell>
          <cell r="F356" t="str">
            <v>OK</v>
          </cell>
          <cell r="G356">
            <v>50</v>
          </cell>
          <cell r="N356">
            <v>50</v>
          </cell>
        </row>
        <row r="357">
          <cell r="A357">
            <v>42225</v>
          </cell>
          <cell r="B357">
            <v>118</v>
          </cell>
          <cell r="C357" t="str">
            <v>BETHEL METHODIST CHURCH KS</v>
          </cell>
          <cell r="D357" t="str">
            <v>RV0165034</v>
          </cell>
          <cell r="E357" t="str">
            <v>Cash  Deposit</v>
          </cell>
          <cell r="F357" t="str">
            <v>OK</v>
          </cell>
          <cell r="G357">
            <v>100</v>
          </cell>
          <cell r="N357">
            <v>100</v>
          </cell>
        </row>
        <row r="358">
          <cell r="A358">
            <v>42225</v>
          </cell>
          <cell r="B358">
            <v>171</v>
          </cell>
          <cell r="C358" t="str">
            <v>DORA MENSAH</v>
          </cell>
          <cell r="D358" t="str">
            <v>RV0165035</v>
          </cell>
          <cell r="E358" t="str">
            <v>Cash  Deposit</v>
          </cell>
          <cell r="F358" t="str">
            <v>OK</v>
          </cell>
          <cell r="G358">
            <v>40</v>
          </cell>
          <cell r="N358">
            <v>40</v>
          </cell>
        </row>
        <row r="359">
          <cell r="A359">
            <v>42225</v>
          </cell>
          <cell r="B359">
            <v>349</v>
          </cell>
          <cell r="C359" t="str">
            <v>SALOMEY BORTEI</v>
          </cell>
          <cell r="D359" t="str">
            <v>RV0165036</v>
          </cell>
          <cell r="E359" t="str">
            <v>LOAN Repayment / interest</v>
          </cell>
          <cell r="F359" t="str">
            <v>OK</v>
          </cell>
          <cell r="G359">
            <v>117</v>
          </cell>
          <cell r="R359">
            <v>100</v>
          </cell>
          <cell r="AQ359">
            <v>17</v>
          </cell>
        </row>
        <row r="360">
          <cell r="A360">
            <v>42225</v>
          </cell>
          <cell r="B360">
            <v>215</v>
          </cell>
          <cell r="C360" t="str">
            <v>JUSTICE ABRAHAMS</v>
          </cell>
          <cell r="D360" t="str">
            <v>RV0165037</v>
          </cell>
          <cell r="E360" t="str">
            <v>Cash  Deposit</v>
          </cell>
          <cell r="F360" t="str">
            <v>OK</v>
          </cell>
          <cell r="G360">
            <v>200</v>
          </cell>
          <cell r="N360">
            <v>200</v>
          </cell>
        </row>
        <row r="361">
          <cell r="A361">
            <v>42225</v>
          </cell>
          <cell r="B361">
            <v>371</v>
          </cell>
          <cell r="C361" t="str">
            <v>DESMOND ASANTE</v>
          </cell>
          <cell r="D361" t="str">
            <v>RV0165038</v>
          </cell>
          <cell r="E361" t="str">
            <v>Cash  Deposit</v>
          </cell>
          <cell r="F361" t="str">
            <v>OK</v>
          </cell>
          <cell r="G361">
            <v>50</v>
          </cell>
          <cell r="N361">
            <v>50</v>
          </cell>
        </row>
        <row r="362">
          <cell r="A362">
            <v>42225</v>
          </cell>
          <cell r="B362">
            <v>256</v>
          </cell>
          <cell r="C362" t="str">
            <v>CHARLES ANDOH</v>
          </cell>
          <cell r="D362" t="str">
            <v>RV0165039</v>
          </cell>
          <cell r="E362" t="str">
            <v>Cash  Deposit</v>
          </cell>
          <cell r="F362" t="str">
            <v>OK</v>
          </cell>
          <cell r="G362">
            <v>200</v>
          </cell>
          <cell r="N362">
            <v>200</v>
          </cell>
        </row>
        <row r="363">
          <cell r="A363">
            <v>42225</v>
          </cell>
          <cell r="B363">
            <v>132</v>
          </cell>
          <cell r="C363" t="str">
            <v>CHRISTIANA KARKO</v>
          </cell>
          <cell r="D363" t="str">
            <v>PV0474214</v>
          </cell>
          <cell r="E363" t="str">
            <v>Savings  withdrawal</v>
          </cell>
          <cell r="F363" t="str">
            <v>OK</v>
          </cell>
          <cell r="H363">
            <v>500</v>
          </cell>
          <cell r="M363">
            <v>500</v>
          </cell>
        </row>
        <row r="364">
          <cell r="A364">
            <v>42227</v>
          </cell>
          <cell r="B364">
            <v>256</v>
          </cell>
          <cell r="C364" t="str">
            <v>CHARLES ANDOH</v>
          </cell>
          <cell r="D364" t="str">
            <v>PV0474216</v>
          </cell>
          <cell r="E364" t="str">
            <v>Loan Disbursed</v>
          </cell>
          <cell r="F364" t="str">
            <v>OK</v>
          </cell>
          <cell r="J364">
            <v>1000</v>
          </cell>
          <cell r="Q364">
            <v>1000</v>
          </cell>
        </row>
        <row r="365">
          <cell r="A365">
            <v>42226</v>
          </cell>
          <cell r="B365">
            <v>162</v>
          </cell>
          <cell r="C365" t="str">
            <v>EMMANUEL KEELSON(SNR)</v>
          </cell>
          <cell r="D365" t="str">
            <v>RV0165040</v>
          </cell>
          <cell r="E365" t="str">
            <v>Cash  Deposit</v>
          </cell>
          <cell r="F365" t="str">
            <v>OK</v>
          </cell>
          <cell r="G365">
            <v>30.1</v>
          </cell>
          <cell r="N365">
            <v>30.1</v>
          </cell>
        </row>
        <row r="366">
          <cell r="A366">
            <v>42226</v>
          </cell>
          <cell r="B366">
            <v>310</v>
          </cell>
          <cell r="C366" t="str">
            <v>ST.PAUL'S METHODIST CHURCH KAKRBA</v>
          </cell>
          <cell r="D366" t="str">
            <v>RV0165041</v>
          </cell>
          <cell r="E366" t="str">
            <v>Cash  Deposit</v>
          </cell>
          <cell r="F366" t="str">
            <v>OK</v>
          </cell>
          <cell r="G366">
            <v>50</v>
          </cell>
          <cell r="N366">
            <v>50</v>
          </cell>
        </row>
        <row r="367">
          <cell r="A367">
            <v>42226</v>
          </cell>
          <cell r="B367">
            <v>394</v>
          </cell>
          <cell r="C367" t="str">
            <v>JAMES KOUFIE</v>
          </cell>
          <cell r="D367" t="str">
            <v>RV0165042</v>
          </cell>
          <cell r="E367" t="str">
            <v>Cash  Deposit</v>
          </cell>
          <cell r="F367" t="str">
            <v>OK</v>
          </cell>
          <cell r="G367">
            <v>70</v>
          </cell>
          <cell r="N367">
            <v>70</v>
          </cell>
        </row>
        <row r="368">
          <cell r="A368">
            <v>42226</v>
          </cell>
          <cell r="B368">
            <v>365</v>
          </cell>
          <cell r="C368" t="str">
            <v>RACHEAL VISSION WORKERS</v>
          </cell>
          <cell r="D368" t="str">
            <v>RV0165043</v>
          </cell>
          <cell r="E368" t="str">
            <v>Cash  Deposit</v>
          </cell>
          <cell r="F368" t="str">
            <v>OK</v>
          </cell>
          <cell r="G368">
            <v>100</v>
          </cell>
          <cell r="N368">
            <v>100</v>
          </cell>
        </row>
        <row r="369">
          <cell r="A369">
            <v>42226</v>
          </cell>
          <cell r="B369">
            <v>70</v>
          </cell>
          <cell r="C369" t="str">
            <v>SAMUEL A.ANSAH</v>
          </cell>
          <cell r="D369" t="str">
            <v>RV0165044</v>
          </cell>
          <cell r="E369" t="str">
            <v>LOAN Repayment / interest</v>
          </cell>
          <cell r="F369" t="str">
            <v>OK</v>
          </cell>
          <cell r="G369">
            <v>600</v>
          </cell>
          <cell r="R369">
            <v>583</v>
          </cell>
          <cell r="AQ369">
            <v>17</v>
          </cell>
        </row>
        <row r="370">
          <cell r="A370">
            <v>42226</v>
          </cell>
          <cell r="B370">
            <v>368</v>
          </cell>
          <cell r="C370" t="str">
            <v>MAVIS JANKEITEY</v>
          </cell>
          <cell r="D370" t="str">
            <v>PV0474215</v>
          </cell>
          <cell r="E370" t="str">
            <v>Savings  withdrawal</v>
          </cell>
          <cell r="F370" t="str">
            <v>OK</v>
          </cell>
          <cell r="H370">
            <v>250</v>
          </cell>
          <cell r="M370">
            <v>250</v>
          </cell>
        </row>
        <row r="371">
          <cell r="A371">
            <v>42227</v>
          </cell>
          <cell r="B371">
            <v>364</v>
          </cell>
          <cell r="C371" t="str">
            <v>HENRIETTA ADOBEA QUARCOO</v>
          </cell>
          <cell r="D371" t="str">
            <v>PV0474217</v>
          </cell>
          <cell r="E371" t="str">
            <v>Savings  withdrawal</v>
          </cell>
          <cell r="F371" t="str">
            <v>OK</v>
          </cell>
          <cell r="H371">
            <v>500</v>
          </cell>
          <cell r="M371">
            <v>500</v>
          </cell>
        </row>
        <row r="372">
          <cell r="A372">
            <v>42226</v>
          </cell>
          <cell r="B372">
            <v>11201</v>
          </cell>
          <cell r="C372" t="str">
            <v>Bawjiase Area Rural Bank</v>
          </cell>
          <cell r="E372" t="str">
            <v>Cash deposit to bank</v>
          </cell>
          <cell r="F372" t="str">
            <v>OK</v>
          </cell>
          <cell r="H372">
            <v>1800</v>
          </cell>
          <cell r="I372">
            <v>1800</v>
          </cell>
        </row>
        <row r="373">
          <cell r="A373">
            <v>42227</v>
          </cell>
          <cell r="B373">
            <v>397</v>
          </cell>
          <cell r="C373" t="str">
            <v>KENNETH ADU ASAMOAH</v>
          </cell>
          <cell r="D373" t="str">
            <v>PV0474219</v>
          </cell>
          <cell r="E373" t="str">
            <v>Savings  withdrawal</v>
          </cell>
          <cell r="F373" t="str">
            <v>OK</v>
          </cell>
          <cell r="H373">
            <v>500</v>
          </cell>
          <cell r="M373">
            <v>500</v>
          </cell>
        </row>
        <row r="374">
          <cell r="A374">
            <v>42227</v>
          </cell>
          <cell r="B374">
            <v>56310</v>
          </cell>
          <cell r="C374" t="str">
            <v>Postage &amp; Communication</v>
          </cell>
          <cell r="D374" t="str">
            <v>PV0474220</v>
          </cell>
          <cell r="E374" t="str">
            <v>credit for internet modem &amp; call</v>
          </cell>
          <cell r="F374" t="str">
            <v>OK</v>
          </cell>
          <cell r="H374">
            <v>40</v>
          </cell>
        </row>
        <row r="375">
          <cell r="A375">
            <v>42227</v>
          </cell>
          <cell r="B375">
            <v>282</v>
          </cell>
          <cell r="C375" t="str">
            <v>KATE OKYNE</v>
          </cell>
          <cell r="D375" t="str">
            <v>RV0165045</v>
          </cell>
          <cell r="E375" t="str">
            <v>Cash  Deposit</v>
          </cell>
          <cell r="F375" t="str">
            <v>OK</v>
          </cell>
          <cell r="G375">
            <v>40</v>
          </cell>
          <cell r="N375">
            <v>40</v>
          </cell>
        </row>
        <row r="376">
          <cell r="A376">
            <v>42227</v>
          </cell>
          <cell r="B376">
            <v>307</v>
          </cell>
          <cell r="C376" t="str">
            <v>BETHEL METH.CH.CHOIR WELFARE</v>
          </cell>
          <cell r="D376" t="str">
            <v>RV0165046</v>
          </cell>
          <cell r="E376" t="str">
            <v>Cash  Deposit</v>
          </cell>
          <cell r="F376" t="str">
            <v>OK</v>
          </cell>
          <cell r="G376">
            <v>145</v>
          </cell>
          <cell r="N376">
            <v>145</v>
          </cell>
        </row>
        <row r="377">
          <cell r="A377">
            <v>42227</v>
          </cell>
          <cell r="B377">
            <v>365</v>
          </cell>
          <cell r="C377" t="str">
            <v>RACHEAL VISSION WORKERS</v>
          </cell>
          <cell r="D377" t="str">
            <v>RV0165047</v>
          </cell>
          <cell r="E377" t="str">
            <v>Cash  Deposit</v>
          </cell>
          <cell r="F377" t="str">
            <v>OK</v>
          </cell>
          <cell r="G377">
            <v>45</v>
          </cell>
          <cell r="N377">
            <v>45</v>
          </cell>
        </row>
        <row r="378">
          <cell r="A378">
            <v>42227</v>
          </cell>
          <cell r="B378">
            <v>99999</v>
          </cell>
          <cell r="C378" t="str">
            <v>cancelled voucher</v>
          </cell>
          <cell r="D378" t="str">
            <v>RV0165048</v>
          </cell>
          <cell r="F378" t="str">
            <v>OK</v>
          </cell>
        </row>
        <row r="379">
          <cell r="A379">
            <v>42227</v>
          </cell>
          <cell r="B379">
            <v>256</v>
          </cell>
          <cell r="C379" t="str">
            <v>CHARLES ANDOH</v>
          </cell>
          <cell r="D379" t="str">
            <v>RV0165049</v>
          </cell>
          <cell r="E379" t="str">
            <v>Loan processing fees</v>
          </cell>
          <cell r="F379" t="str">
            <v>OK</v>
          </cell>
          <cell r="G379">
            <v>20</v>
          </cell>
        </row>
        <row r="380">
          <cell r="A380">
            <v>42227</v>
          </cell>
          <cell r="B380">
            <v>152</v>
          </cell>
          <cell r="C380" t="str">
            <v>EMMANUEL ARHINFUL</v>
          </cell>
          <cell r="D380" t="str">
            <v>RV0165050</v>
          </cell>
          <cell r="E380" t="str">
            <v>Loan Repayment / Deposit</v>
          </cell>
          <cell r="F380" t="str">
            <v>OK</v>
          </cell>
          <cell r="G380">
            <v>300</v>
          </cell>
          <cell r="N380">
            <v>8</v>
          </cell>
          <cell r="R380">
            <v>250</v>
          </cell>
          <cell r="AQ380">
            <v>42</v>
          </cell>
        </row>
        <row r="381">
          <cell r="A381">
            <v>42227</v>
          </cell>
          <cell r="B381">
            <v>394</v>
          </cell>
          <cell r="C381" t="str">
            <v>JAMES KOUFIE</v>
          </cell>
          <cell r="D381" t="str">
            <v>RV0165051</v>
          </cell>
          <cell r="E381" t="str">
            <v>Cash  Deposit</v>
          </cell>
          <cell r="F381" t="str">
            <v>OK</v>
          </cell>
          <cell r="G381">
            <v>20</v>
          </cell>
          <cell r="N381">
            <v>20</v>
          </cell>
        </row>
        <row r="382">
          <cell r="A382">
            <v>42227</v>
          </cell>
          <cell r="B382">
            <v>231</v>
          </cell>
          <cell r="C382" t="str">
            <v>EMMANUEL DANSO</v>
          </cell>
          <cell r="D382" t="str">
            <v>RV0165052</v>
          </cell>
          <cell r="E382" t="str">
            <v>Loan Repayment / Deposit</v>
          </cell>
          <cell r="F382" t="str">
            <v>OK</v>
          </cell>
          <cell r="G382">
            <v>70</v>
          </cell>
          <cell r="I382">
            <v>700</v>
          </cell>
          <cell r="N382">
            <v>71</v>
          </cell>
          <cell r="R382">
            <v>600</v>
          </cell>
          <cell r="AQ382">
            <v>99</v>
          </cell>
        </row>
        <row r="383">
          <cell r="A383">
            <v>42228</v>
          </cell>
          <cell r="B383">
            <v>268</v>
          </cell>
          <cell r="C383" t="str">
            <v>BRO.NYARKO AND SAM'S CLASS</v>
          </cell>
          <cell r="D383" t="str">
            <v>RV0165053</v>
          </cell>
          <cell r="E383" t="str">
            <v>Cash  Deposit</v>
          </cell>
          <cell r="F383" t="str">
            <v>OK</v>
          </cell>
          <cell r="G383">
            <v>34</v>
          </cell>
          <cell r="N383">
            <v>34</v>
          </cell>
        </row>
        <row r="384">
          <cell r="A384">
            <v>42228</v>
          </cell>
          <cell r="B384">
            <v>136</v>
          </cell>
          <cell r="C384" t="str">
            <v>LETICIA ARHIN</v>
          </cell>
          <cell r="D384" t="str">
            <v>RV0165054</v>
          </cell>
          <cell r="E384" t="str">
            <v>LOAN Repayment / interest</v>
          </cell>
          <cell r="F384" t="str">
            <v>OK</v>
          </cell>
          <cell r="G384">
            <v>700</v>
          </cell>
          <cell r="R384">
            <v>601</v>
          </cell>
          <cell r="AQ384">
            <v>99</v>
          </cell>
        </row>
        <row r="385">
          <cell r="A385">
            <v>42228</v>
          </cell>
          <cell r="B385">
            <v>301</v>
          </cell>
          <cell r="C385" t="str">
            <v>ELIZABETH QUAYE</v>
          </cell>
          <cell r="D385" t="str">
            <v>RV0165055</v>
          </cell>
          <cell r="E385" t="str">
            <v>LOAN Repayment / interest</v>
          </cell>
          <cell r="F385" t="str">
            <v>OK</v>
          </cell>
          <cell r="G385">
            <v>45</v>
          </cell>
          <cell r="R385">
            <v>38.75</v>
          </cell>
          <cell r="AQ385">
            <v>6.25</v>
          </cell>
        </row>
        <row r="386">
          <cell r="A386">
            <v>42228</v>
          </cell>
          <cell r="B386">
            <v>339</v>
          </cell>
          <cell r="C386" t="str">
            <v>FRANKLINA ESSEL</v>
          </cell>
          <cell r="D386" t="str">
            <v>RV0165056</v>
          </cell>
          <cell r="E386" t="str">
            <v>Loan repayment /processing fees</v>
          </cell>
          <cell r="F386" t="str">
            <v>OK</v>
          </cell>
          <cell r="G386">
            <v>70.5</v>
          </cell>
          <cell r="R386">
            <v>50</v>
          </cell>
          <cell r="AQ386">
            <v>8.5</v>
          </cell>
        </row>
        <row r="387">
          <cell r="A387">
            <v>42228</v>
          </cell>
          <cell r="B387">
            <v>268</v>
          </cell>
          <cell r="C387" t="str">
            <v>BRO.NYARKO AND SAM'S CLASS</v>
          </cell>
          <cell r="D387" t="str">
            <v>PV0474221</v>
          </cell>
          <cell r="E387" t="str">
            <v>Savings  withdrawal</v>
          </cell>
          <cell r="F387" t="str">
            <v>OK</v>
          </cell>
          <cell r="J387">
            <v>1200</v>
          </cell>
          <cell r="M387">
            <v>1200</v>
          </cell>
        </row>
        <row r="388">
          <cell r="A388">
            <v>42228</v>
          </cell>
          <cell r="B388">
            <v>56400</v>
          </cell>
          <cell r="C388" t="str">
            <v>Travel &amp; Transport (T &amp; T)</v>
          </cell>
          <cell r="D388" t="str">
            <v>PV0474222</v>
          </cell>
          <cell r="E388" t="str">
            <v>t&amp;t to Bank(28/7/2015)</v>
          </cell>
          <cell r="F388" t="str">
            <v>OK</v>
          </cell>
          <cell r="H388">
            <v>7</v>
          </cell>
        </row>
        <row r="389">
          <cell r="A389">
            <v>42228</v>
          </cell>
          <cell r="B389">
            <v>365</v>
          </cell>
          <cell r="C389" t="str">
            <v>RACHEAL VISSION WORKERS</v>
          </cell>
          <cell r="D389" t="str">
            <v>PV0474225</v>
          </cell>
          <cell r="E389" t="str">
            <v>Savings  withdrawal</v>
          </cell>
          <cell r="F389" t="str">
            <v>OK</v>
          </cell>
          <cell r="H389">
            <v>500</v>
          </cell>
          <cell r="M389">
            <v>500</v>
          </cell>
        </row>
        <row r="390">
          <cell r="A390">
            <v>42228</v>
          </cell>
          <cell r="B390">
            <v>339</v>
          </cell>
          <cell r="C390" t="str">
            <v>FRANKLINA ESSEL</v>
          </cell>
          <cell r="D390" t="str">
            <v>PV0474226</v>
          </cell>
          <cell r="E390" t="str">
            <v>Loan Disbursed</v>
          </cell>
          <cell r="F390" t="str">
            <v>OK</v>
          </cell>
          <cell r="H390">
            <v>600</v>
          </cell>
          <cell r="Q390">
            <v>600</v>
          </cell>
        </row>
        <row r="391">
          <cell r="A391">
            <v>42222</v>
          </cell>
          <cell r="B391">
            <v>54300</v>
          </cell>
          <cell r="C391" t="str">
            <v>BoD and Committee expenses</v>
          </cell>
          <cell r="D391" t="str">
            <v>PV0474227</v>
          </cell>
          <cell r="E391" t="str">
            <v>Quarterly sitting allowance fot the Board members</v>
          </cell>
          <cell r="F391" t="str">
            <v>OK</v>
          </cell>
          <cell r="J391">
            <v>500</v>
          </cell>
        </row>
        <row r="392">
          <cell r="A392">
            <v>42229</v>
          </cell>
          <cell r="B392">
            <v>394</v>
          </cell>
          <cell r="C392" t="str">
            <v>JAMES KOUFIE</v>
          </cell>
          <cell r="D392" t="str">
            <v>PV0474228</v>
          </cell>
          <cell r="E392" t="str">
            <v>Savings  withdrawal</v>
          </cell>
          <cell r="F392" t="str">
            <v>OK</v>
          </cell>
          <cell r="H392">
            <v>220</v>
          </cell>
          <cell r="M392">
            <v>220</v>
          </cell>
        </row>
        <row r="393">
          <cell r="A393">
            <v>42229</v>
          </cell>
          <cell r="B393">
            <v>85</v>
          </cell>
          <cell r="C393" t="str">
            <v>GOOD SHEPHERD METH CH.</v>
          </cell>
          <cell r="D393" t="str">
            <v>PV0474229</v>
          </cell>
          <cell r="E393" t="str">
            <v>Savings  withdrawal</v>
          </cell>
          <cell r="F393" t="str">
            <v>OK</v>
          </cell>
          <cell r="J393">
            <v>5000</v>
          </cell>
          <cell r="M393">
            <v>5000</v>
          </cell>
        </row>
        <row r="394">
          <cell r="A394">
            <v>42229</v>
          </cell>
          <cell r="B394">
            <v>300</v>
          </cell>
          <cell r="C394" t="str">
            <v>CIRCUIT WOMEN'S FELLOWSHIP METH.</v>
          </cell>
          <cell r="D394" t="str">
            <v>PV0474230</v>
          </cell>
          <cell r="E394" t="str">
            <v>Savings  withdrawal</v>
          </cell>
          <cell r="F394" t="str">
            <v>OK</v>
          </cell>
          <cell r="J394">
            <v>500</v>
          </cell>
          <cell r="M394">
            <v>500</v>
          </cell>
        </row>
        <row r="395">
          <cell r="A395">
            <v>42226</v>
          </cell>
          <cell r="B395">
            <v>257</v>
          </cell>
          <cell r="C395" t="str">
            <v>FRANKLIN KWESI ANDREWS</v>
          </cell>
          <cell r="D395" t="str">
            <v>PV0474231</v>
          </cell>
          <cell r="E395" t="str">
            <v>Loan Disbursed</v>
          </cell>
          <cell r="F395" t="str">
            <v>OK</v>
          </cell>
          <cell r="J395">
            <v>20000</v>
          </cell>
          <cell r="Q395">
            <v>20000</v>
          </cell>
        </row>
        <row r="396">
          <cell r="A396">
            <v>42229</v>
          </cell>
          <cell r="B396">
            <v>353</v>
          </cell>
          <cell r="C396" t="str">
            <v>GIFTY ANNAN</v>
          </cell>
          <cell r="D396" t="str">
            <v>PV0474232</v>
          </cell>
          <cell r="E396" t="str">
            <v>Savings  withdrawal</v>
          </cell>
          <cell r="F396" t="str">
            <v>OK</v>
          </cell>
          <cell r="H396">
            <v>100</v>
          </cell>
          <cell r="M396">
            <v>100</v>
          </cell>
        </row>
        <row r="397">
          <cell r="A397">
            <v>42230</v>
          </cell>
          <cell r="B397">
            <v>338</v>
          </cell>
          <cell r="C397" t="str">
            <v>AGARTHA BOTCHWAY</v>
          </cell>
          <cell r="D397" t="str">
            <v>RV0165057</v>
          </cell>
          <cell r="E397" t="str">
            <v>Cash  Deposit</v>
          </cell>
          <cell r="F397" t="str">
            <v>OK</v>
          </cell>
          <cell r="G397">
            <v>10</v>
          </cell>
          <cell r="N397">
            <v>10</v>
          </cell>
        </row>
        <row r="398">
          <cell r="A398">
            <v>42230</v>
          </cell>
          <cell r="B398">
            <v>56420</v>
          </cell>
          <cell r="C398" t="str">
            <v>Travel &amp; Transport (incl. Motor, Fuel and Taxi fare expenses)</v>
          </cell>
          <cell r="D398" t="str">
            <v>PV0474233</v>
          </cell>
          <cell r="E398" t="str">
            <v>t&amp;t to bank</v>
          </cell>
          <cell r="F398" t="str">
            <v>OK</v>
          </cell>
          <cell r="H398">
            <v>10</v>
          </cell>
        </row>
        <row r="399">
          <cell r="A399">
            <v>42233</v>
          </cell>
          <cell r="B399">
            <v>341</v>
          </cell>
          <cell r="C399" t="str">
            <v>REBECCA ESSILFUA ARTHUR</v>
          </cell>
          <cell r="D399" t="str">
            <v>pv0474234</v>
          </cell>
          <cell r="E399" t="str">
            <v>Savings  withdrawal</v>
          </cell>
          <cell r="F399" t="str">
            <v>OK</v>
          </cell>
          <cell r="J399">
            <v>500</v>
          </cell>
          <cell r="M399">
            <v>500</v>
          </cell>
        </row>
        <row r="400">
          <cell r="A400">
            <v>42233</v>
          </cell>
          <cell r="B400">
            <v>56420</v>
          </cell>
          <cell r="C400" t="str">
            <v>Travel &amp; Transport (incl. Motor, Fuel and Taxi fare expenses)</v>
          </cell>
          <cell r="D400" t="str">
            <v>PV0474235</v>
          </cell>
          <cell r="E400" t="str">
            <v>T&amp;t to bank</v>
          </cell>
          <cell r="F400" t="str">
            <v>OK</v>
          </cell>
          <cell r="H400">
            <v>10</v>
          </cell>
        </row>
        <row r="401">
          <cell r="A401">
            <v>42233</v>
          </cell>
          <cell r="B401">
            <v>56310</v>
          </cell>
          <cell r="C401" t="str">
            <v>Postage &amp; Communication</v>
          </cell>
          <cell r="D401" t="str">
            <v>PV0474236</v>
          </cell>
          <cell r="E401" t="str">
            <v>credit for internet modem</v>
          </cell>
          <cell r="F401" t="str">
            <v>OK</v>
          </cell>
          <cell r="H401">
            <v>10</v>
          </cell>
        </row>
        <row r="402">
          <cell r="A402">
            <v>42233</v>
          </cell>
          <cell r="B402">
            <v>56900</v>
          </cell>
          <cell r="C402" t="str">
            <v>Office Expenses</v>
          </cell>
          <cell r="D402" t="str">
            <v>PV0474237</v>
          </cell>
          <cell r="E402" t="str">
            <v>Water for the office</v>
          </cell>
          <cell r="F402" t="str">
            <v>OK</v>
          </cell>
          <cell r="H402">
            <v>3</v>
          </cell>
        </row>
        <row r="403">
          <cell r="A403">
            <v>42233</v>
          </cell>
          <cell r="B403">
            <v>365</v>
          </cell>
          <cell r="C403" t="str">
            <v>RACHEAL VISSION WORKERS</v>
          </cell>
          <cell r="D403" t="str">
            <v>PV0474238</v>
          </cell>
          <cell r="E403" t="str">
            <v>Savings  withdrawal</v>
          </cell>
          <cell r="F403" t="str">
            <v>OK</v>
          </cell>
          <cell r="H403">
            <v>300</v>
          </cell>
          <cell r="M403">
            <v>300</v>
          </cell>
        </row>
        <row r="404">
          <cell r="A404">
            <v>42233</v>
          </cell>
          <cell r="B404">
            <v>231</v>
          </cell>
          <cell r="C404" t="str">
            <v>EMMANUEL DANSO</v>
          </cell>
          <cell r="D404" t="str">
            <v>RV0165058</v>
          </cell>
          <cell r="E404" t="str">
            <v>Cash  Deposit</v>
          </cell>
          <cell r="F404" t="str">
            <v>OK</v>
          </cell>
          <cell r="G404">
            <v>65</v>
          </cell>
          <cell r="N404">
            <v>65</v>
          </cell>
        </row>
        <row r="405">
          <cell r="A405">
            <v>42233</v>
          </cell>
          <cell r="B405">
            <v>310</v>
          </cell>
          <cell r="C405" t="str">
            <v>ST.PAUL'S METHODIST CHURCH KAKRBA</v>
          </cell>
          <cell r="D405" t="str">
            <v>RV0176601</v>
          </cell>
          <cell r="E405" t="str">
            <v>Cash  Deposit</v>
          </cell>
          <cell r="F405" t="str">
            <v>OK</v>
          </cell>
          <cell r="G405">
            <v>100</v>
          </cell>
          <cell r="N405">
            <v>100</v>
          </cell>
        </row>
        <row r="406">
          <cell r="A406">
            <v>42233</v>
          </cell>
          <cell r="B406">
            <v>183</v>
          </cell>
          <cell r="C406" t="str">
            <v>REV.DANIEL PERCY OMANANO</v>
          </cell>
          <cell r="D406" t="str">
            <v>RV0176602</v>
          </cell>
          <cell r="E406" t="str">
            <v>Loan repayment</v>
          </cell>
          <cell r="F406" t="str">
            <v>OK</v>
          </cell>
          <cell r="G406">
            <v>250</v>
          </cell>
          <cell r="R406">
            <v>250</v>
          </cell>
        </row>
        <row r="407">
          <cell r="A407">
            <v>42234</v>
          </cell>
          <cell r="B407">
            <v>33</v>
          </cell>
          <cell r="C407" t="str">
            <v>NANA KOJO QUANSAH</v>
          </cell>
          <cell r="D407" t="str">
            <v>PV0474239</v>
          </cell>
          <cell r="E407" t="str">
            <v>Savings  withdrawal</v>
          </cell>
          <cell r="F407" t="str">
            <v>OK</v>
          </cell>
          <cell r="J407">
            <v>2500</v>
          </cell>
          <cell r="M407">
            <v>2500</v>
          </cell>
        </row>
        <row r="408">
          <cell r="A408">
            <v>42234</v>
          </cell>
          <cell r="B408">
            <v>56900</v>
          </cell>
          <cell r="C408" t="str">
            <v>Office Expenses</v>
          </cell>
          <cell r="D408" t="str">
            <v>PV0474240</v>
          </cell>
          <cell r="E408" t="str">
            <v>Provissions for the office</v>
          </cell>
          <cell r="F408" t="str">
            <v>OK</v>
          </cell>
          <cell r="H408">
            <v>50</v>
          </cell>
        </row>
        <row r="409">
          <cell r="A409">
            <v>42234</v>
          </cell>
          <cell r="B409">
            <v>56420</v>
          </cell>
          <cell r="C409" t="str">
            <v>Travel &amp; Transport (incl. Motor, Fuel and Taxi fare expenses)</v>
          </cell>
          <cell r="D409" t="str">
            <v>PV0474241</v>
          </cell>
          <cell r="E409" t="str">
            <v>t&amp;t to bank</v>
          </cell>
          <cell r="F409" t="str">
            <v>OK</v>
          </cell>
          <cell r="H409">
            <v>10</v>
          </cell>
        </row>
        <row r="410">
          <cell r="A410">
            <v>42234</v>
          </cell>
          <cell r="B410">
            <v>11110</v>
          </cell>
          <cell r="C410" t="str">
            <v xml:space="preserve">Cash on Hand  </v>
          </cell>
          <cell r="D410" t="str">
            <v>RV0165059</v>
          </cell>
          <cell r="E410" t="str">
            <v>cash withdrawal from bank for office use</v>
          </cell>
          <cell r="F410" t="str">
            <v>OK</v>
          </cell>
          <cell r="G410">
            <v>1000</v>
          </cell>
          <cell r="J410">
            <v>1000</v>
          </cell>
        </row>
        <row r="411">
          <cell r="A411">
            <v>42234</v>
          </cell>
          <cell r="B411">
            <v>99999</v>
          </cell>
          <cell r="C411" t="str">
            <v>cancelled voucher</v>
          </cell>
          <cell r="D411" t="str">
            <v>RV0165060</v>
          </cell>
          <cell r="F411" t="str">
            <v>OK</v>
          </cell>
        </row>
        <row r="412">
          <cell r="A412">
            <v>42234</v>
          </cell>
          <cell r="B412">
            <v>348</v>
          </cell>
          <cell r="C412" t="str">
            <v>CHRISTABEL ABAKUA PRAH</v>
          </cell>
          <cell r="D412" t="str">
            <v>RV0165061</v>
          </cell>
          <cell r="E412" t="str">
            <v>Cash  Deposit</v>
          </cell>
          <cell r="F412" t="str">
            <v>OK</v>
          </cell>
          <cell r="G412">
            <v>250</v>
          </cell>
          <cell r="N412">
            <v>250</v>
          </cell>
        </row>
        <row r="413">
          <cell r="A413">
            <v>42234</v>
          </cell>
          <cell r="B413">
            <v>394</v>
          </cell>
          <cell r="C413" t="str">
            <v>JAMES KOUFIE</v>
          </cell>
          <cell r="D413" t="str">
            <v>RV0165062</v>
          </cell>
          <cell r="E413" t="str">
            <v>Cash  Deposit</v>
          </cell>
          <cell r="F413" t="str">
            <v>OK</v>
          </cell>
          <cell r="G413">
            <v>50</v>
          </cell>
          <cell r="N413">
            <v>50</v>
          </cell>
        </row>
        <row r="414">
          <cell r="A414">
            <v>42235</v>
          </cell>
          <cell r="B414">
            <v>163</v>
          </cell>
          <cell r="C414" t="str">
            <v>EMMANUEL KEELSON(JNR)</v>
          </cell>
          <cell r="D414" t="str">
            <v>RV0165063</v>
          </cell>
          <cell r="E414" t="str">
            <v>Cash  Deposit</v>
          </cell>
          <cell r="F414" t="str">
            <v>OK</v>
          </cell>
          <cell r="G414">
            <v>300</v>
          </cell>
          <cell r="N414">
            <v>300</v>
          </cell>
        </row>
        <row r="415">
          <cell r="A415">
            <v>42235</v>
          </cell>
          <cell r="B415">
            <v>375</v>
          </cell>
          <cell r="C415" t="str">
            <v>SUWMA BETHEL SOCIETY</v>
          </cell>
          <cell r="D415" t="str">
            <v>RV0165064</v>
          </cell>
          <cell r="E415" t="str">
            <v>Cash  Deposit</v>
          </cell>
          <cell r="F415" t="str">
            <v>OK</v>
          </cell>
          <cell r="G415">
            <v>369.75</v>
          </cell>
          <cell r="N415">
            <v>369.75</v>
          </cell>
        </row>
        <row r="416">
          <cell r="A416">
            <v>42235</v>
          </cell>
          <cell r="B416">
            <v>56900</v>
          </cell>
          <cell r="C416" t="str">
            <v>Office Expenses</v>
          </cell>
          <cell r="D416" t="str">
            <v>PV0474242</v>
          </cell>
          <cell r="E416" t="str">
            <v>purchase of ECG prepaid unit</v>
          </cell>
          <cell r="F416" t="str">
            <v>OK</v>
          </cell>
          <cell r="H416">
            <v>50</v>
          </cell>
        </row>
        <row r="417">
          <cell r="A417">
            <v>42235</v>
          </cell>
          <cell r="B417">
            <v>56420</v>
          </cell>
          <cell r="C417" t="str">
            <v>Travel &amp; Transport (incl. Motor, Fuel and Taxi fare expenses)</v>
          </cell>
          <cell r="D417" t="str">
            <v>PV0474243</v>
          </cell>
          <cell r="E417" t="str">
            <v>T&amp;t to ECG</v>
          </cell>
          <cell r="F417" t="str">
            <v>OK</v>
          </cell>
          <cell r="H417">
            <v>2</v>
          </cell>
        </row>
        <row r="418">
          <cell r="A418">
            <v>42222</v>
          </cell>
          <cell r="B418">
            <v>56420</v>
          </cell>
          <cell r="C418" t="str">
            <v>Travel &amp; Transport (incl. Motor, Fuel and Taxi fare expenses)</v>
          </cell>
          <cell r="D418" t="str">
            <v>PV0474244</v>
          </cell>
          <cell r="E418" t="str">
            <v>t&amp;t to bank</v>
          </cell>
          <cell r="F418" t="str">
            <v>OK</v>
          </cell>
          <cell r="H418">
            <v>10</v>
          </cell>
        </row>
        <row r="419">
          <cell r="A419">
            <v>42222</v>
          </cell>
          <cell r="B419">
            <v>56900</v>
          </cell>
          <cell r="C419" t="str">
            <v>Office Expenses</v>
          </cell>
          <cell r="D419" t="str">
            <v>PV0474245</v>
          </cell>
          <cell r="E419" t="str">
            <v>Water for the office</v>
          </cell>
          <cell r="F419" t="str">
            <v>OK</v>
          </cell>
          <cell r="H419">
            <v>3</v>
          </cell>
        </row>
        <row r="420">
          <cell r="A420">
            <v>42222</v>
          </cell>
          <cell r="B420">
            <v>56200</v>
          </cell>
          <cell r="C420" t="str">
            <v>Printing &amp; Stationery</v>
          </cell>
          <cell r="D420" t="str">
            <v>PV0474246</v>
          </cell>
          <cell r="E420" t="str">
            <v>cost of photocopies</v>
          </cell>
          <cell r="F420" t="str">
            <v>OK</v>
          </cell>
          <cell r="H420">
            <v>4.5</v>
          </cell>
        </row>
        <row r="421">
          <cell r="A421">
            <v>42236</v>
          </cell>
          <cell r="B421">
            <v>54300</v>
          </cell>
          <cell r="C421" t="str">
            <v>BoD and Committee expenses</v>
          </cell>
          <cell r="D421" t="str">
            <v>PV0474247</v>
          </cell>
          <cell r="E421" t="str">
            <v>sitting allowance paid to loans chairman</v>
          </cell>
          <cell r="F421" t="str">
            <v>OK</v>
          </cell>
          <cell r="H421">
            <v>50</v>
          </cell>
        </row>
        <row r="422">
          <cell r="A422">
            <v>42236</v>
          </cell>
          <cell r="B422">
            <v>46</v>
          </cell>
          <cell r="C422" t="str">
            <v>RICHARD GHANSON</v>
          </cell>
          <cell r="D422" t="str">
            <v>RV0165065</v>
          </cell>
          <cell r="E422" t="str">
            <v>Loan Repayment / Deposit</v>
          </cell>
          <cell r="F422" t="str">
            <v>OK</v>
          </cell>
          <cell r="G422">
            <v>600</v>
          </cell>
          <cell r="N422">
            <v>17</v>
          </cell>
          <cell r="R422">
            <v>500</v>
          </cell>
          <cell r="AQ422">
            <v>83</v>
          </cell>
        </row>
        <row r="423">
          <cell r="A423">
            <v>42236</v>
          </cell>
          <cell r="B423">
            <v>226</v>
          </cell>
          <cell r="C423" t="str">
            <v>JONATHAN AMPONSAH</v>
          </cell>
          <cell r="D423" t="str">
            <v>RV0165066</v>
          </cell>
          <cell r="E423" t="str">
            <v>Cash  Deposit</v>
          </cell>
          <cell r="F423" t="str">
            <v>OK</v>
          </cell>
          <cell r="G423">
            <v>1000</v>
          </cell>
          <cell r="N423">
            <v>1000</v>
          </cell>
        </row>
        <row r="424">
          <cell r="A424">
            <v>42236</v>
          </cell>
          <cell r="B424">
            <v>394</v>
          </cell>
          <cell r="C424" t="str">
            <v>JAMES KOUFIE</v>
          </cell>
          <cell r="D424" t="str">
            <v>RV0165067</v>
          </cell>
          <cell r="E424" t="str">
            <v>Cash  Deposit</v>
          </cell>
          <cell r="F424" t="str">
            <v>OK</v>
          </cell>
          <cell r="G424">
            <v>40</v>
          </cell>
          <cell r="N424">
            <v>40</v>
          </cell>
        </row>
        <row r="425">
          <cell r="A425">
            <v>42236</v>
          </cell>
          <cell r="B425">
            <v>56310</v>
          </cell>
          <cell r="C425" t="str">
            <v>Postage &amp; Communication</v>
          </cell>
          <cell r="D425" t="str">
            <v>PV0474248</v>
          </cell>
          <cell r="E425" t="str">
            <v>purchase of call credit</v>
          </cell>
          <cell r="F425" t="str">
            <v>OK</v>
          </cell>
          <cell r="H425">
            <v>40</v>
          </cell>
        </row>
        <row r="426">
          <cell r="A426">
            <v>42236</v>
          </cell>
          <cell r="B426">
            <v>35</v>
          </cell>
          <cell r="C426" t="str">
            <v>MICHEAL PADDY MENDS</v>
          </cell>
          <cell r="D426" t="str">
            <v>RV0165068</v>
          </cell>
          <cell r="E426" t="str">
            <v>Loan Repayment / Deposit</v>
          </cell>
          <cell r="F426" t="str">
            <v>OK</v>
          </cell>
          <cell r="G426">
            <v>90</v>
          </cell>
          <cell r="N426">
            <v>20</v>
          </cell>
          <cell r="R426">
            <v>60</v>
          </cell>
          <cell r="AQ426">
            <v>10</v>
          </cell>
        </row>
        <row r="427">
          <cell r="A427">
            <v>42236</v>
          </cell>
          <cell r="B427">
            <v>215</v>
          </cell>
          <cell r="C427" t="str">
            <v>JUSTICE ABRAHAMS</v>
          </cell>
          <cell r="D427" t="str">
            <v>RV0165069</v>
          </cell>
          <cell r="E427" t="str">
            <v>Loan Repayment / Deposit</v>
          </cell>
          <cell r="F427" t="str">
            <v>OK</v>
          </cell>
          <cell r="I427">
            <v>1800</v>
          </cell>
          <cell r="N427">
            <v>90</v>
          </cell>
          <cell r="R427">
            <v>1300</v>
          </cell>
          <cell r="AQ427">
            <v>410</v>
          </cell>
        </row>
        <row r="428">
          <cell r="A428">
            <v>42236</v>
          </cell>
          <cell r="B428">
            <v>11201</v>
          </cell>
          <cell r="C428" t="str">
            <v>Bawjiase Area Rural Bank</v>
          </cell>
          <cell r="E428" t="str">
            <v>Cash deposit to bank</v>
          </cell>
          <cell r="F428" t="str">
            <v>OK</v>
          </cell>
          <cell r="H428">
            <v>2500</v>
          </cell>
          <cell r="I428">
            <v>2500</v>
          </cell>
        </row>
        <row r="429">
          <cell r="A429">
            <v>42236</v>
          </cell>
          <cell r="B429">
            <v>56420</v>
          </cell>
          <cell r="C429" t="str">
            <v>Travel &amp; Transport (incl. Motor, Fuel and Taxi fare expenses)</v>
          </cell>
          <cell r="D429" t="str">
            <v>PV0474249</v>
          </cell>
          <cell r="E429" t="str">
            <v>T&amp;T to bank</v>
          </cell>
          <cell r="F429" t="str">
            <v>OK</v>
          </cell>
          <cell r="H429">
            <v>10</v>
          </cell>
        </row>
        <row r="430">
          <cell r="A430">
            <v>42224</v>
          </cell>
          <cell r="B430">
            <v>11201</v>
          </cell>
          <cell r="C430" t="str">
            <v>Bawjiase Area Rural Bank</v>
          </cell>
          <cell r="F430" t="str">
            <v>OK</v>
          </cell>
        </row>
        <row r="431">
          <cell r="A431">
            <v>42237</v>
          </cell>
          <cell r="B431">
            <v>394</v>
          </cell>
          <cell r="C431" t="str">
            <v>JAMES KOUFIE</v>
          </cell>
          <cell r="D431" t="str">
            <v>RV0165070</v>
          </cell>
          <cell r="E431" t="str">
            <v>Cash  Deposit</v>
          </cell>
          <cell r="F431" t="str">
            <v>OK</v>
          </cell>
          <cell r="G431">
            <v>20</v>
          </cell>
          <cell r="N431">
            <v>20</v>
          </cell>
        </row>
        <row r="432">
          <cell r="A432">
            <v>42237</v>
          </cell>
          <cell r="B432">
            <v>348</v>
          </cell>
          <cell r="C432" t="str">
            <v>CHRISTABEL ABAKUA PRAH</v>
          </cell>
          <cell r="D432" t="str">
            <v>RV0165071</v>
          </cell>
          <cell r="E432" t="str">
            <v>Cash  Deposit</v>
          </cell>
          <cell r="F432" t="str">
            <v>OK</v>
          </cell>
          <cell r="G432">
            <v>200</v>
          </cell>
          <cell r="N432">
            <v>200</v>
          </cell>
        </row>
        <row r="433">
          <cell r="A433">
            <v>42237</v>
          </cell>
          <cell r="B433">
            <v>226</v>
          </cell>
          <cell r="C433" t="str">
            <v>JONATHAN AMPONSAH</v>
          </cell>
          <cell r="D433" t="str">
            <v>RV0165072</v>
          </cell>
          <cell r="E433" t="str">
            <v>Cash  Deposit</v>
          </cell>
          <cell r="F433" t="str">
            <v>OK</v>
          </cell>
          <cell r="G433">
            <v>1200</v>
          </cell>
          <cell r="N433">
            <v>1200</v>
          </cell>
        </row>
        <row r="434">
          <cell r="A434">
            <v>42237</v>
          </cell>
          <cell r="B434">
            <v>56900</v>
          </cell>
          <cell r="C434" t="str">
            <v>Office Expenses</v>
          </cell>
          <cell r="D434" t="str">
            <v>PV0474250</v>
          </cell>
          <cell r="E434" t="str">
            <v>Water for the office</v>
          </cell>
          <cell r="F434" t="str">
            <v>OK</v>
          </cell>
          <cell r="H434">
            <v>3</v>
          </cell>
        </row>
        <row r="435">
          <cell r="A435">
            <v>42237</v>
          </cell>
          <cell r="B435">
            <v>202</v>
          </cell>
          <cell r="C435" t="str">
            <v>COMFORT KOTTAH</v>
          </cell>
          <cell r="D435" t="str">
            <v>PV0474251</v>
          </cell>
          <cell r="E435" t="str">
            <v>Savings  withdrawal</v>
          </cell>
          <cell r="F435" t="str">
            <v>OK</v>
          </cell>
          <cell r="H435">
            <v>300</v>
          </cell>
          <cell r="M435">
            <v>300</v>
          </cell>
        </row>
        <row r="436">
          <cell r="A436">
            <v>42237</v>
          </cell>
          <cell r="B436">
            <v>394</v>
          </cell>
          <cell r="C436" t="str">
            <v>JAMES KOUFIE</v>
          </cell>
          <cell r="D436" t="str">
            <v>PV0474252</v>
          </cell>
          <cell r="E436" t="str">
            <v>Savings  withdrawal</v>
          </cell>
          <cell r="F436" t="str">
            <v>OK</v>
          </cell>
          <cell r="H436">
            <v>130</v>
          </cell>
          <cell r="M436">
            <v>130</v>
          </cell>
        </row>
        <row r="437">
          <cell r="A437">
            <v>42237</v>
          </cell>
          <cell r="B437">
            <v>307</v>
          </cell>
          <cell r="C437" t="str">
            <v>BETHEL METH.CH.CHOIR WELFARE</v>
          </cell>
          <cell r="D437" t="str">
            <v>PV0474253</v>
          </cell>
          <cell r="E437" t="str">
            <v>Savings  withdrawal</v>
          </cell>
          <cell r="F437" t="str">
            <v>OK</v>
          </cell>
          <cell r="H437">
            <v>400</v>
          </cell>
          <cell r="M437">
            <v>400</v>
          </cell>
        </row>
        <row r="438">
          <cell r="A438">
            <v>42237</v>
          </cell>
          <cell r="B438">
            <v>54330</v>
          </cell>
          <cell r="C438" t="str">
            <v>Travel and Transport expenses for BoD and Committee executives</v>
          </cell>
          <cell r="D438" t="str">
            <v>PV0474254</v>
          </cell>
          <cell r="E438" t="str">
            <v>Cost of fuel to loan defaulters</v>
          </cell>
          <cell r="F438" t="str">
            <v>OK</v>
          </cell>
          <cell r="H438">
            <v>50</v>
          </cell>
        </row>
        <row r="439">
          <cell r="A439">
            <v>42237</v>
          </cell>
          <cell r="B439">
            <v>56420</v>
          </cell>
          <cell r="C439" t="str">
            <v>Travel &amp; Transport (incl. Motor, Fuel and Taxi fare expenses)</v>
          </cell>
          <cell r="D439" t="str">
            <v>PV0474255</v>
          </cell>
          <cell r="E439" t="str">
            <v>T&amp;T to bank</v>
          </cell>
          <cell r="F439" t="str">
            <v>OK</v>
          </cell>
          <cell r="H439">
            <v>10</v>
          </cell>
        </row>
        <row r="440">
          <cell r="A440">
            <v>42237</v>
          </cell>
          <cell r="B440">
            <v>11201</v>
          </cell>
          <cell r="C440" t="str">
            <v>Bawjiase Area Rural Bank</v>
          </cell>
          <cell r="E440" t="str">
            <v>Cash deposit to bank</v>
          </cell>
          <cell r="F440" t="str">
            <v>OK</v>
          </cell>
          <cell r="H440">
            <v>1000</v>
          </cell>
          <cell r="I440">
            <v>1000</v>
          </cell>
        </row>
        <row r="441">
          <cell r="A441">
            <v>42239</v>
          </cell>
          <cell r="B441">
            <v>52</v>
          </cell>
          <cell r="C441" t="str">
            <v>FLORENCE DONKOR</v>
          </cell>
          <cell r="D441" t="str">
            <v>RV0165073</v>
          </cell>
          <cell r="E441" t="str">
            <v>Loan Repayment / Deposit</v>
          </cell>
          <cell r="F441" t="str">
            <v>OK</v>
          </cell>
          <cell r="G441">
            <v>195</v>
          </cell>
          <cell r="N441">
            <v>20</v>
          </cell>
          <cell r="R441">
            <v>150</v>
          </cell>
          <cell r="AQ441">
            <v>25</v>
          </cell>
        </row>
        <row r="442">
          <cell r="A442">
            <v>42239</v>
          </cell>
          <cell r="B442">
            <v>332</v>
          </cell>
          <cell r="C442" t="str">
            <v>REBECCA SAIM</v>
          </cell>
          <cell r="D442" t="str">
            <v>RV0165074</v>
          </cell>
          <cell r="E442" t="str">
            <v>LOAN Repayment / interest</v>
          </cell>
          <cell r="F442" t="str">
            <v>OK</v>
          </cell>
          <cell r="G442">
            <v>700</v>
          </cell>
          <cell r="R442">
            <v>601</v>
          </cell>
          <cell r="AQ442">
            <v>99</v>
          </cell>
        </row>
        <row r="443">
          <cell r="A443">
            <v>42239</v>
          </cell>
          <cell r="B443">
            <v>177</v>
          </cell>
          <cell r="C443" t="str">
            <v>WEDNESDAY CLASS</v>
          </cell>
          <cell r="D443" t="str">
            <v>RV0165075</v>
          </cell>
          <cell r="E443" t="str">
            <v>Cash  Deposit</v>
          </cell>
          <cell r="F443" t="str">
            <v>OK</v>
          </cell>
          <cell r="G443">
            <v>55</v>
          </cell>
          <cell r="N443">
            <v>55</v>
          </cell>
        </row>
        <row r="444">
          <cell r="A444">
            <v>42239</v>
          </cell>
          <cell r="B444">
            <v>65</v>
          </cell>
          <cell r="C444" t="str">
            <v>COMFORT ARTHUR</v>
          </cell>
          <cell r="D444" t="str">
            <v>RV0165076</v>
          </cell>
          <cell r="E444" t="str">
            <v>Cash  Deposit</v>
          </cell>
          <cell r="F444" t="str">
            <v>OK</v>
          </cell>
          <cell r="G444">
            <v>50</v>
          </cell>
          <cell r="N444">
            <v>50</v>
          </cell>
        </row>
        <row r="445">
          <cell r="A445">
            <v>42240</v>
          </cell>
          <cell r="B445">
            <v>384</v>
          </cell>
          <cell r="C445" t="str">
            <v>SEMENHYIA METH PREACHING POST</v>
          </cell>
          <cell r="D445" t="str">
            <v>RV0165077</v>
          </cell>
          <cell r="E445" t="str">
            <v>Cash  Deposit</v>
          </cell>
          <cell r="F445" t="str">
            <v>OK</v>
          </cell>
          <cell r="G445">
            <v>542</v>
          </cell>
          <cell r="N445">
            <v>542</v>
          </cell>
        </row>
        <row r="446">
          <cell r="A446">
            <v>42240</v>
          </cell>
          <cell r="B446">
            <v>352</v>
          </cell>
          <cell r="C446" t="str">
            <v>ISAAC TAWIAH FYNN</v>
          </cell>
          <cell r="D446" t="str">
            <v>RV0165078</v>
          </cell>
          <cell r="E446" t="str">
            <v>Cash  Deposit</v>
          </cell>
          <cell r="F446" t="str">
            <v>OK</v>
          </cell>
          <cell r="G446">
            <v>100</v>
          </cell>
          <cell r="N446">
            <v>100</v>
          </cell>
        </row>
        <row r="447">
          <cell r="A447">
            <v>42240</v>
          </cell>
          <cell r="B447">
            <v>397</v>
          </cell>
          <cell r="C447" t="str">
            <v>KENNETH ADU ASAMOAH</v>
          </cell>
          <cell r="D447" t="str">
            <v>PV0474256</v>
          </cell>
          <cell r="E447" t="str">
            <v>Savings  withdrawal</v>
          </cell>
          <cell r="F447" t="str">
            <v>OK</v>
          </cell>
          <cell r="H447">
            <v>100</v>
          </cell>
          <cell r="M447">
            <v>100</v>
          </cell>
        </row>
        <row r="448">
          <cell r="A448">
            <v>42240</v>
          </cell>
          <cell r="B448">
            <v>56310</v>
          </cell>
          <cell r="C448" t="str">
            <v>Postage &amp; Communication</v>
          </cell>
          <cell r="D448" t="str">
            <v>PV0474257</v>
          </cell>
          <cell r="E448" t="str">
            <v>credit for internet modem</v>
          </cell>
          <cell r="F448" t="str">
            <v>OK</v>
          </cell>
          <cell r="H448">
            <v>10</v>
          </cell>
        </row>
        <row r="449">
          <cell r="A449">
            <v>42240</v>
          </cell>
          <cell r="B449">
            <v>264</v>
          </cell>
          <cell r="C449" t="str">
            <v>AGNES BENTIL</v>
          </cell>
          <cell r="E449" t="str">
            <v>loan disbursed entered as savings w/d 9/7/15(pv0054141) reversed</v>
          </cell>
          <cell r="F449" t="str">
            <v>OK</v>
          </cell>
          <cell r="G449">
            <v>800</v>
          </cell>
          <cell r="N449">
            <v>800</v>
          </cell>
        </row>
        <row r="450">
          <cell r="A450">
            <v>42240</v>
          </cell>
          <cell r="B450">
            <v>264</v>
          </cell>
          <cell r="C450" t="str">
            <v>AGNES BENTIL</v>
          </cell>
          <cell r="D450" t="str">
            <v>PV0054141</v>
          </cell>
          <cell r="E450" t="str">
            <v>Loan disbursed</v>
          </cell>
          <cell r="F450" t="str">
            <v>OK</v>
          </cell>
          <cell r="H450">
            <v>800</v>
          </cell>
          <cell r="Q450">
            <v>800</v>
          </cell>
        </row>
        <row r="451">
          <cell r="A451">
            <v>42240</v>
          </cell>
          <cell r="B451">
            <v>56350</v>
          </cell>
          <cell r="C451" t="str">
            <v>&lt;-- enter valid PB./Acc. # in this cell!</v>
          </cell>
          <cell r="D451" t="str">
            <v>PV0474258</v>
          </cell>
          <cell r="E451" t="str">
            <v>t&amp;t for CUA official</v>
          </cell>
          <cell r="F451" t="str">
            <v>OK</v>
          </cell>
          <cell r="H451">
            <v>20</v>
          </cell>
        </row>
        <row r="452">
          <cell r="A452">
            <v>42240</v>
          </cell>
          <cell r="B452">
            <v>260</v>
          </cell>
          <cell r="C452" t="str">
            <v>BETHEL METHODIST CHURCH CHOIR</v>
          </cell>
          <cell r="D452" t="str">
            <v>PV0474259</v>
          </cell>
          <cell r="E452" t="str">
            <v>Savings  withdrawal</v>
          </cell>
          <cell r="F452" t="str">
            <v>OK</v>
          </cell>
          <cell r="H452">
            <v>1250</v>
          </cell>
          <cell r="M452">
            <v>1250</v>
          </cell>
        </row>
        <row r="453">
          <cell r="A453">
            <v>42241</v>
          </cell>
          <cell r="B453">
            <v>223</v>
          </cell>
          <cell r="C453" t="str">
            <v>BETHEL METHODIST YOUTH FELLOSHIP</v>
          </cell>
          <cell r="D453" t="str">
            <v>RV0165079</v>
          </cell>
          <cell r="E453" t="str">
            <v>Cash  Deposit</v>
          </cell>
          <cell r="F453" t="str">
            <v>OK</v>
          </cell>
          <cell r="G453">
            <v>50</v>
          </cell>
          <cell r="N453">
            <v>50</v>
          </cell>
        </row>
        <row r="454">
          <cell r="A454">
            <v>42241</v>
          </cell>
          <cell r="B454">
            <v>56900</v>
          </cell>
          <cell r="C454" t="str">
            <v>Office Expenses</v>
          </cell>
          <cell r="D454" t="str">
            <v>PV0474260</v>
          </cell>
          <cell r="E454" t="str">
            <v>Call credit</v>
          </cell>
          <cell r="F454" t="str">
            <v>OK</v>
          </cell>
          <cell r="H454">
            <v>2</v>
          </cell>
        </row>
        <row r="455">
          <cell r="A455">
            <v>42242</v>
          </cell>
          <cell r="B455">
            <v>301</v>
          </cell>
          <cell r="C455" t="str">
            <v>ELIZABETH QUAYE</v>
          </cell>
          <cell r="D455" t="str">
            <v>RV0165080</v>
          </cell>
          <cell r="E455" t="str">
            <v>LOAN Repayment / interest</v>
          </cell>
          <cell r="F455" t="str">
            <v>OK</v>
          </cell>
          <cell r="G455">
            <v>50</v>
          </cell>
          <cell r="R455">
            <v>43.75</v>
          </cell>
          <cell r="AQ455">
            <v>6.25</v>
          </cell>
        </row>
        <row r="456">
          <cell r="A456">
            <v>42242</v>
          </cell>
          <cell r="B456">
            <v>338</v>
          </cell>
          <cell r="C456" t="str">
            <v>AGARTHA BOTCHWAY</v>
          </cell>
          <cell r="D456" t="str">
            <v>RV0165081</v>
          </cell>
          <cell r="E456" t="str">
            <v>Cash  Deposit</v>
          </cell>
          <cell r="F456" t="str">
            <v>OK</v>
          </cell>
          <cell r="G456">
            <v>20</v>
          </cell>
          <cell r="N456">
            <v>20</v>
          </cell>
        </row>
        <row r="457">
          <cell r="A457">
            <v>42242</v>
          </cell>
          <cell r="B457">
            <v>223</v>
          </cell>
          <cell r="C457" t="str">
            <v>BETHEL METHODIST YOUTH FELLOSHIP</v>
          </cell>
          <cell r="D457" t="str">
            <v>PV0474261</v>
          </cell>
          <cell r="E457" t="str">
            <v>Savings  withdrawal</v>
          </cell>
          <cell r="F457" t="str">
            <v>OK</v>
          </cell>
          <cell r="J457">
            <v>3000</v>
          </cell>
          <cell r="M457">
            <v>3000</v>
          </cell>
        </row>
        <row r="458">
          <cell r="A458">
            <v>42242</v>
          </cell>
          <cell r="B458">
            <v>56420</v>
          </cell>
          <cell r="C458" t="str">
            <v>Travel &amp; Transport (incl. Motor, Fuel and Taxi fare expenses)</v>
          </cell>
          <cell r="D458" t="str">
            <v>PV0474262</v>
          </cell>
          <cell r="E458" t="str">
            <v>T&amp;T to bank</v>
          </cell>
          <cell r="F458" t="str">
            <v>OK</v>
          </cell>
          <cell r="H458">
            <v>10</v>
          </cell>
        </row>
        <row r="459">
          <cell r="A459">
            <v>42242</v>
          </cell>
          <cell r="B459">
            <v>52100</v>
          </cell>
          <cell r="C459" t="str">
            <v>Staff Salaries</v>
          </cell>
          <cell r="D459" t="str">
            <v>PV0474263</v>
          </cell>
          <cell r="E459" t="str">
            <v>Staff salaries paid</v>
          </cell>
          <cell r="F459" t="str">
            <v>OK</v>
          </cell>
          <cell r="J459">
            <v>900</v>
          </cell>
        </row>
        <row r="460">
          <cell r="A460">
            <v>42243</v>
          </cell>
          <cell r="B460">
            <v>56</v>
          </cell>
          <cell r="C460" t="str">
            <v>BETHEL METHDIST MEN'S FELLOWSHIP</v>
          </cell>
          <cell r="D460" t="str">
            <v>PV0474264</v>
          </cell>
          <cell r="E460" t="str">
            <v>Savings  withdrawal</v>
          </cell>
          <cell r="F460" t="str">
            <v>OK</v>
          </cell>
          <cell r="J460">
            <v>600</v>
          </cell>
          <cell r="M460">
            <v>600</v>
          </cell>
        </row>
        <row r="461">
          <cell r="A461">
            <v>42243</v>
          </cell>
          <cell r="B461">
            <v>360</v>
          </cell>
          <cell r="C461" t="str">
            <v>GIFTY DADZIE</v>
          </cell>
          <cell r="D461" t="str">
            <v>PV0474265</v>
          </cell>
          <cell r="E461" t="str">
            <v>Savings  withdrawal</v>
          </cell>
          <cell r="F461" t="str">
            <v>OK</v>
          </cell>
          <cell r="H461">
            <v>300</v>
          </cell>
          <cell r="M461">
            <v>300</v>
          </cell>
        </row>
        <row r="462">
          <cell r="A462">
            <v>42243</v>
          </cell>
          <cell r="B462">
            <v>56310</v>
          </cell>
          <cell r="C462" t="str">
            <v>Postage &amp; Communication</v>
          </cell>
          <cell r="D462" t="str">
            <v>PV0474266</v>
          </cell>
          <cell r="E462" t="str">
            <v>credit for internet modem</v>
          </cell>
          <cell r="F462" t="str">
            <v>OK</v>
          </cell>
          <cell r="H462">
            <v>10</v>
          </cell>
        </row>
        <row r="463">
          <cell r="A463">
            <v>42243</v>
          </cell>
          <cell r="B463">
            <v>56900</v>
          </cell>
          <cell r="C463" t="str">
            <v>Office Expenses</v>
          </cell>
          <cell r="D463" t="str">
            <v>PV0474267</v>
          </cell>
          <cell r="E463" t="str">
            <v>Gabbage disposal</v>
          </cell>
          <cell r="F463" t="str">
            <v>OK</v>
          </cell>
          <cell r="H463">
            <v>1</v>
          </cell>
        </row>
        <row r="464">
          <cell r="A464">
            <v>42243</v>
          </cell>
          <cell r="B464">
            <v>271</v>
          </cell>
          <cell r="C464" t="str">
            <v>METHODIST MEN'S FELLOWSHIP KASOA</v>
          </cell>
          <cell r="D464" t="str">
            <v>PV0474268</v>
          </cell>
          <cell r="E464" t="str">
            <v>Savings  withdrawal</v>
          </cell>
          <cell r="F464" t="str">
            <v>OK</v>
          </cell>
          <cell r="H464">
            <v>80</v>
          </cell>
          <cell r="M464">
            <v>80</v>
          </cell>
        </row>
        <row r="465">
          <cell r="A465">
            <v>42243</v>
          </cell>
          <cell r="B465">
            <v>326</v>
          </cell>
          <cell r="C465" t="str">
            <v>OPEIKUMA TOWN METHODIST CH.</v>
          </cell>
          <cell r="D465" t="str">
            <v>RV0165082</v>
          </cell>
          <cell r="E465" t="str">
            <v>Cash  Deposit</v>
          </cell>
          <cell r="F465" t="str">
            <v>OK</v>
          </cell>
          <cell r="G465">
            <v>214.4</v>
          </cell>
          <cell r="N465">
            <v>214.4</v>
          </cell>
        </row>
        <row r="466">
          <cell r="A466">
            <v>42243</v>
          </cell>
          <cell r="B466">
            <v>163</v>
          </cell>
          <cell r="C466" t="str">
            <v>EMMANUEL KEELSON(JNR)</v>
          </cell>
          <cell r="D466" t="str">
            <v>RV0165083</v>
          </cell>
          <cell r="E466" t="str">
            <v>Cash  Deposit</v>
          </cell>
          <cell r="F466" t="str">
            <v>OK</v>
          </cell>
          <cell r="G466">
            <v>300</v>
          </cell>
          <cell r="N466">
            <v>300</v>
          </cell>
        </row>
        <row r="467">
          <cell r="A467">
            <v>42243</v>
          </cell>
          <cell r="B467">
            <v>99999</v>
          </cell>
          <cell r="C467" t="str">
            <v>cancelled voucher</v>
          </cell>
          <cell r="D467" t="str">
            <v>RV0165084</v>
          </cell>
          <cell r="F467" t="str">
            <v>OK</v>
          </cell>
        </row>
        <row r="468">
          <cell r="A468">
            <v>42243</v>
          </cell>
          <cell r="B468">
            <v>315</v>
          </cell>
          <cell r="C468" t="str">
            <v>SELINA NAANA ANDAM</v>
          </cell>
          <cell r="D468" t="str">
            <v>RV0165085</v>
          </cell>
          <cell r="E468" t="str">
            <v>Cash  Deposit</v>
          </cell>
          <cell r="F468" t="str">
            <v>OK</v>
          </cell>
          <cell r="G468">
            <v>50</v>
          </cell>
          <cell r="N468">
            <v>50</v>
          </cell>
        </row>
        <row r="469">
          <cell r="A469">
            <v>42243</v>
          </cell>
          <cell r="B469">
            <v>316</v>
          </cell>
          <cell r="C469" t="str">
            <v>AGNES ARKOFUL</v>
          </cell>
          <cell r="D469" t="str">
            <v>RV0165086</v>
          </cell>
          <cell r="E469" t="str">
            <v>Loan Repayment / Deposit</v>
          </cell>
          <cell r="F469" t="str">
            <v>OK</v>
          </cell>
          <cell r="G469">
            <v>88.5</v>
          </cell>
          <cell r="N469">
            <v>30</v>
          </cell>
          <cell r="R469">
            <v>50</v>
          </cell>
          <cell r="AQ469">
            <v>8.5</v>
          </cell>
        </row>
        <row r="470">
          <cell r="A470">
            <v>42243</v>
          </cell>
          <cell r="B470">
            <v>224</v>
          </cell>
          <cell r="C470" t="str">
            <v>THERESA ARKOFUL</v>
          </cell>
          <cell r="D470" t="str">
            <v>RV0165087</v>
          </cell>
          <cell r="E470" t="str">
            <v>Cash  Deposit</v>
          </cell>
          <cell r="F470" t="str">
            <v>OK</v>
          </cell>
          <cell r="G470">
            <v>30</v>
          </cell>
          <cell r="N470">
            <v>30</v>
          </cell>
        </row>
        <row r="471">
          <cell r="A471">
            <v>42243</v>
          </cell>
          <cell r="B471">
            <v>386</v>
          </cell>
          <cell r="C471" t="str">
            <v>ERNEST TETTEH</v>
          </cell>
          <cell r="D471" t="str">
            <v>PV0474269</v>
          </cell>
          <cell r="E471" t="str">
            <v>Savings  withdrawal</v>
          </cell>
          <cell r="F471" t="str">
            <v>OK</v>
          </cell>
          <cell r="H471">
            <v>800</v>
          </cell>
          <cell r="M471">
            <v>800</v>
          </cell>
        </row>
        <row r="472">
          <cell r="A472">
            <v>42244</v>
          </cell>
          <cell r="B472">
            <v>397</v>
          </cell>
          <cell r="C472" t="str">
            <v>KENNETH ADU ASAMOAH</v>
          </cell>
          <cell r="D472" t="str">
            <v>RV0165088</v>
          </cell>
          <cell r="E472" t="str">
            <v>Cash  Deposit</v>
          </cell>
          <cell r="F472" t="str">
            <v>OK</v>
          </cell>
          <cell r="G472">
            <v>1100</v>
          </cell>
          <cell r="N472">
            <v>1100</v>
          </cell>
        </row>
        <row r="473">
          <cell r="A473">
            <v>42244</v>
          </cell>
          <cell r="B473">
            <v>163</v>
          </cell>
          <cell r="C473" t="str">
            <v>EMMANUEL KEELSON(JNR)</v>
          </cell>
          <cell r="D473" t="str">
            <v>RV0165089</v>
          </cell>
          <cell r="E473" t="str">
            <v>Cash  Deposit</v>
          </cell>
          <cell r="F473" t="str">
            <v>OK</v>
          </cell>
          <cell r="G473">
            <v>300</v>
          </cell>
          <cell r="N473">
            <v>300</v>
          </cell>
        </row>
        <row r="474">
          <cell r="A474">
            <v>42244</v>
          </cell>
          <cell r="B474">
            <v>348</v>
          </cell>
          <cell r="C474" t="str">
            <v>CHRISTABEL ABAKUA PRAH</v>
          </cell>
          <cell r="D474" t="str">
            <v>PV0474270</v>
          </cell>
          <cell r="E474" t="str">
            <v>Savings  withdrawal</v>
          </cell>
          <cell r="F474" t="str">
            <v>OK</v>
          </cell>
          <cell r="H474">
            <v>40</v>
          </cell>
          <cell r="M474">
            <v>40</v>
          </cell>
        </row>
        <row r="475">
          <cell r="A475">
            <v>42247</v>
          </cell>
          <cell r="B475">
            <v>310</v>
          </cell>
          <cell r="C475" t="str">
            <v>ST.PAUL'S METHODIST CHURCH KAKRBA</v>
          </cell>
          <cell r="D475" t="str">
            <v>RV0165090</v>
          </cell>
          <cell r="E475" t="str">
            <v>Cash  Deposit</v>
          </cell>
          <cell r="F475" t="str">
            <v>OK</v>
          </cell>
          <cell r="G475">
            <v>500</v>
          </cell>
          <cell r="N475">
            <v>500</v>
          </cell>
        </row>
        <row r="476">
          <cell r="A476">
            <v>42247</v>
          </cell>
          <cell r="B476">
            <v>162</v>
          </cell>
          <cell r="C476" t="str">
            <v>EMMANUEL KEELSON(SNR)</v>
          </cell>
          <cell r="D476" t="str">
            <v>RV0165091</v>
          </cell>
          <cell r="E476" t="str">
            <v>LOAN Repayment / interest</v>
          </cell>
          <cell r="F476" t="str">
            <v>OK</v>
          </cell>
          <cell r="G476">
            <v>57</v>
          </cell>
          <cell r="R476">
            <v>50</v>
          </cell>
          <cell r="AQ476">
            <v>7</v>
          </cell>
        </row>
        <row r="477">
          <cell r="A477">
            <v>42247</v>
          </cell>
          <cell r="B477">
            <v>209</v>
          </cell>
          <cell r="C477" t="str">
            <v>BERNARD BENTSIL BARNES</v>
          </cell>
          <cell r="D477" t="str">
            <v>RV0165092</v>
          </cell>
          <cell r="E477" t="str">
            <v>Cash  Deposit</v>
          </cell>
          <cell r="F477" t="str">
            <v>OK</v>
          </cell>
          <cell r="G477">
            <v>50</v>
          </cell>
          <cell r="N477">
            <v>50</v>
          </cell>
        </row>
        <row r="478">
          <cell r="A478">
            <v>42247</v>
          </cell>
          <cell r="B478">
            <v>56310</v>
          </cell>
          <cell r="C478" t="str">
            <v>Postage &amp; Communication</v>
          </cell>
          <cell r="D478" t="str">
            <v>PV0474271</v>
          </cell>
          <cell r="E478" t="str">
            <v>Credit for call and internet</v>
          </cell>
          <cell r="F478" t="str">
            <v>OK</v>
          </cell>
          <cell r="H478">
            <v>40</v>
          </cell>
        </row>
        <row r="479">
          <cell r="A479">
            <v>42247</v>
          </cell>
          <cell r="B479">
            <v>54350</v>
          </cell>
          <cell r="C479" t="str">
            <v>Protocol Expenses</v>
          </cell>
          <cell r="D479" t="str">
            <v>PV0474272</v>
          </cell>
          <cell r="E479" t="str">
            <v>t&amp;t for CUA official</v>
          </cell>
          <cell r="F479" t="str">
            <v>OK</v>
          </cell>
          <cell r="H479">
            <v>20</v>
          </cell>
        </row>
        <row r="480">
          <cell r="A480">
            <v>42247</v>
          </cell>
          <cell r="B480">
            <v>390</v>
          </cell>
          <cell r="C480" t="str">
            <v>NOAH AFARI</v>
          </cell>
          <cell r="D480" t="str">
            <v>PV0474273</v>
          </cell>
          <cell r="E480" t="str">
            <v>Shares and savings withdrawal</v>
          </cell>
          <cell r="F480" t="str">
            <v>OK</v>
          </cell>
          <cell r="H480">
            <v>135</v>
          </cell>
          <cell r="K480">
            <v>100</v>
          </cell>
          <cell r="M480">
            <v>35</v>
          </cell>
        </row>
        <row r="481">
          <cell r="A481">
            <v>42218</v>
          </cell>
          <cell r="C481" t="str">
            <v>&lt;-- enter valid PB./Acc. # in this cell!</v>
          </cell>
          <cell r="E481" t="str">
            <v>91days fixed deposit made</v>
          </cell>
          <cell r="F481" t="str">
            <v>OK</v>
          </cell>
          <cell r="J481">
            <v>40000</v>
          </cell>
        </row>
        <row r="482">
          <cell r="C482" t="str">
            <v>&lt;-- enter valid PB./Acc. # in this cell!</v>
          </cell>
          <cell r="F482" t="str">
            <v>OK</v>
          </cell>
        </row>
        <row r="483">
          <cell r="C483" t="str">
            <v>&lt;-- enter valid PB./Acc. # in this cell!</v>
          </cell>
          <cell r="F483" t="str">
            <v>OK</v>
          </cell>
        </row>
        <row r="484">
          <cell r="C484" t="str">
            <v>&lt;-- enter valid PB./Acc. # in this cell!</v>
          </cell>
          <cell r="F484" t="str">
            <v>OK</v>
          </cell>
        </row>
        <row r="485">
          <cell r="C485" t="str">
            <v>&lt;-- enter valid PB./Acc. # in this cell!</v>
          </cell>
          <cell r="F485" t="str">
            <v>OK</v>
          </cell>
        </row>
        <row r="486">
          <cell r="C486" t="str">
            <v>&lt;-- enter valid PB./Acc. # in this cell!</v>
          </cell>
          <cell r="F486" t="str">
            <v>OK</v>
          </cell>
        </row>
        <row r="487">
          <cell r="C487" t="str">
            <v>&lt;-- enter valid PB./Acc. # in this cell!</v>
          </cell>
          <cell r="F487" t="str">
            <v>OK</v>
          </cell>
        </row>
        <row r="488">
          <cell r="C488" t="str">
            <v>&lt;-- enter valid PB./Acc. # in this cell!</v>
          </cell>
          <cell r="F488" t="str">
            <v>OK</v>
          </cell>
        </row>
        <row r="489">
          <cell r="C489" t="str">
            <v>&lt;-- enter valid PB./Acc. # in this cell!</v>
          </cell>
          <cell r="F489" t="str">
            <v>OK</v>
          </cell>
        </row>
        <row r="490">
          <cell r="C490" t="str">
            <v>&lt;-- enter valid PB./Acc. # in this cell!</v>
          </cell>
          <cell r="F490" t="str">
            <v>OK</v>
          </cell>
        </row>
        <row r="491">
          <cell r="C491" t="str">
            <v>&lt;-- enter valid PB./Acc. # in this cell!</v>
          </cell>
          <cell r="F491" t="str">
            <v>OK</v>
          </cell>
        </row>
        <row r="492">
          <cell r="C492" t="str">
            <v>&lt;-- enter valid PB./Acc. # in this cell!</v>
          </cell>
          <cell r="F492" t="str">
            <v>OK</v>
          </cell>
        </row>
        <row r="493">
          <cell r="C493" t="str">
            <v>&lt;-- enter valid PB./Acc. # in this cell!</v>
          </cell>
          <cell r="F493" t="str">
            <v>OK</v>
          </cell>
        </row>
        <row r="494">
          <cell r="C494" t="str">
            <v>&lt;-- enter valid PB./Acc. # in this cell!</v>
          </cell>
          <cell r="F494" t="str">
            <v>OK</v>
          </cell>
        </row>
        <row r="495">
          <cell r="C495" t="str">
            <v>&lt;-- enter valid PB./Acc. # in this cell!</v>
          </cell>
          <cell r="F495" t="str">
            <v>OK</v>
          </cell>
        </row>
        <row r="496">
          <cell r="C496" t="str">
            <v>&lt;-- enter valid PB./Acc. # in this cell!</v>
          </cell>
          <cell r="F496" t="str">
            <v>OK</v>
          </cell>
        </row>
        <row r="497">
          <cell r="C497" t="str">
            <v>&lt;-- enter valid PB./Acc. # in this cell!</v>
          </cell>
          <cell r="F497" t="str">
            <v>OK</v>
          </cell>
        </row>
        <row r="498">
          <cell r="C498" t="str">
            <v>&lt;-- enter valid PB./Acc. # in this cell!</v>
          </cell>
          <cell r="F498" t="str">
            <v>OK</v>
          </cell>
        </row>
        <row r="499">
          <cell r="C499" t="str">
            <v>&lt;-- enter valid PB./Acc. # in this cell!</v>
          </cell>
          <cell r="F499" t="str">
            <v>OK</v>
          </cell>
        </row>
        <row r="500">
          <cell r="C500" t="str">
            <v>&lt;-- enter valid PB./Acc. # in this cell!</v>
          </cell>
          <cell r="F500" t="str">
            <v>OK</v>
          </cell>
        </row>
        <row r="501">
          <cell r="C501" t="str">
            <v>&lt;-- enter valid PB./Acc. # in this cell!</v>
          </cell>
          <cell r="F501" t="str">
            <v>OK</v>
          </cell>
        </row>
        <row r="502">
          <cell r="C502" t="str">
            <v>&lt;-- enter valid PB./Acc. # in this cell!</v>
          </cell>
          <cell r="F502" t="str">
            <v>OK</v>
          </cell>
        </row>
        <row r="503">
          <cell r="C503" t="str">
            <v>&lt;-- enter valid PB./Acc. # in this cell!</v>
          </cell>
          <cell r="F503" t="str">
            <v>OK</v>
          </cell>
        </row>
        <row r="504">
          <cell r="C504" t="str">
            <v>&lt;-- enter valid PB./Acc. # in this cell!</v>
          </cell>
          <cell r="F504" t="str">
            <v>OK</v>
          </cell>
        </row>
        <row r="505">
          <cell r="C505" t="str">
            <v>&lt;-- enter valid PB./Acc. # in this cell!</v>
          </cell>
          <cell r="F505" t="str">
            <v>OK</v>
          </cell>
        </row>
        <row r="506">
          <cell r="C506" t="str">
            <v>&lt;-- enter valid PB./Acc. # in this cell!</v>
          </cell>
          <cell r="F506" t="str">
            <v>OK</v>
          </cell>
        </row>
        <row r="507">
          <cell r="C507" t="str">
            <v>&lt;-- enter valid PB./Acc. # in this cell!</v>
          </cell>
          <cell r="F507" t="str">
            <v>OK</v>
          </cell>
        </row>
        <row r="508">
          <cell r="C508" t="str">
            <v>&lt;-- enter valid PB./Acc. # in this cell!</v>
          </cell>
          <cell r="F508" t="str">
            <v>OK</v>
          </cell>
        </row>
        <row r="509">
          <cell r="C509" t="str">
            <v>&lt;-- enter valid PB./Acc. # in this cell!</v>
          </cell>
          <cell r="F509" t="str">
            <v>OK</v>
          </cell>
        </row>
        <row r="510">
          <cell r="C510" t="str">
            <v>&lt;-- enter valid PB./Acc. # in this cell!</v>
          </cell>
          <cell r="F510" t="str">
            <v>OK</v>
          </cell>
        </row>
        <row r="511">
          <cell r="C511" t="str">
            <v>&lt;-- enter valid PB./Acc. # in this cell!</v>
          </cell>
          <cell r="F511" t="str">
            <v>OK</v>
          </cell>
        </row>
        <row r="512">
          <cell r="C512" t="str">
            <v>&lt;-- enter valid PB./Acc. # in this cell!</v>
          </cell>
          <cell r="F512" t="str">
            <v>OK</v>
          </cell>
        </row>
        <row r="513">
          <cell r="C513" t="str">
            <v>&lt;-- enter valid PB./Acc. # in this cell!</v>
          </cell>
          <cell r="F513" t="str">
            <v>OK</v>
          </cell>
        </row>
        <row r="514">
          <cell r="C514" t="str">
            <v>&lt;-- enter valid PB./Acc. # in this cell!</v>
          </cell>
          <cell r="F514" t="str">
            <v>OK</v>
          </cell>
        </row>
        <row r="515">
          <cell r="C515" t="str">
            <v>&lt;-- enter valid PB./Acc. # in this cell!</v>
          </cell>
          <cell r="F515" t="str">
            <v>OK</v>
          </cell>
        </row>
        <row r="516">
          <cell r="C516" t="str">
            <v>&lt;-- enter valid PB./Acc. # in this cell!</v>
          </cell>
          <cell r="F516" t="str">
            <v>OK</v>
          </cell>
        </row>
        <row r="517">
          <cell r="C517" t="str">
            <v>&lt;-- enter valid PB./Acc. # in this cell!</v>
          </cell>
          <cell r="F517" t="str">
            <v>OK</v>
          </cell>
        </row>
        <row r="518">
          <cell r="C518" t="str">
            <v>&lt;-- enter valid PB./Acc. # in this cell!</v>
          </cell>
          <cell r="F518" t="str">
            <v>OK</v>
          </cell>
        </row>
        <row r="519">
          <cell r="C519" t="str">
            <v>&lt;-- enter valid PB./Acc. # in this cell!</v>
          </cell>
          <cell r="F519" t="str">
            <v>OK</v>
          </cell>
        </row>
        <row r="520">
          <cell r="C520" t="str">
            <v>&lt;-- enter valid PB./Acc. # in this cell!</v>
          </cell>
          <cell r="F520" t="str">
            <v>OK</v>
          </cell>
        </row>
        <row r="521">
          <cell r="C521" t="str">
            <v>&lt;-- enter valid PB./Acc. # in this cell!</v>
          </cell>
          <cell r="F521" t="str">
            <v>OK</v>
          </cell>
        </row>
        <row r="522">
          <cell r="C522" t="str">
            <v>&lt;-- enter valid PB./Acc. # in this cell!</v>
          </cell>
          <cell r="F522" t="str">
            <v>OK</v>
          </cell>
        </row>
        <row r="523">
          <cell r="C523" t="str">
            <v>&lt;-- enter valid PB./Acc. # in this cell!</v>
          </cell>
          <cell r="F523" t="str">
            <v>OK</v>
          </cell>
        </row>
        <row r="524">
          <cell r="C524" t="str">
            <v>&lt;-- enter valid PB./Acc. # in this cell!</v>
          </cell>
          <cell r="F524" t="str">
            <v>OK</v>
          </cell>
        </row>
        <row r="525">
          <cell r="C525" t="str">
            <v>&lt;-- enter valid PB./Acc. # in this cell!</v>
          </cell>
          <cell r="F525" t="str">
            <v>OK</v>
          </cell>
        </row>
        <row r="526">
          <cell r="C526" t="str">
            <v>&lt;-- enter valid PB./Acc. # in this cell!</v>
          </cell>
          <cell r="F526" t="str">
            <v>OK</v>
          </cell>
        </row>
        <row r="527">
          <cell r="C527" t="str">
            <v>&lt;-- enter valid PB./Acc. # in this cell!</v>
          </cell>
          <cell r="F527" t="str">
            <v>OK</v>
          </cell>
        </row>
        <row r="528">
          <cell r="C528" t="str">
            <v>&lt;-- enter valid PB./Acc. # in this cell!</v>
          </cell>
          <cell r="F528" t="str">
            <v>OK</v>
          </cell>
        </row>
        <row r="529">
          <cell r="C529" t="str">
            <v>&lt;-- enter valid PB./Acc. # in this cell!</v>
          </cell>
          <cell r="F529" t="str">
            <v>OK</v>
          </cell>
        </row>
        <row r="530">
          <cell r="C530" t="str">
            <v>&lt;-- enter valid PB./Acc. # in this cell!</v>
          </cell>
          <cell r="F530" t="str">
            <v>OK</v>
          </cell>
        </row>
        <row r="531">
          <cell r="C531" t="str">
            <v>&lt;-- enter valid PB./Acc. # in this cell!</v>
          </cell>
          <cell r="F531" t="str">
            <v>OK</v>
          </cell>
        </row>
        <row r="532">
          <cell r="C532" t="str">
            <v>&lt;-- enter valid PB./Acc. # in this cell!</v>
          </cell>
          <cell r="F532" t="str">
            <v>OK</v>
          </cell>
        </row>
        <row r="533">
          <cell r="C533" t="str">
            <v>&lt;-- enter valid PB./Acc. # in this cell!</v>
          </cell>
          <cell r="F533" t="str">
            <v>OK</v>
          </cell>
        </row>
        <row r="534">
          <cell r="C534" t="str">
            <v>&lt;-- enter valid PB./Acc. # in this cell!</v>
          </cell>
          <cell r="F534" t="str">
            <v>OK</v>
          </cell>
        </row>
        <row r="535">
          <cell r="C535" t="str">
            <v>&lt;-- enter valid PB./Acc. # in this cell!</v>
          </cell>
          <cell r="F535" t="str">
            <v>OK</v>
          </cell>
        </row>
        <row r="536">
          <cell r="C536" t="str">
            <v>&lt;-- enter valid PB./Acc. # in this cell!</v>
          </cell>
          <cell r="F536" t="str">
            <v>OK</v>
          </cell>
        </row>
        <row r="537">
          <cell r="C537" t="str">
            <v>&lt;-- enter valid PB./Acc. # in this cell!</v>
          </cell>
          <cell r="F537" t="str">
            <v>OK</v>
          </cell>
        </row>
        <row r="538">
          <cell r="C538" t="str">
            <v>&lt;-- enter valid PB./Acc. # in this cell!</v>
          </cell>
          <cell r="F538" t="str">
            <v>OK</v>
          </cell>
        </row>
        <row r="539">
          <cell r="C539" t="str">
            <v>&lt;-- enter valid PB./Acc. # in this cell!</v>
          </cell>
          <cell r="F539" t="str">
            <v>OK</v>
          </cell>
        </row>
        <row r="540">
          <cell r="C540" t="str">
            <v>&lt;-- enter valid PB./Acc. # in this cell!</v>
          </cell>
          <cell r="F540" t="str">
            <v>OK</v>
          </cell>
        </row>
        <row r="541">
          <cell r="C541" t="str">
            <v>&lt;-- enter valid PB./Acc. # in this cell!</v>
          </cell>
          <cell r="F541" t="str">
            <v>OK</v>
          </cell>
        </row>
        <row r="542">
          <cell r="C542" t="str">
            <v>&lt;-- enter valid PB./Acc. # in this cell!</v>
          </cell>
          <cell r="F542" t="str">
            <v>OK</v>
          </cell>
        </row>
        <row r="543">
          <cell r="C543" t="str">
            <v>&lt;-- enter valid PB./Acc. # in this cell!</v>
          </cell>
          <cell r="F543" t="str">
            <v>OK</v>
          </cell>
        </row>
        <row r="544">
          <cell r="C544" t="str">
            <v>&lt;-- enter valid PB./Acc. # in this cell!</v>
          </cell>
          <cell r="F544" t="str">
            <v>OK</v>
          </cell>
        </row>
        <row r="545">
          <cell r="C545" t="str">
            <v>&lt;-- enter valid PB./Acc. # in this cell!</v>
          </cell>
          <cell r="F545" t="str">
            <v>OK</v>
          </cell>
        </row>
        <row r="546">
          <cell r="C546" t="str">
            <v>&lt;-- enter valid PB./Acc. # in this cell!</v>
          </cell>
          <cell r="F546" t="str">
            <v>OK</v>
          </cell>
        </row>
        <row r="547">
          <cell r="C547" t="str">
            <v>&lt;-- enter valid PB./Acc. # in this cell!</v>
          </cell>
          <cell r="F547" t="str">
            <v>OK</v>
          </cell>
        </row>
        <row r="548">
          <cell r="C548" t="str">
            <v>&lt;-- enter valid PB./Acc. # in this cell!</v>
          </cell>
          <cell r="F548" t="str">
            <v>OK</v>
          </cell>
        </row>
        <row r="549">
          <cell r="C549" t="str">
            <v>&lt;-- enter valid PB./Acc. # in this cell!</v>
          </cell>
          <cell r="F549" t="str">
            <v>OK</v>
          </cell>
        </row>
        <row r="550">
          <cell r="C550" t="str">
            <v>&lt;-- enter valid PB./Acc. # in this cell!</v>
          </cell>
          <cell r="F550" t="str">
            <v>OK</v>
          </cell>
        </row>
        <row r="551">
          <cell r="C551" t="str">
            <v>&lt;-- enter valid PB./Acc. # in this cell!</v>
          </cell>
          <cell r="F551" t="str">
            <v>OK</v>
          </cell>
        </row>
        <row r="552">
          <cell r="C552" t="str">
            <v>&lt;-- enter valid PB./Acc. # in this cell!</v>
          </cell>
          <cell r="F552" t="str">
            <v>OK</v>
          </cell>
        </row>
        <row r="553">
          <cell r="C553" t="str">
            <v>&lt;-- enter valid PB./Acc. # in this cell!</v>
          </cell>
          <cell r="F553" t="str">
            <v>OK</v>
          </cell>
        </row>
        <row r="554">
          <cell r="C554" t="str">
            <v>&lt;-- enter valid PB./Acc. # in this cell!</v>
          </cell>
          <cell r="F554" t="str">
            <v>OK</v>
          </cell>
        </row>
        <row r="555">
          <cell r="C555" t="str">
            <v>&lt;-- enter valid PB./Acc. # in this cell!</v>
          </cell>
          <cell r="F555" t="str">
            <v>OK</v>
          </cell>
        </row>
        <row r="556">
          <cell r="C556" t="str">
            <v>&lt;-- enter valid PB./Acc. # in this cell!</v>
          </cell>
          <cell r="F556" t="str">
            <v>OK</v>
          </cell>
        </row>
        <row r="557">
          <cell r="C557" t="str">
            <v>&lt;-- enter valid PB./Acc. # in this cell!</v>
          </cell>
          <cell r="F557" t="str">
            <v>OK</v>
          </cell>
        </row>
        <row r="558">
          <cell r="C558" t="str">
            <v>&lt;-- enter valid PB./Acc. # in this cell!</v>
          </cell>
          <cell r="F558" t="str">
            <v>OK</v>
          </cell>
        </row>
        <row r="559">
          <cell r="C559" t="str">
            <v>&lt;-- enter valid PB./Acc. # in this cell!</v>
          </cell>
          <cell r="F559" t="str">
            <v>OK</v>
          </cell>
        </row>
        <row r="560">
          <cell r="C560" t="str">
            <v>&lt;-- enter valid PB./Acc. # in this cell!</v>
          </cell>
          <cell r="F560" t="str">
            <v>OK</v>
          </cell>
        </row>
        <row r="561">
          <cell r="C561" t="str">
            <v>&lt;-- enter valid PB./Acc. # in this cell!</v>
          </cell>
          <cell r="F561" t="str">
            <v>OK</v>
          </cell>
        </row>
        <row r="562">
          <cell r="C562" t="str">
            <v>&lt;-- enter valid PB./Acc. # in this cell!</v>
          </cell>
          <cell r="F562" t="str">
            <v>OK</v>
          </cell>
        </row>
        <row r="563">
          <cell r="C563" t="str">
            <v>&lt;-- enter valid PB./Acc. # in this cell!</v>
          </cell>
          <cell r="F563" t="str">
            <v>OK</v>
          </cell>
        </row>
        <row r="564">
          <cell r="C564" t="str">
            <v>&lt;-- enter valid PB./Acc. # in this cell!</v>
          </cell>
          <cell r="F564" t="str">
            <v>OK</v>
          </cell>
        </row>
        <row r="565">
          <cell r="C565" t="str">
            <v>&lt;-- enter valid PB./Acc. # in this cell!</v>
          </cell>
          <cell r="F565" t="str">
            <v>OK</v>
          </cell>
        </row>
        <row r="566">
          <cell r="C566" t="str">
            <v>&lt;-- enter valid PB./Acc. # in this cell!</v>
          </cell>
          <cell r="F566" t="str">
            <v>OK</v>
          </cell>
        </row>
        <row r="567">
          <cell r="C567" t="str">
            <v>&lt;-- enter valid PB./Acc. # in this cell!</v>
          </cell>
          <cell r="F567" t="str">
            <v>OK</v>
          </cell>
        </row>
        <row r="568">
          <cell r="C568" t="str">
            <v>&lt;-- enter valid PB./Acc. # in this cell!</v>
          </cell>
          <cell r="F568" t="str">
            <v>OK</v>
          </cell>
        </row>
        <row r="569">
          <cell r="C569" t="str">
            <v>&lt;-- enter valid PB./Acc. # in this cell!</v>
          </cell>
          <cell r="F569" t="str">
            <v>OK</v>
          </cell>
        </row>
        <row r="570">
          <cell r="C570" t="str">
            <v>&lt;-- enter valid PB./Acc. # in this cell!</v>
          </cell>
          <cell r="F570" t="str">
            <v>OK</v>
          </cell>
        </row>
        <row r="571">
          <cell r="C571" t="str">
            <v>&lt;-- enter valid PB./Acc. # in this cell!</v>
          </cell>
          <cell r="F571" t="str">
            <v>OK</v>
          </cell>
        </row>
        <row r="572">
          <cell r="C572" t="str">
            <v>&lt;-- enter valid PB./Acc. # in this cell!</v>
          </cell>
          <cell r="F572" t="str">
            <v>OK</v>
          </cell>
        </row>
        <row r="573">
          <cell r="C573" t="str">
            <v>&lt;-- enter valid PB./Acc. # in this cell!</v>
          </cell>
          <cell r="F573" t="str">
            <v>OK</v>
          </cell>
        </row>
        <row r="574">
          <cell r="C574" t="str">
            <v>&lt;-- enter valid PB./Acc. # in this cell!</v>
          </cell>
          <cell r="F574" t="str">
            <v>OK</v>
          </cell>
        </row>
        <row r="575">
          <cell r="C575" t="str">
            <v>&lt;-- enter valid PB./Acc. # in this cell!</v>
          </cell>
          <cell r="F575" t="str">
            <v>OK</v>
          </cell>
        </row>
        <row r="576">
          <cell r="C576" t="str">
            <v>&lt;-- enter valid PB./Acc. # in this cell!</v>
          </cell>
          <cell r="F576" t="str">
            <v>OK</v>
          </cell>
        </row>
        <row r="577">
          <cell r="C577" t="str">
            <v>&lt;-- enter valid PB./Acc. # in this cell!</v>
          </cell>
          <cell r="F577" t="str">
            <v>OK</v>
          </cell>
        </row>
        <row r="578">
          <cell r="C578" t="str">
            <v>&lt;-- enter valid PB./Acc. # in this cell!</v>
          </cell>
          <cell r="F578" t="str">
            <v>OK</v>
          </cell>
        </row>
        <row r="579">
          <cell r="C579" t="str">
            <v>&lt;-- enter valid PB./Acc. # in this cell!</v>
          </cell>
          <cell r="F579" t="str">
            <v>OK</v>
          </cell>
        </row>
        <row r="580">
          <cell r="C580" t="str">
            <v>&lt;-- enter valid PB./Acc. # in this cell!</v>
          </cell>
          <cell r="F580" t="str">
            <v>OK</v>
          </cell>
        </row>
        <row r="581">
          <cell r="C581" t="str">
            <v>&lt;-- enter valid PB./Acc. # in this cell!</v>
          </cell>
          <cell r="F581" t="str">
            <v>OK</v>
          </cell>
        </row>
        <row r="582">
          <cell r="C582" t="str">
            <v>&lt;-- enter valid PB./Acc. # in this cell!</v>
          </cell>
          <cell r="F582" t="str">
            <v>OK</v>
          </cell>
        </row>
        <row r="583">
          <cell r="C583" t="str">
            <v>&lt;-- enter valid PB./Acc. # in this cell!</v>
          </cell>
          <cell r="F583" t="str">
            <v>OK</v>
          </cell>
        </row>
        <row r="584">
          <cell r="C584" t="str">
            <v>&lt;-- enter valid PB./Acc. # in this cell!</v>
          </cell>
          <cell r="F584" t="str">
            <v>OK</v>
          </cell>
        </row>
        <row r="585">
          <cell r="C585" t="str">
            <v>&lt;-- enter valid PB./Acc. # in this cell!</v>
          </cell>
          <cell r="F585" t="str">
            <v>OK</v>
          </cell>
        </row>
        <row r="586">
          <cell r="C586" t="str">
            <v>&lt;-- enter valid PB./Acc. # in this cell!</v>
          </cell>
          <cell r="F586" t="str">
            <v>OK</v>
          </cell>
        </row>
        <row r="587">
          <cell r="C587" t="str">
            <v>&lt;-- enter valid PB./Acc. # in this cell!</v>
          </cell>
          <cell r="F587" t="str">
            <v>OK</v>
          </cell>
        </row>
        <row r="588">
          <cell r="C588" t="str">
            <v>&lt;-- enter valid PB./Acc. # in this cell!</v>
          </cell>
          <cell r="F588" t="str">
            <v>OK</v>
          </cell>
        </row>
        <row r="589">
          <cell r="C589" t="str">
            <v>&lt;-- enter valid PB./Acc. # in this cell!</v>
          </cell>
          <cell r="F589" t="str">
            <v>OK</v>
          </cell>
        </row>
        <row r="590">
          <cell r="C590" t="str">
            <v>&lt;-- enter valid PB./Acc. # in this cell!</v>
          </cell>
          <cell r="F590" t="str">
            <v>OK</v>
          </cell>
        </row>
        <row r="591">
          <cell r="C591" t="str">
            <v>&lt;-- enter valid PB./Acc. # in this cell!</v>
          </cell>
          <cell r="F591" t="str">
            <v>OK</v>
          </cell>
        </row>
        <row r="592">
          <cell r="C592" t="str">
            <v>&lt;-- enter valid PB./Acc. # in this cell!</v>
          </cell>
          <cell r="F592" t="str">
            <v>OK</v>
          </cell>
        </row>
        <row r="593">
          <cell r="C593" t="str">
            <v>&lt;-- enter valid PB./Acc. # in this cell!</v>
          </cell>
          <cell r="F593" t="str">
            <v>OK</v>
          </cell>
        </row>
        <row r="594">
          <cell r="C594" t="str">
            <v>&lt;-- enter valid PB./Acc. # in this cell!</v>
          </cell>
          <cell r="F594" t="str">
            <v>OK</v>
          </cell>
        </row>
        <row r="595">
          <cell r="C595" t="str">
            <v>&lt;-- enter valid PB./Acc. # in this cell!</v>
          </cell>
          <cell r="F595" t="str">
            <v>OK</v>
          </cell>
        </row>
        <row r="596">
          <cell r="C596" t="str">
            <v>&lt;-- enter valid PB./Acc. # in this cell!</v>
          </cell>
          <cell r="F596" t="str">
            <v>OK</v>
          </cell>
        </row>
        <row r="597">
          <cell r="C597" t="str">
            <v>&lt;-- enter valid PB./Acc. # in this cell!</v>
          </cell>
          <cell r="F597" t="str">
            <v>OK</v>
          </cell>
        </row>
        <row r="598">
          <cell r="C598" t="str">
            <v>&lt;-- enter valid PB./Acc. # in this cell!</v>
          </cell>
          <cell r="F598" t="str">
            <v>OK</v>
          </cell>
        </row>
        <row r="599">
          <cell r="C599" t="str">
            <v>&lt;-- enter valid PB./Acc. # in this cell!</v>
          </cell>
          <cell r="F599" t="str">
            <v>OK</v>
          </cell>
        </row>
        <row r="600">
          <cell r="A600" t="str">
            <v>Total Balances of August 2015</v>
          </cell>
          <cell r="F600" t="str">
            <v>OK</v>
          </cell>
          <cell r="G600">
            <v>21709.05</v>
          </cell>
          <cell r="H600">
            <v>20221.5</v>
          </cell>
          <cell r="I600">
            <v>12860</v>
          </cell>
          <cell r="J600">
            <v>83700</v>
          </cell>
          <cell r="K600">
            <v>100</v>
          </cell>
          <cell r="L600">
            <v>370</v>
          </cell>
          <cell r="M600">
            <v>27935</v>
          </cell>
          <cell r="N600">
            <v>14423.8</v>
          </cell>
          <cell r="O600">
            <v>0</v>
          </cell>
          <cell r="P600">
            <v>0</v>
          </cell>
          <cell r="Q600">
            <v>22400</v>
          </cell>
          <cell r="R600">
            <v>7136.5</v>
          </cell>
          <cell r="S600">
            <v>0</v>
          </cell>
          <cell r="T600">
            <v>0</v>
          </cell>
          <cell r="AQ600">
            <v>1231.75</v>
          </cell>
        </row>
        <row r="601">
          <cell r="A601">
            <v>42277</v>
          </cell>
        </row>
        <row r="602">
          <cell r="A602">
            <v>42248</v>
          </cell>
          <cell r="B602">
            <v>365</v>
          </cell>
          <cell r="C602" t="str">
            <v>RACHEAL VISSION WORKERS</v>
          </cell>
          <cell r="D602" t="str">
            <v>RV0165093</v>
          </cell>
          <cell r="E602" t="str">
            <v>Cash  Deposit</v>
          </cell>
          <cell r="F602" t="str">
            <v>OK</v>
          </cell>
          <cell r="G602">
            <v>200</v>
          </cell>
          <cell r="N602">
            <v>200</v>
          </cell>
        </row>
        <row r="603">
          <cell r="A603">
            <v>42248</v>
          </cell>
          <cell r="B603">
            <v>33</v>
          </cell>
          <cell r="C603" t="str">
            <v>NANA KOJO QUANSAH</v>
          </cell>
          <cell r="D603" t="str">
            <v>PV0474274</v>
          </cell>
          <cell r="E603" t="str">
            <v>Savings  withdrawal</v>
          </cell>
          <cell r="F603" t="str">
            <v>OK</v>
          </cell>
          <cell r="J603">
            <v>2500</v>
          </cell>
          <cell r="M603">
            <v>2500</v>
          </cell>
        </row>
        <row r="604">
          <cell r="A604">
            <v>42248</v>
          </cell>
          <cell r="B604">
            <v>56420</v>
          </cell>
          <cell r="C604" t="str">
            <v>Travel &amp; Transport (incl. Motor, Fuel and Taxi fare expenses)</v>
          </cell>
          <cell r="D604" t="str">
            <v>PV0474275</v>
          </cell>
          <cell r="E604" t="str">
            <v>T&amp;T to Mr.Okyeahene's School</v>
          </cell>
          <cell r="F604" t="str">
            <v>OK</v>
          </cell>
          <cell r="H604">
            <v>10</v>
          </cell>
        </row>
        <row r="605">
          <cell r="A605">
            <v>42248</v>
          </cell>
          <cell r="B605">
            <v>338</v>
          </cell>
          <cell r="C605" t="str">
            <v>AGARTHA BOTCHWAY</v>
          </cell>
          <cell r="D605" t="str">
            <v>RV0165094</v>
          </cell>
          <cell r="E605" t="str">
            <v>Cash  Deposit</v>
          </cell>
          <cell r="F605" t="str">
            <v>OK</v>
          </cell>
          <cell r="G605">
            <v>10</v>
          </cell>
          <cell r="N605">
            <v>10</v>
          </cell>
        </row>
        <row r="606">
          <cell r="A606">
            <v>42249</v>
          </cell>
          <cell r="B606">
            <v>178</v>
          </cell>
          <cell r="C606" t="str">
            <v>OSOFO MAAME CLASS</v>
          </cell>
          <cell r="D606" t="str">
            <v>RV0165095</v>
          </cell>
          <cell r="E606" t="str">
            <v>Cash  Deposit</v>
          </cell>
          <cell r="F606" t="str">
            <v>OK</v>
          </cell>
          <cell r="G606">
            <v>73</v>
          </cell>
          <cell r="N606">
            <v>73</v>
          </cell>
        </row>
        <row r="607">
          <cell r="A607">
            <v>42249</v>
          </cell>
          <cell r="B607">
            <v>365</v>
          </cell>
          <cell r="C607" t="str">
            <v>RACHEAL VISSION WORKERS</v>
          </cell>
          <cell r="D607" t="str">
            <v>RV0165096</v>
          </cell>
          <cell r="E607" t="str">
            <v>Cash  Deposit</v>
          </cell>
          <cell r="F607" t="str">
            <v>OK</v>
          </cell>
          <cell r="G607">
            <v>43</v>
          </cell>
          <cell r="N607">
            <v>43</v>
          </cell>
        </row>
        <row r="608">
          <cell r="A608">
            <v>42249</v>
          </cell>
          <cell r="B608">
            <v>300</v>
          </cell>
          <cell r="C608" t="str">
            <v>CIRCUIT WOMEN'S FELLOWSHIP METH.</v>
          </cell>
          <cell r="D608" t="str">
            <v>RV0165097</v>
          </cell>
          <cell r="E608" t="str">
            <v>Cash  Deposit</v>
          </cell>
          <cell r="F608" t="str">
            <v>OK</v>
          </cell>
          <cell r="G608">
            <v>45</v>
          </cell>
          <cell r="N608">
            <v>45</v>
          </cell>
        </row>
        <row r="609">
          <cell r="A609">
            <v>42249</v>
          </cell>
          <cell r="B609">
            <v>301</v>
          </cell>
          <cell r="C609" t="str">
            <v>ELIZABETH QUAYE</v>
          </cell>
          <cell r="D609" t="str">
            <v>RV0165098</v>
          </cell>
          <cell r="E609" t="str">
            <v>Loan repayment / interest</v>
          </cell>
          <cell r="F609" t="str">
            <v>OK</v>
          </cell>
          <cell r="G609">
            <v>45</v>
          </cell>
          <cell r="R609">
            <v>38.75</v>
          </cell>
          <cell r="AQ609">
            <v>6.25</v>
          </cell>
        </row>
        <row r="610">
          <cell r="A610">
            <v>42249</v>
          </cell>
          <cell r="B610">
            <v>300</v>
          </cell>
          <cell r="C610" t="str">
            <v>CIRCUIT WOMEN'S FELLOWSHIP METH.</v>
          </cell>
          <cell r="D610" t="str">
            <v>PV0474276</v>
          </cell>
          <cell r="E610" t="str">
            <v>Savings  withdrawal</v>
          </cell>
          <cell r="F610" t="str">
            <v>OK</v>
          </cell>
          <cell r="H610">
            <v>500</v>
          </cell>
          <cell r="M610">
            <v>500</v>
          </cell>
        </row>
        <row r="611">
          <cell r="A611">
            <v>42249</v>
          </cell>
          <cell r="B611">
            <v>326</v>
          </cell>
          <cell r="C611" t="str">
            <v>OPEIKUMA TOWN METHODIST CH.</v>
          </cell>
          <cell r="D611" t="str">
            <v>PV0474277</v>
          </cell>
          <cell r="E611" t="str">
            <v>Savings  withdrawal</v>
          </cell>
          <cell r="F611" t="str">
            <v>OK</v>
          </cell>
          <cell r="H611">
            <v>170</v>
          </cell>
          <cell r="M611">
            <v>170</v>
          </cell>
        </row>
        <row r="612">
          <cell r="A612">
            <v>42249</v>
          </cell>
          <cell r="B612">
            <v>53400</v>
          </cell>
          <cell r="C612" t="str">
            <v>Repairs and Maintenance of office premises</v>
          </cell>
          <cell r="D612" t="str">
            <v>PV0474278</v>
          </cell>
          <cell r="E612" t="str">
            <v>Repair of office door</v>
          </cell>
          <cell r="F612" t="str">
            <v>OK</v>
          </cell>
          <cell r="H612">
            <v>35</v>
          </cell>
        </row>
        <row r="613">
          <cell r="C613" t="str">
            <v>&lt;-- enter valid PB./Acc. # in this cell!</v>
          </cell>
          <cell r="F613" t="str">
            <v>OK</v>
          </cell>
        </row>
        <row r="614">
          <cell r="C614" t="str">
            <v>&lt;-- enter valid PB./Acc. # in this cell!</v>
          </cell>
          <cell r="F614" t="str">
            <v>OK</v>
          </cell>
        </row>
        <row r="615">
          <cell r="C615" t="str">
            <v>&lt;-- enter valid PB./Acc. # in this cell!</v>
          </cell>
          <cell r="F615" t="str">
            <v>OK</v>
          </cell>
        </row>
        <row r="616">
          <cell r="C616" t="str">
            <v>&lt;-- enter valid PB./Acc. # in this cell!</v>
          </cell>
          <cell r="F616" t="str">
            <v>OK</v>
          </cell>
        </row>
        <row r="617">
          <cell r="C617" t="str">
            <v>&lt;-- enter valid PB./Acc. # in this cell!</v>
          </cell>
          <cell r="F617" t="str">
            <v>OK</v>
          </cell>
        </row>
        <row r="618">
          <cell r="C618" t="str">
            <v>&lt;-- enter valid PB./Acc. # in this cell!</v>
          </cell>
          <cell r="F618" t="str">
            <v>OK</v>
          </cell>
        </row>
        <row r="619">
          <cell r="C619" t="str">
            <v>&lt;-- enter valid PB./Acc. # in this cell!</v>
          </cell>
          <cell r="F619" t="str">
            <v>OK</v>
          </cell>
        </row>
        <row r="620">
          <cell r="C620" t="str">
            <v>&lt;-- enter valid PB./Acc. # in this cell!</v>
          </cell>
          <cell r="F620" t="str">
            <v>OK</v>
          </cell>
        </row>
        <row r="621">
          <cell r="C621" t="str">
            <v>&lt;-- enter valid PB./Acc. # in this cell!</v>
          </cell>
          <cell r="F621" t="str">
            <v>OK</v>
          </cell>
        </row>
        <row r="622">
          <cell r="C622" t="str">
            <v>&lt;-- enter valid PB./Acc. # in this cell!</v>
          </cell>
          <cell r="F622" t="str">
            <v>OK</v>
          </cell>
        </row>
        <row r="623">
          <cell r="C623" t="str">
            <v>&lt;-- enter valid PB./Acc. # in this cell!</v>
          </cell>
          <cell r="F623" t="str">
            <v>OK</v>
          </cell>
        </row>
        <row r="624">
          <cell r="C624" t="str">
            <v>&lt;-- enter valid PB./Acc. # in this cell!</v>
          </cell>
          <cell r="F624" t="str">
            <v>OK</v>
          </cell>
        </row>
        <row r="625">
          <cell r="C625" t="str">
            <v>&lt;-- enter valid PB./Acc. # in this cell!</v>
          </cell>
          <cell r="F625" t="str">
            <v>OK</v>
          </cell>
        </row>
        <row r="626">
          <cell r="C626" t="str">
            <v>&lt;-- enter valid PB./Acc. # in this cell!</v>
          </cell>
          <cell r="F626" t="str">
            <v>OK</v>
          </cell>
        </row>
        <row r="627">
          <cell r="C627" t="str">
            <v>&lt;-- enter valid PB./Acc. # in this cell!</v>
          </cell>
          <cell r="F627" t="str">
            <v>OK</v>
          </cell>
        </row>
        <row r="628">
          <cell r="C628" t="str">
            <v>&lt;-- enter valid PB./Acc. # in this cell!</v>
          </cell>
          <cell r="F628" t="str">
            <v>OK</v>
          </cell>
        </row>
        <row r="629">
          <cell r="C629" t="str">
            <v>&lt;-- enter valid PB./Acc. # in this cell!</v>
          </cell>
          <cell r="F629" t="str">
            <v>OK</v>
          </cell>
        </row>
        <row r="630">
          <cell r="C630" t="str">
            <v>&lt;-- enter valid PB./Acc. # in this cell!</v>
          </cell>
          <cell r="F630" t="str">
            <v>OK</v>
          </cell>
        </row>
        <row r="631">
          <cell r="C631" t="str">
            <v>&lt;-- enter valid PB./Acc. # in this cell!</v>
          </cell>
          <cell r="F631" t="str">
            <v>OK</v>
          </cell>
        </row>
        <row r="632">
          <cell r="C632" t="str">
            <v>&lt;-- enter valid PB./Acc. # in this cell!</v>
          </cell>
          <cell r="F632" t="str">
            <v>OK</v>
          </cell>
        </row>
        <row r="633">
          <cell r="C633" t="str">
            <v>&lt;-- enter valid PB./Acc. # in this cell!</v>
          </cell>
          <cell r="F633" t="str">
            <v>OK</v>
          </cell>
        </row>
        <row r="634">
          <cell r="C634" t="str">
            <v>&lt;-- enter valid PB./Acc. # in this cell!</v>
          </cell>
          <cell r="F634" t="str">
            <v>OK</v>
          </cell>
        </row>
        <row r="635">
          <cell r="C635" t="str">
            <v>&lt;-- enter valid PB./Acc. # in this cell!</v>
          </cell>
          <cell r="F635" t="str">
            <v>OK</v>
          </cell>
        </row>
        <row r="636">
          <cell r="C636" t="str">
            <v>&lt;-- enter valid PB./Acc. # in this cell!</v>
          </cell>
          <cell r="F636" t="str">
            <v>OK</v>
          </cell>
        </row>
        <row r="637">
          <cell r="C637" t="str">
            <v>&lt;-- enter valid PB./Acc. # in this cell!</v>
          </cell>
          <cell r="F637" t="str">
            <v>OK</v>
          </cell>
        </row>
        <row r="638">
          <cell r="C638" t="str">
            <v>&lt;-- enter valid PB./Acc. # in this cell!</v>
          </cell>
          <cell r="F638" t="str">
            <v>OK</v>
          </cell>
        </row>
        <row r="639">
          <cell r="C639" t="str">
            <v>&lt;-- enter valid PB./Acc. # in this cell!</v>
          </cell>
          <cell r="F639" t="str">
            <v>OK</v>
          </cell>
        </row>
        <row r="640">
          <cell r="C640" t="str">
            <v>&lt;-- enter valid PB./Acc. # in this cell!</v>
          </cell>
          <cell r="F640" t="str">
            <v>OK</v>
          </cell>
        </row>
        <row r="641">
          <cell r="C641" t="str">
            <v>&lt;-- enter valid PB./Acc. # in this cell!</v>
          </cell>
          <cell r="F641" t="str">
            <v>OK</v>
          </cell>
        </row>
        <row r="642">
          <cell r="C642" t="str">
            <v>&lt;-- enter valid PB./Acc. # in this cell!</v>
          </cell>
          <cell r="F642" t="str">
            <v>OK</v>
          </cell>
        </row>
        <row r="643">
          <cell r="C643" t="str">
            <v>&lt;-- enter valid PB./Acc. # in this cell!</v>
          </cell>
          <cell r="F643" t="str">
            <v>OK</v>
          </cell>
        </row>
        <row r="644">
          <cell r="C644" t="str">
            <v>&lt;-- enter valid PB./Acc. # in this cell!</v>
          </cell>
          <cell r="F644" t="str">
            <v>OK</v>
          </cell>
        </row>
        <row r="645">
          <cell r="C645" t="str">
            <v>&lt;-- enter valid PB./Acc. # in this cell!</v>
          </cell>
          <cell r="F645" t="str">
            <v>OK</v>
          </cell>
        </row>
        <row r="646">
          <cell r="C646" t="str">
            <v>&lt;-- enter valid PB./Acc. # in this cell!</v>
          </cell>
          <cell r="F646" t="str">
            <v>OK</v>
          </cell>
        </row>
        <row r="647">
          <cell r="C647" t="str">
            <v>&lt;-- enter valid PB./Acc. # in this cell!</v>
          </cell>
          <cell r="F647" t="str">
            <v>OK</v>
          </cell>
        </row>
        <row r="648">
          <cell r="C648" t="str">
            <v>&lt;-- enter valid PB./Acc. # in this cell!</v>
          </cell>
          <cell r="F648" t="str">
            <v>OK</v>
          </cell>
        </row>
        <row r="649">
          <cell r="C649" t="str">
            <v>&lt;-- enter valid PB./Acc. # in this cell!</v>
          </cell>
          <cell r="F649" t="str">
            <v>OK</v>
          </cell>
        </row>
        <row r="650">
          <cell r="C650" t="str">
            <v>&lt;-- enter valid PB./Acc. # in this cell!</v>
          </cell>
          <cell r="F650" t="str">
            <v>OK</v>
          </cell>
        </row>
        <row r="651">
          <cell r="C651" t="str">
            <v>&lt;-- enter valid PB./Acc. # in this cell!</v>
          </cell>
          <cell r="F651" t="str">
            <v>OK</v>
          </cell>
        </row>
        <row r="652">
          <cell r="C652" t="str">
            <v>&lt;-- enter valid PB./Acc. # in this cell!</v>
          </cell>
          <cell r="F652" t="str">
            <v>OK</v>
          </cell>
        </row>
        <row r="653">
          <cell r="C653" t="str">
            <v>&lt;-- enter valid PB./Acc. # in this cell!</v>
          </cell>
          <cell r="F653" t="str">
            <v>OK</v>
          </cell>
        </row>
        <row r="654">
          <cell r="C654" t="str">
            <v>&lt;-- enter valid PB./Acc. # in this cell!</v>
          </cell>
          <cell r="F654" t="str">
            <v>OK</v>
          </cell>
        </row>
        <row r="655">
          <cell r="C655" t="str">
            <v>&lt;-- enter valid PB./Acc. # in this cell!</v>
          </cell>
          <cell r="F655" t="str">
            <v>OK</v>
          </cell>
        </row>
        <row r="656">
          <cell r="C656" t="str">
            <v>&lt;-- enter valid PB./Acc. # in this cell!</v>
          </cell>
          <cell r="F656" t="str">
            <v>OK</v>
          </cell>
        </row>
        <row r="657">
          <cell r="C657" t="str">
            <v>&lt;-- enter valid PB./Acc. # in this cell!</v>
          </cell>
          <cell r="F657" t="str">
            <v>OK</v>
          </cell>
        </row>
        <row r="658">
          <cell r="C658" t="str">
            <v>&lt;-- enter valid PB./Acc. # in this cell!</v>
          </cell>
          <cell r="F658" t="str">
            <v>OK</v>
          </cell>
        </row>
        <row r="659">
          <cell r="C659" t="str">
            <v>&lt;-- enter valid PB./Acc. # in this cell!</v>
          </cell>
          <cell r="F659" t="str">
            <v>OK</v>
          </cell>
        </row>
        <row r="660">
          <cell r="C660" t="str">
            <v>&lt;-- enter valid PB./Acc. # in this cell!</v>
          </cell>
          <cell r="F660" t="str">
            <v>OK</v>
          </cell>
        </row>
        <row r="661">
          <cell r="C661" t="str">
            <v>&lt;-- enter valid PB./Acc. # in this cell!</v>
          </cell>
          <cell r="F661" t="str">
            <v>OK</v>
          </cell>
        </row>
        <row r="662">
          <cell r="C662" t="str">
            <v>&lt;-- enter valid PB./Acc. # in this cell!</v>
          </cell>
          <cell r="F662" t="str">
            <v>OK</v>
          </cell>
        </row>
        <row r="663">
          <cell r="C663" t="str">
            <v>&lt;-- enter valid PB./Acc. # in this cell!</v>
          </cell>
          <cell r="F663" t="str">
            <v>OK</v>
          </cell>
        </row>
        <row r="664">
          <cell r="C664" t="str">
            <v>&lt;-- enter valid PB./Acc. # in this cell!</v>
          </cell>
          <cell r="F664" t="str">
            <v>OK</v>
          </cell>
        </row>
        <row r="665">
          <cell r="C665" t="str">
            <v>&lt;-- enter valid PB./Acc. # in this cell!</v>
          </cell>
          <cell r="F665" t="str">
            <v>OK</v>
          </cell>
        </row>
        <row r="666">
          <cell r="C666" t="str">
            <v>&lt;-- enter valid PB./Acc. # in this cell!</v>
          </cell>
          <cell r="F666" t="str">
            <v>OK</v>
          </cell>
        </row>
        <row r="667">
          <cell r="C667" t="str">
            <v>&lt;-- enter valid PB./Acc. # in this cell!</v>
          </cell>
          <cell r="F667" t="str">
            <v>OK</v>
          </cell>
        </row>
        <row r="668">
          <cell r="C668" t="str">
            <v>&lt;-- enter valid PB./Acc. # in this cell!</v>
          </cell>
          <cell r="F668" t="str">
            <v>OK</v>
          </cell>
        </row>
        <row r="669">
          <cell r="C669" t="str">
            <v>&lt;-- enter valid PB./Acc. # in this cell!</v>
          </cell>
          <cell r="F669" t="str">
            <v>OK</v>
          </cell>
        </row>
        <row r="670">
          <cell r="C670" t="str">
            <v>&lt;-- enter valid PB./Acc. # in this cell!</v>
          </cell>
          <cell r="F670" t="str">
            <v>OK</v>
          </cell>
        </row>
        <row r="671">
          <cell r="C671" t="str">
            <v>&lt;-- enter valid PB./Acc. # in this cell!</v>
          </cell>
          <cell r="F671" t="str">
            <v>OK</v>
          </cell>
        </row>
        <row r="672">
          <cell r="C672" t="str">
            <v>&lt;-- enter valid PB./Acc. # in this cell!</v>
          </cell>
          <cell r="F672" t="str">
            <v>OK</v>
          </cell>
        </row>
        <row r="673">
          <cell r="C673" t="str">
            <v>&lt;-- enter valid PB./Acc. # in this cell!</v>
          </cell>
          <cell r="F673" t="str">
            <v>OK</v>
          </cell>
        </row>
        <row r="674">
          <cell r="C674" t="str">
            <v>&lt;-- enter valid PB./Acc. # in this cell!</v>
          </cell>
          <cell r="F674" t="str">
            <v>OK</v>
          </cell>
        </row>
        <row r="675">
          <cell r="C675" t="str">
            <v>&lt;-- enter valid PB./Acc. # in this cell!</v>
          </cell>
          <cell r="F675" t="str">
            <v>OK</v>
          </cell>
        </row>
        <row r="676">
          <cell r="C676" t="str">
            <v>&lt;-- enter valid PB./Acc. # in this cell!</v>
          </cell>
          <cell r="F676" t="str">
            <v>OK</v>
          </cell>
        </row>
        <row r="677">
          <cell r="C677" t="str">
            <v>&lt;-- enter valid PB./Acc. # in this cell!</v>
          </cell>
          <cell r="F677" t="str">
            <v>OK</v>
          </cell>
        </row>
        <row r="678">
          <cell r="C678" t="str">
            <v>&lt;-- enter valid PB./Acc. # in this cell!</v>
          </cell>
          <cell r="F678" t="str">
            <v>OK</v>
          </cell>
        </row>
        <row r="679">
          <cell r="C679" t="str">
            <v>&lt;-- enter valid PB./Acc. # in this cell!</v>
          </cell>
          <cell r="F679" t="str">
            <v>OK</v>
          </cell>
        </row>
        <row r="680">
          <cell r="C680" t="str">
            <v>&lt;-- enter valid PB./Acc. # in this cell!</v>
          </cell>
          <cell r="F680" t="str">
            <v>OK</v>
          </cell>
        </row>
        <row r="681">
          <cell r="C681" t="str">
            <v>&lt;-- enter valid PB./Acc. # in this cell!</v>
          </cell>
          <cell r="F681" t="str">
            <v>OK</v>
          </cell>
        </row>
        <row r="682">
          <cell r="C682" t="str">
            <v>&lt;-- enter valid PB./Acc. # in this cell!</v>
          </cell>
          <cell r="F682" t="str">
            <v>OK</v>
          </cell>
        </row>
        <row r="683">
          <cell r="C683" t="str">
            <v>&lt;-- enter valid PB./Acc. # in this cell!</v>
          </cell>
          <cell r="F683" t="str">
            <v>OK</v>
          </cell>
        </row>
        <row r="684">
          <cell r="C684" t="str">
            <v>&lt;-- enter valid PB./Acc. # in this cell!</v>
          </cell>
          <cell r="F684" t="str">
            <v>OK</v>
          </cell>
        </row>
        <row r="685">
          <cell r="C685" t="str">
            <v>&lt;-- enter valid PB./Acc. # in this cell!</v>
          </cell>
          <cell r="F685" t="str">
            <v>OK</v>
          </cell>
        </row>
        <row r="686">
          <cell r="C686" t="str">
            <v>&lt;-- enter valid PB./Acc. # in this cell!</v>
          </cell>
          <cell r="F686" t="str">
            <v>OK</v>
          </cell>
        </row>
        <row r="687">
          <cell r="C687" t="str">
            <v>&lt;-- enter valid PB./Acc. # in this cell!</v>
          </cell>
          <cell r="F687" t="str">
            <v>OK</v>
          </cell>
        </row>
        <row r="688">
          <cell r="C688" t="str">
            <v>&lt;-- enter valid PB./Acc. # in this cell!</v>
          </cell>
          <cell r="F688" t="str">
            <v>OK</v>
          </cell>
        </row>
        <row r="689">
          <cell r="C689" t="str">
            <v>&lt;-- enter valid PB./Acc. # in this cell!</v>
          </cell>
          <cell r="F689" t="str">
            <v>OK</v>
          </cell>
        </row>
        <row r="690">
          <cell r="C690" t="str">
            <v>&lt;-- enter valid PB./Acc. # in this cell!</v>
          </cell>
          <cell r="F690" t="str">
            <v>OK</v>
          </cell>
        </row>
        <row r="691">
          <cell r="C691" t="str">
            <v>&lt;-- enter valid PB./Acc. # in this cell!</v>
          </cell>
          <cell r="F691" t="str">
            <v>OK</v>
          </cell>
        </row>
        <row r="692">
          <cell r="C692" t="str">
            <v>&lt;-- enter valid PB./Acc. # in this cell!</v>
          </cell>
          <cell r="F692" t="str">
            <v>OK</v>
          </cell>
        </row>
        <row r="693">
          <cell r="C693" t="str">
            <v>&lt;-- enter valid PB./Acc. # in this cell!</v>
          </cell>
          <cell r="F693" t="str">
            <v>OK</v>
          </cell>
        </row>
        <row r="694">
          <cell r="C694" t="str">
            <v>&lt;-- enter valid PB./Acc. # in this cell!</v>
          </cell>
          <cell r="F694" t="str">
            <v>OK</v>
          </cell>
        </row>
        <row r="695">
          <cell r="C695" t="str">
            <v>&lt;-- enter valid PB./Acc. # in this cell!</v>
          </cell>
          <cell r="F695" t="str">
            <v>OK</v>
          </cell>
        </row>
        <row r="696">
          <cell r="C696" t="str">
            <v>&lt;-- enter valid PB./Acc. # in this cell!</v>
          </cell>
          <cell r="F696" t="str">
            <v>OK</v>
          </cell>
        </row>
        <row r="697">
          <cell r="C697" t="str">
            <v>&lt;-- enter valid PB./Acc. # in this cell!</v>
          </cell>
          <cell r="F697" t="str">
            <v>OK</v>
          </cell>
        </row>
        <row r="698">
          <cell r="C698" t="str">
            <v>&lt;-- enter valid PB./Acc. # in this cell!</v>
          </cell>
          <cell r="F698" t="str">
            <v>OK</v>
          </cell>
        </row>
        <row r="699">
          <cell r="C699" t="str">
            <v>&lt;-- enter valid PB./Acc. # in this cell!</v>
          </cell>
          <cell r="F699" t="str">
            <v>OK</v>
          </cell>
        </row>
        <row r="700">
          <cell r="C700" t="str">
            <v>&lt;-- enter valid PB./Acc. # in this cell!</v>
          </cell>
          <cell r="F700" t="str">
            <v>OK</v>
          </cell>
        </row>
        <row r="701">
          <cell r="C701" t="str">
            <v>&lt;-- enter valid PB./Acc. # in this cell!</v>
          </cell>
          <cell r="F701" t="str">
            <v>OK</v>
          </cell>
        </row>
        <row r="702">
          <cell r="C702" t="str">
            <v>&lt;-- enter valid PB./Acc. # in this cell!</v>
          </cell>
          <cell r="F702" t="str">
            <v>OK</v>
          </cell>
        </row>
        <row r="703">
          <cell r="C703" t="str">
            <v>&lt;-- enter valid PB./Acc. # in this cell!</v>
          </cell>
          <cell r="F703" t="str">
            <v>OK</v>
          </cell>
        </row>
        <row r="704">
          <cell r="C704" t="str">
            <v>&lt;-- enter valid PB./Acc. # in this cell!</v>
          </cell>
          <cell r="F704" t="str">
            <v>OK</v>
          </cell>
        </row>
        <row r="705">
          <cell r="C705" t="str">
            <v>&lt;-- enter valid PB./Acc. # in this cell!</v>
          </cell>
          <cell r="F705" t="str">
            <v>OK</v>
          </cell>
        </row>
        <row r="706">
          <cell r="C706" t="str">
            <v>&lt;-- enter valid PB./Acc. # in this cell!</v>
          </cell>
          <cell r="F706" t="str">
            <v>OK</v>
          </cell>
        </row>
        <row r="707">
          <cell r="C707" t="str">
            <v>&lt;-- enter valid PB./Acc. # in this cell!</v>
          </cell>
          <cell r="F707" t="str">
            <v>OK</v>
          </cell>
        </row>
        <row r="708">
          <cell r="C708" t="str">
            <v>&lt;-- enter valid PB./Acc. # in this cell!</v>
          </cell>
          <cell r="F708" t="str">
            <v>OK</v>
          </cell>
        </row>
        <row r="709">
          <cell r="C709" t="str">
            <v>&lt;-- enter valid PB./Acc. # in this cell!</v>
          </cell>
          <cell r="F709" t="str">
            <v>OK</v>
          </cell>
        </row>
        <row r="710">
          <cell r="C710" t="str">
            <v>&lt;-- enter valid PB./Acc. # in this cell!</v>
          </cell>
          <cell r="F710" t="str">
            <v>OK</v>
          </cell>
        </row>
        <row r="711">
          <cell r="C711" t="str">
            <v>&lt;-- enter valid PB./Acc. # in this cell!</v>
          </cell>
          <cell r="F711" t="str">
            <v>OK</v>
          </cell>
        </row>
        <row r="712">
          <cell r="C712" t="str">
            <v>&lt;-- enter valid PB./Acc. # in this cell!</v>
          </cell>
          <cell r="F712" t="str">
            <v>OK</v>
          </cell>
        </row>
        <row r="713">
          <cell r="C713" t="str">
            <v>&lt;-- enter valid PB./Acc. # in this cell!</v>
          </cell>
          <cell r="F713" t="str">
            <v>OK</v>
          </cell>
        </row>
        <row r="714">
          <cell r="C714" t="str">
            <v>&lt;-- enter valid PB./Acc. # in this cell!</v>
          </cell>
          <cell r="F714" t="str">
            <v>OK</v>
          </cell>
        </row>
        <row r="715">
          <cell r="C715" t="str">
            <v>&lt;-- enter valid PB./Acc. # in this cell!</v>
          </cell>
          <cell r="F715" t="str">
            <v>OK</v>
          </cell>
        </row>
        <row r="716">
          <cell r="C716" t="str">
            <v>&lt;-- enter valid PB./Acc. # in this cell!</v>
          </cell>
          <cell r="F716" t="str">
            <v>OK</v>
          </cell>
        </row>
        <row r="717">
          <cell r="C717" t="str">
            <v>&lt;-- enter valid PB./Acc. # in this cell!</v>
          </cell>
          <cell r="F717" t="str">
            <v>OK</v>
          </cell>
        </row>
        <row r="718">
          <cell r="C718" t="str">
            <v>&lt;-- enter valid PB./Acc. # in this cell!</v>
          </cell>
          <cell r="F718" t="str">
            <v>OK</v>
          </cell>
        </row>
        <row r="719">
          <cell r="C719" t="str">
            <v>&lt;-- enter valid PB./Acc. # in this cell!</v>
          </cell>
          <cell r="F719" t="str">
            <v>OK</v>
          </cell>
        </row>
        <row r="720">
          <cell r="C720" t="str">
            <v>&lt;-- enter valid PB./Acc. # in this cell!</v>
          </cell>
          <cell r="F720" t="str">
            <v>OK</v>
          </cell>
        </row>
        <row r="721">
          <cell r="C721" t="str">
            <v>&lt;-- enter valid PB./Acc. # in this cell!</v>
          </cell>
          <cell r="F721" t="str">
            <v>OK</v>
          </cell>
        </row>
        <row r="722">
          <cell r="C722" t="str">
            <v>&lt;-- enter valid PB./Acc. # in this cell!</v>
          </cell>
          <cell r="F722" t="str">
            <v>OK</v>
          </cell>
        </row>
        <row r="723">
          <cell r="C723" t="str">
            <v>&lt;-- enter valid PB./Acc. # in this cell!</v>
          </cell>
          <cell r="F723" t="str">
            <v>OK</v>
          </cell>
        </row>
        <row r="724">
          <cell r="C724" t="str">
            <v>&lt;-- enter valid PB./Acc. # in this cell!</v>
          </cell>
          <cell r="F724" t="str">
            <v>OK</v>
          </cell>
        </row>
        <row r="725">
          <cell r="C725" t="str">
            <v>&lt;-- enter valid PB./Acc. # in this cell!</v>
          </cell>
          <cell r="F725" t="str">
            <v>OK</v>
          </cell>
        </row>
        <row r="726">
          <cell r="C726" t="str">
            <v>&lt;-- enter valid PB./Acc. # in this cell!</v>
          </cell>
          <cell r="F726" t="str">
            <v>OK</v>
          </cell>
        </row>
        <row r="727">
          <cell r="C727" t="str">
            <v>&lt;-- enter valid PB./Acc. # in this cell!</v>
          </cell>
          <cell r="F727" t="str">
            <v>OK</v>
          </cell>
        </row>
        <row r="728">
          <cell r="C728" t="str">
            <v>&lt;-- enter valid PB./Acc. # in this cell!</v>
          </cell>
          <cell r="F728" t="str">
            <v>OK</v>
          </cell>
        </row>
        <row r="729">
          <cell r="C729" t="str">
            <v>&lt;-- enter valid PB./Acc. # in this cell!</v>
          </cell>
          <cell r="F729" t="str">
            <v>OK</v>
          </cell>
        </row>
        <row r="730">
          <cell r="C730" t="str">
            <v>&lt;-- enter valid PB./Acc. # in this cell!</v>
          </cell>
          <cell r="F730" t="str">
            <v>OK</v>
          </cell>
        </row>
        <row r="731">
          <cell r="C731" t="str">
            <v>&lt;-- enter valid PB./Acc. # in this cell!</v>
          </cell>
          <cell r="F731" t="str">
            <v>OK</v>
          </cell>
        </row>
        <row r="732">
          <cell r="C732" t="str">
            <v>&lt;-- enter valid PB./Acc. # in this cell!</v>
          </cell>
          <cell r="F732" t="str">
            <v>OK</v>
          </cell>
        </row>
        <row r="733">
          <cell r="C733" t="str">
            <v>&lt;-- enter valid PB./Acc. # in this cell!</v>
          </cell>
          <cell r="F733" t="str">
            <v>OK</v>
          </cell>
        </row>
        <row r="734">
          <cell r="C734" t="str">
            <v>&lt;-- enter valid PB./Acc. # in this cell!</v>
          </cell>
          <cell r="F734" t="str">
            <v>OK</v>
          </cell>
        </row>
        <row r="735">
          <cell r="C735" t="str">
            <v>&lt;-- enter valid PB./Acc. # in this cell!</v>
          </cell>
          <cell r="F735" t="str">
            <v>OK</v>
          </cell>
        </row>
        <row r="736">
          <cell r="C736" t="str">
            <v>&lt;-- enter valid PB./Acc. # in this cell!</v>
          </cell>
          <cell r="F736" t="str">
            <v>OK</v>
          </cell>
        </row>
        <row r="737">
          <cell r="C737" t="str">
            <v>&lt;-- enter valid PB./Acc. # in this cell!</v>
          </cell>
          <cell r="F737" t="str">
            <v>OK</v>
          </cell>
        </row>
        <row r="738">
          <cell r="C738" t="str">
            <v>&lt;-- enter valid PB./Acc. # in this cell!</v>
          </cell>
          <cell r="F738" t="str">
            <v>OK</v>
          </cell>
        </row>
        <row r="739">
          <cell r="C739" t="str">
            <v>&lt;-- enter valid PB./Acc. # in this cell!</v>
          </cell>
          <cell r="F739" t="str">
            <v>OK</v>
          </cell>
        </row>
        <row r="740">
          <cell r="C740" t="str">
            <v>&lt;-- enter valid PB./Acc. # in this cell!</v>
          </cell>
          <cell r="F740" t="str">
            <v>OK</v>
          </cell>
        </row>
        <row r="741">
          <cell r="C741" t="str">
            <v>&lt;-- enter valid PB./Acc. # in this cell!</v>
          </cell>
          <cell r="F741" t="str">
            <v>OK</v>
          </cell>
        </row>
        <row r="742">
          <cell r="C742" t="str">
            <v>&lt;-- enter valid PB./Acc. # in this cell!</v>
          </cell>
          <cell r="F742" t="str">
            <v>OK</v>
          </cell>
        </row>
        <row r="743">
          <cell r="C743" t="str">
            <v>&lt;-- enter valid PB./Acc. # in this cell!</v>
          </cell>
          <cell r="F743" t="str">
            <v>OK</v>
          </cell>
        </row>
        <row r="744">
          <cell r="C744" t="str">
            <v>&lt;-- enter valid PB./Acc. # in this cell!</v>
          </cell>
          <cell r="F744" t="str">
            <v>OK</v>
          </cell>
        </row>
        <row r="745">
          <cell r="C745" t="str">
            <v>&lt;-- enter valid PB./Acc. # in this cell!</v>
          </cell>
          <cell r="F745" t="str">
            <v>OK</v>
          </cell>
        </row>
        <row r="746">
          <cell r="C746" t="str">
            <v>&lt;-- enter valid PB./Acc. # in this cell!</v>
          </cell>
          <cell r="F746" t="str">
            <v>OK</v>
          </cell>
        </row>
        <row r="747">
          <cell r="C747" t="str">
            <v>&lt;-- enter valid PB./Acc. # in this cell!</v>
          </cell>
          <cell r="F747" t="str">
            <v>OK</v>
          </cell>
        </row>
        <row r="748">
          <cell r="C748" t="str">
            <v>&lt;-- enter valid PB./Acc. # in this cell!</v>
          </cell>
          <cell r="F748" t="str">
            <v>OK</v>
          </cell>
        </row>
        <row r="749">
          <cell r="C749" t="str">
            <v>&lt;-- enter valid PB./Acc. # in this cell!</v>
          </cell>
          <cell r="F749" t="str">
            <v>OK</v>
          </cell>
        </row>
        <row r="750">
          <cell r="C750" t="str">
            <v>&lt;-- enter valid PB./Acc. # in this cell!</v>
          </cell>
          <cell r="F750" t="str">
            <v>OK</v>
          </cell>
        </row>
        <row r="751">
          <cell r="C751" t="str">
            <v>&lt;-- enter valid PB./Acc. # in this cell!</v>
          </cell>
          <cell r="F751" t="str">
            <v>OK</v>
          </cell>
        </row>
        <row r="752">
          <cell r="C752" t="str">
            <v>&lt;-- enter valid PB./Acc. # in this cell!</v>
          </cell>
          <cell r="F752" t="str">
            <v>OK</v>
          </cell>
        </row>
        <row r="753">
          <cell r="C753" t="str">
            <v>&lt;-- enter valid PB./Acc. # in this cell!</v>
          </cell>
          <cell r="F753" t="str">
            <v>OK</v>
          </cell>
        </row>
        <row r="754">
          <cell r="C754" t="str">
            <v>&lt;-- enter valid PB./Acc. # in this cell!</v>
          </cell>
          <cell r="F754" t="str">
            <v>OK</v>
          </cell>
        </row>
        <row r="755">
          <cell r="C755" t="str">
            <v>&lt;-- enter valid PB./Acc. # in this cell!</v>
          </cell>
          <cell r="F755" t="str">
            <v>OK</v>
          </cell>
        </row>
        <row r="756">
          <cell r="C756" t="str">
            <v>&lt;-- enter valid PB./Acc. # in this cell!</v>
          </cell>
          <cell r="F756" t="str">
            <v>OK</v>
          </cell>
        </row>
        <row r="757">
          <cell r="C757" t="str">
            <v>&lt;-- enter valid PB./Acc. # in this cell!</v>
          </cell>
          <cell r="F757" t="str">
            <v>OK</v>
          </cell>
        </row>
        <row r="758">
          <cell r="C758" t="str">
            <v>&lt;-- enter valid PB./Acc. # in this cell!</v>
          </cell>
          <cell r="F758" t="str">
            <v>OK</v>
          </cell>
        </row>
        <row r="759">
          <cell r="C759" t="str">
            <v>&lt;-- enter valid PB./Acc. # in this cell!</v>
          </cell>
          <cell r="F759" t="str">
            <v>OK</v>
          </cell>
        </row>
        <row r="760">
          <cell r="C760" t="str">
            <v>&lt;-- enter valid PB./Acc. # in this cell!</v>
          </cell>
          <cell r="F760" t="str">
            <v>OK</v>
          </cell>
        </row>
        <row r="761">
          <cell r="C761" t="str">
            <v>&lt;-- enter valid PB./Acc. # in this cell!</v>
          </cell>
          <cell r="F761" t="str">
            <v>OK</v>
          </cell>
        </row>
        <row r="762">
          <cell r="C762" t="str">
            <v>&lt;-- enter valid PB./Acc. # in this cell!</v>
          </cell>
          <cell r="F762" t="str">
            <v>OK</v>
          </cell>
        </row>
        <row r="763">
          <cell r="C763" t="str">
            <v>&lt;-- enter valid PB./Acc. # in this cell!</v>
          </cell>
          <cell r="F763" t="str">
            <v>OK</v>
          </cell>
        </row>
        <row r="764">
          <cell r="C764" t="str">
            <v>&lt;-- enter valid PB./Acc. # in this cell!</v>
          </cell>
          <cell r="F764" t="str">
            <v>OK</v>
          </cell>
        </row>
        <row r="765">
          <cell r="C765" t="str">
            <v>&lt;-- enter valid PB./Acc. # in this cell!</v>
          </cell>
          <cell r="F765" t="str">
            <v>OK</v>
          </cell>
        </row>
        <row r="766">
          <cell r="C766" t="str">
            <v>&lt;-- enter valid PB./Acc. # in this cell!</v>
          </cell>
          <cell r="F766" t="str">
            <v>OK</v>
          </cell>
        </row>
        <row r="767">
          <cell r="C767" t="str">
            <v>&lt;-- enter valid PB./Acc. # in this cell!</v>
          </cell>
          <cell r="F767" t="str">
            <v>OK</v>
          </cell>
        </row>
        <row r="768">
          <cell r="C768" t="str">
            <v>&lt;-- enter valid PB./Acc. # in this cell!</v>
          </cell>
          <cell r="F768" t="str">
            <v>OK</v>
          </cell>
        </row>
        <row r="769">
          <cell r="C769" t="str">
            <v>&lt;-- enter valid PB./Acc. # in this cell!</v>
          </cell>
          <cell r="F769" t="str">
            <v>OK</v>
          </cell>
        </row>
        <row r="770">
          <cell r="C770" t="str">
            <v>&lt;-- enter valid PB./Acc. # in this cell!</v>
          </cell>
          <cell r="F770" t="str">
            <v>OK</v>
          </cell>
        </row>
        <row r="771">
          <cell r="C771" t="str">
            <v>&lt;-- enter valid PB./Acc. # in this cell!</v>
          </cell>
          <cell r="F771" t="str">
            <v>OK</v>
          </cell>
        </row>
        <row r="772">
          <cell r="C772" t="str">
            <v>&lt;-- enter valid PB./Acc. # in this cell!</v>
          </cell>
          <cell r="F772" t="str">
            <v>OK</v>
          </cell>
        </row>
        <row r="773">
          <cell r="C773" t="str">
            <v>&lt;-- enter valid PB./Acc. # in this cell!</v>
          </cell>
          <cell r="F773" t="str">
            <v>OK</v>
          </cell>
        </row>
        <row r="774">
          <cell r="C774" t="str">
            <v>&lt;-- enter valid PB./Acc. # in this cell!</v>
          </cell>
          <cell r="F774" t="str">
            <v>OK</v>
          </cell>
        </row>
        <row r="775">
          <cell r="C775" t="str">
            <v>&lt;-- enter valid PB./Acc. # in this cell!</v>
          </cell>
          <cell r="F775" t="str">
            <v>OK</v>
          </cell>
        </row>
        <row r="776">
          <cell r="C776" t="str">
            <v>&lt;-- enter valid PB./Acc. # in this cell!</v>
          </cell>
          <cell r="F776" t="str">
            <v>OK</v>
          </cell>
        </row>
        <row r="777">
          <cell r="C777" t="str">
            <v>&lt;-- enter valid PB./Acc. # in this cell!</v>
          </cell>
          <cell r="F777" t="str">
            <v>OK</v>
          </cell>
        </row>
        <row r="778">
          <cell r="C778" t="str">
            <v>&lt;-- enter valid PB./Acc. # in this cell!</v>
          </cell>
          <cell r="F778" t="str">
            <v>OK</v>
          </cell>
        </row>
        <row r="779">
          <cell r="C779" t="str">
            <v>&lt;-- enter valid PB./Acc. # in this cell!</v>
          </cell>
          <cell r="F779" t="str">
            <v>OK</v>
          </cell>
        </row>
        <row r="780">
          <cell r="C780" t="str">
            <v>&lt;-- enter valid PB./Acc. # in this cell!</v>
          </cell>
          <cell r="F780" t="str">
            <v>OK</v>
          </cell>
        </row>
        <row r="781">
          <cell r="C781" t="str">
            <v>&lt;-- enter valid PB./Acc. # in this cell!</v>
          </cell>
          <cell r="F781" t="str">
            <v>OK</v>
          </cell>
        </row>
        <row r="782">
          <cell r="C782" t="str">
            <v>&lt;-- enter valid PB./Acc. # in this cell!</v>
          </cell>
          <cell r="F782" t="str">
            <v>OK</v>
          </cell>
        </row>
        <row r="783">
          <cell r="C783" t="str">
            <v>&lt;-- enter valid PB./Acc. # in this cell!</v>
          </cell>
          <cell r="F783" t="str">
            <v>OK</v>
          </cell>
        </row>
        <row r="784">
          <cell r="C784" t="str">
            <v>&lt;-- enter valid PB./Acc. # in this cell!</v>
          </cell>
          <cell r="F784" t="str">
            <v>OK</v>
          </cell>
        </row>
        <row r="785">
          <cell r="C785" t="str">
            <v>&lt;-- enter valid PB./Acc. # in this cell!</v>
          </cell>
          <cell r="F785" t="str">
            <v>OK</v>
          </cell>
        </row>
        <row r="786">
          <cell r="C786" t="str">
            <v>&lt;-- enter valid PB./Acc. # in this cell!</v>
          </cell>
          <cell r="F786" t="str">
            <v>OK</v>
          </cell>
        </row>
        <row r="787">
          <cell r="C787" t="str">
            <v>&lt;-- enter valid PB./Acc. # in this cell!</v>
          </cell>
          <cell r="F787" t="str">
            <v>OK</v>
          </cell>
        </row>
        <row r="788">
          <cell r="C788" t="str">
            <v>&lt;-- enter valid PB./Acc. # in this cell!</v>
          </cell>
          <cell r="F788" t="str">
            <v>OK</v>
          </cell>
        </row>
        <row r="789">
          <cell r="C789" t="str">
            <v>&lt;-- enter valid PB./Acc. # in this cell!</v>
          </cell>
          <cell r="F789" t="str">
            <v>OK</v>
          </cell>
        </row>
        <row r="790">
          <cell r="C790" t="str">
            <v>&lt;-- enter valid PB./Acc. # in this cell!</v>
          </cell>
          <cell r="F790" t="str">
            <v>OK</v>
          </cell>
        </row>
        <row r="791">
          <cell r="C791" t="str">
            <v>&lt;-- enter valid PB./Acc. # in this cell!</v>
          </cell>
          <cell r="F791" t="str">
            <v>OK</v>
          </cell>
        </row>
        <row r="792">
          <cell r="C792" t="str">
            <v>&lt;-- enter valid PB./Acc. # in this cell!</v>
          </cell>
          <cell r="F792" t="str">
            <v>OK</v>
          </cell>
        </row>
        <row r="793">
          <cell r="C793" t="str">
            <v>&lt;-- enter valid PB./Acc. # in this cell!</v>
          </cell>
          <cell r="F793" t="str">
            <v>OK</v>
          </cell>
        </row>
        <row r="794">
          <cell r="C794" t="str">
            <v>&lt;-- enter valid PB./Acc. # in this cell!</v>
          </cell>
          <cell r="F794" t="str">
            <v>OK</v>
          </cell>
        </row>
        <row r="795">
          <cell r="C795" t="str">
            <v>&lt;-- enter valid PB./Acc. # in this cell!</v>
          </cell>
          <cell r="F795" t="str">
            <v>OK</v>
          </cell>
        </row>
        <row r="796">
          <cell r="C796" t="str">
            <v>&lt;-- enter valid PB./Acc. # in this cell!</v>
          </cell>
          <cell r="F796" t="str">
            <v>OK</v>
          </cell>
        </row>
        <row r="797">
          <cell r="C797" t="str">
            <v>&lt;-- enter valid PB./Acc. # in this cell!</v>
          </cell>
          <cell r="F797" t="str">
            <v>OK</v>
          </cell>
        </row>
        <row r="798">
          <cell r="C798" t="str">
            <v>&lt;-- enter valid PB./Acc. # in this cell!</v>
          </cell>
          <cell r="F798" t="str">
            <v>OK</v>
          </cell>
        </row>
        <row r="799">
          <cell r="C799" t="str">
            <v>&lt;-- enter valid PB./Acc. # in this cell!</v>
          </cell>
          <cell r="F799" t="str">
            <v>OK</v>
          </cell>
        </row>
        <row r="800">
          <cell r="C800" t="str">
            <v>&lt;-- enter valid PB./Acc. # in this cell!</v>
          </cell>
          <cell r="F800" t="str">
            <v>OK</v>
          </cell>
        </row>
        <row r="801">
          <cell r="C801" t="str">
            <v>&lt;-- enter valid PB./Acc. # in this cell!</v>
          </cell>
          <cell r="F801" t="str">
            <v>OK</v>
          </cell>
        </row>
        <row r="802">
          <cell r="C802" t="str">
            <v>&lt;-- enter valid PB./Acc. # in this cell!</v>
          </cell>
          <cell r="F802" t="str">
            <v>OK</v>
          </cell>
        </row>
        <row r="803">
          <cell r="C803" t="str">
            <v>&lt;-- enter valid PB./Acc. # in this cell!</v>
          </cell>
          <cell r="F803" t="str">
            <v>OK</v>
          </cell>
        </row>
        <row r="804">
          <cell r="C804" t="str">
            <v>&lt;-- enter valid PB./Acc. # in this cell!</v>
          </cell>
          <cell r="F804" t="str">
            <v>OK</v>
          </cell>
        </row>
        <row r="805">
          <cell r="C805" t="str">
            <v>&lt;-- enter valid PB./Acc. # in this cell!</v>
          </cell>
          <cell r="F805" t="str">
            <v>OK</v>
          </cell>
        </row>
        <row r="806">
          <cell r="C806" t="str">
            <v>&lt;-- enter valid PB./Acc. # in this cell!</v>
          </cell>
          <cell r="F806" t="str">
            <v>OK</v>
          </cell>
        </row>
        <row r="807">
          <cell r="C807" t="str">
            <v>&lt;-- enter valid PB./Acc. # in this cell!</v>
          </cell>
          <cell r="F807" t="str">
            <v>OK</v>
          </cell>
        </row>
        <row r="808">
          <cell r="C808" t="str">
            <v>&lt;-- enter valid PB./Acc. # in this cell!</v>
          </cell>
          <cell r="F808" t="str">
            <v>OK</v>
          </cell>
        </row>
        <row r="809">
          <cell r="C809" t="str">
            <v>&lt;-- enter valid PB./Acc. # in this cell!</v>
          </cell>
          <cell r="F809" t="str">
            <v>OK</v>
          </cell>
        </row>
        <row r="810">
          <cell r="C810" t="str">
            <v>&lt;-- enter valid PB./Acc. # in this cell!</v>
          </cell>
          <cell r="F810" t="str">
            <v>OK</v>
          </cell>
        </row>
        <row r="811">
          <cell r="C811" t="str">
            <v>&lt;-- enter valid PB./Acc. # in this cell!</v>
          </cell>
          <cell r="F811" t="str">
            <v>OK</v>
          </cell>
        </row>
        <row r="812">
          <cell r="C812" t="str">
            <v>&lt;-- enter valid PB./Acc. # in this cell!</v>
          </cell>
          <cell r="F812" t="str">
            <v>OK</v>
          </cell>
        </row>
        <row r="813">
          <cell r="C813" t="str">
            <v>&lt;-- enter valid PB./Acc. # in this cell!</v>
          </cell>
          <cell r="F813" t="str">
            <v>OK</v>
          </cell>
        </row>
        <row r="814">
          <cell r="C814" t="str">
            <v>&lt;-- enter valid PB./Acc. # in this cell!</v>
          </cell>
          <cell r="F814" t="str">
            <v>OK</v>
          </cell>
        </row>
        <row r="815">
          <cell r="C815" t="str">
            <v>&lt;-- enter valid PB./Acc. # in this cell!</v>
          </cell>
          <cell r="F815" t="str">
            <v>OK</v>
          </cell>
        </row>
        <row r="816">
          <cell r="C816" t="str">
            <v>&lt;-- enter valid PB./Acc. # in this cell!</v>
          </cell>
          <cell r="F816" t="str">
            <v>OK</v>
          </cell>
        </row>
        <row r="817">
          <cell r="C817" t="str">
            <v>&lt;-- enter valid PB./Acc. # in this cell!</v>
          </cell>
          <cell r="F817" t="str">
            <v>OK</v>
          </cell>
        </row>
        <row r="818">
          <cell r="C818" t="str">
            <v>&lt;-- enter valid PB./Acc. # in this cell!</v>
          </cell>
          <cell r="F818" t="str">
            <v>OK</v>
          </cell>
        </row>
        <row r="819">
          <cell r="C819" t="str">
            <v>&lt;-- enter valid PB./Acc. # in this cell!</v>
          </cell>
          <cell r="F819" t="str">
            <v>OK</v>
          </cell>
        </row>
        <row r="820">
          <cell r="C820" t="str">
            <v>&lt;-- enter valid PB./Acc. # in this cell!</v>
          </cell>
          <cell r="F820" t="str">
            <v>OK</v>
          </cell>
        </row>
        <row r="821">
          <cell r="C821" t="str">
            <v>&lt;-- enter valid PB./Acc. # in this cell!</v>
          </cell>
          <cell r="F821" t="str">
            <v>OK</v>
          </cell>
        </row>
        <row r="822">
          <cell r="C822" t="str">
            <v>&lt;-- enter valid PB./Acc. # in this cell!</v>
          </cell>
          <cell r="F822" t="str">
            <v>OK</v>
          </cell>
        </row>
        <row r="823">
          <cell r="C823" t="str">
            <v>&lt;-- enter valid PB./Acc. # in this cell!</v>
          </cell>
          <cell r="F823" t="str">
            <v>OK</v>
          </cell>
        </row>
        <row r="824">
          <cell r="C824" t="str">
            <v>&lt;-- enter valid PB./Acc. # in this cell!</v>
          </cell>
          <cell r="F824" t="str">
            <v>OK</v>
          </cell>
        </row>
        <row r="825">
          <cell r="C825" t="str">
            <v>&lt;-- enter valid PB./Acc. # in this cell!</v>
          </cell>
          <cell r="F825" t="str">
            <v>OK</v>
          </cell>
        </row>
        <row r="826">
          <cell r="C826" t="str">
            <v>&lt;-- enter valid PB./Acc. # in this cell!</v>
          </cell>
          <cell r="F826" t="str">
            <v>OK</v>
          </cell>
        </row>
        <row r="827">
          <cell r="C827" t="str">
            <v>&lt;-- enter valid PB./Acc. # in this cell!</v>
          </cell>
          <cell r="F827" t="str">
            <v>OK</v>
          </cell>
        </row>
        <row r="828">
          <cell r="C828" t="str">
            <v>&lt;-- enter valid PB./Acc. # in this cell!</v>
          </cell>
          <cell r="F828" t="str">
            <v>OK</v>
          </cell>
        </row>
        <row r="829">
          <cell r="C829" t="str">
            <v>&lt;-- enter valid PB./Acc. # in this cell!</v>
          </cell>
          <cell r="F829" t="str">
            <v>OK</v>
          </cell>
        </row>
        <row r="830">
          <cell r="C830" t="str">
            <v>&lt;-- enter valid PB./Acc. # in this cell!</v>
          </cell>
          <cell r="F830" t="str">
            <v>OK</v>
          </cell>
        </row>
        <row r="831">
          <cell r="C831" t="str">
            <v>&lt;-- enter valid PB./Acc. # in this cell!</v>
          </cell>
          <cell r="F831" t="str">
            <v>OK</v>
          </cell>
        </row>
        <row r="832">
          <cell r="C832" t="str">
            <v>&lt;-- enter valid PB./Acc. # in this cell!</v>
          </cell>
          <cell r="F832" t="str">
            <v>OK</v>
          </cell>
        </row>
        <row r="833">
          <cell r="C833" t="str">
            <v>&lt;-- enter valid PB./Acc. # in this cell!</v>
          </cell>
          <cell r="F833" t="str">
            <v>OK</v>
          </cell>
        </row>
        <row r="834">
          <cell r="C834" t="str">
            <v>&lt;-- enter valid PB./Acc. # in this cell!</v>
          </cell>
          <cell r="F834" t="str">
            <v>OK</v>
          </cell>
        </row>
        <row r="835">
          <cell r="C835" t="str">
            <v>&lt;-- enter valid PB./Acc. # in this cell!</v>
          </cell>
          <cell r="F835" t="str">
            <v>OK</v>
          </cell>
        </row>
        <row r="836">
          <cell r="C836" t="str">
            <v>&lt;-- enter valid PB./Acc. # in this cell!</v>
          </cell>
          <cell r="F836" t="str">
            <v>OK</v>
          </cell>
        </row>
        <row r="837">
          <cell r="C837" t="str">
            <v>&lt;-- enter valid PB./Acc. # in this cell!</v>
          </cell>
          <cell r="F837" t="str">
            <v>OK</v>
          </cell>
        </row>
        <row r="838">
          <cell r="C838" t="str">
            <v>&lt;-- enter valid PB./Acc. # in this cell!</v>
          </cell>
          <cell r="F838" t="str">
            <v>OK</v>
          </cell>
        </row>
        <row r="839">
          <cell r="C839" t="str">
            <v>&lt;-- enter valid PB./Acc. # in this cell!</v>
          </cell>
          <cell r="F839" t="str">
            <v>OK</v>
          </cell>
        </row>
        <row r="840">
          <cell r="C840" t="str">
            <v>&lt;-- enter valid PB./Acc. # in this cell!</v>
          </cell>
          <cell r="F840" t="str">
            <v>OK</v>
          </cell>
        </row>
        <row r="841">
          <cell r="C841" t="str">
            <v>&lt;-- enter valid PB./Acc. # in this cell!</v>
          </cell>
          <cell r="F841" t="str">
            <v>OK</v>
          </cell>
        </row>
        <row r="842">
          <cell r="C842" t="str">
            <v>&lt;-- enter valid PB./Acc. # in this cell!</v>
          </cell>
          <cell r="F842" t="str">
            <v>OK</v>
          </cell>
        </row>
        <row r="843">
          <cell r="C843" t="str">
            <v>&lt;-- enter valid PB./Acc. # in this cell!</v>
          </cell>
          <cell r="F843" t="str">
            <v>OK</v>
          </cell>
        </row>
        <row r="844">
          <cell r="C844" t="str">
            <v>&lt;-- enter valid PB./Acc. # in this cell!</v>
          </cell>
          <cell r="F844" t="str">
            <v>OK</v>
          </cell>
        </row>
        <row r="845">
          <cell r="C845" t="str">
            <v>&lt;-- enter valid PB./Acc. # in this cell!</v>
          </cell>
          <cell r="F845" t="str">
            <v>OK</v>
          </cell>
        </row>
        <row r="846">
          <cell r="C846" t="str">
            <v>&lt;-- enter valid PB./Acc. # in this cell!</v>
          </cell>
          <cell r="F846" t="str">
            <v>OK</v>
          </cell>
        </row>
        <row r="847">
          <cell r="C847" t="str">
            <v>&lt;-- enter valid PB./Acc. # in this cell!</v>
          </cell>
          <cell r="F847" t="str">
            <v>OK</v>
          </cell>
        </row>
        <row r="848">
          <cell r="C848" t="str">
            <v>&lt;-- enter valid PB./Acc. # in this cell!</v>
          </cell>
          <cell r="F848" t="str">
            <v>OK</v>
          </cell>
        </row>
        <row r="849">
          <cell r="C849" t="str">
            <v>&lt;-- enter valid PB./Acc. # in this cell!</v>
          </cell>
          <cell r="F849" t="str">
            <v>OK</v>
          </cell>
        </row>
        <row r="850">
          <cell r="C850" t="str">
            <v>&lt;-- enter valid PB./Acc. # in this cell!</v>
          </cell>
          <cell r="F850" t="str">
            <v>OK</v>
          </cell>
        </row>
        <row r="851">
          <cell r="C851" t="str">
            <v>&lt;-- enter valid PB./Acc. # in this cell!</v>
          </cell>
          <cell r="F851" t="str">
            <v>OK</v>
          </cell>
        </row>
        <row r="852">
          <cell r="C852" t="str">
            <v>&lt;-- enter valid PB./Acc. # in this cell!</v>
          </cell>
          <cell r="F852" t="str">
            <v>OK</v>
          </cell>
        </row>
        <row r="853">
          <cell r="C853" t="str">
            <v>&lt;-- enter valid PB./Acc. # in this cell!</v>
          </cell>
          <cell r="F853" t="str">
            <v>OK</v>
          </cell>
        </row>
        <row r="854">
          <cell r="C854" t="str">
            <v>&lt;-- enter valid PB./Acc. # in this cell!</v>
          </cell>
          <cell r="F854" t="str">
            <v>OK</v>
          </cell>
        </row>
        <row r="855">
          <cell r="C855" t="str">
            <v>&lt;-- enter valid PB./Acc. # in this cell!</v>
          </cell>
          <cell r="F855" t="str">
            <v>OK</v>
          </cell>
        </row>
        <row r="856">
          <cell r="C856" t="str">
            <v>&lt;-- enter valid PB./Acc. # in this cell!</v>
          </cell>
          <cell r="F856" t="str">
            <v>OK</v>
          </cell>
        </row>
        <row r="857">
          <cell r="C857" t="str">
            <v>&lt;-- enter valid PB./Acc. # in this cell!</v>
          </cell>
          <cell r="F857" t="str">
            <v>OK</v>
          </cell>
        </row>
        <row r="858">
          <cell r="C858" t="str">
            <v>&lt;-- enter valid PB./Acc. # in this cell!</v>
          </cell>
          <cell r="F858" t="str">
            <v>OK</v>
          </cell>
        </row>
        <row r="859">
          <cell r="C859" t="str">
            <v>&lt;-- enter valid PB./Acc. # in this cell!</v>
          </cell>
          <cell r="F859" t="str">
            <v>OK</v>
          </cell>
        </row>
        <row r="860">
          <cell r="C860" t="str">
            <v>&lt;-- enter valid PB./Acc. # in this cell!</v>
          </cell>
          <cell r="F860" t="str">
            <v>OK</v>
          </cell>
        </row>
        <row r="861">
          <cell r="C861" t="str">
            <v>&lt;-- enter valid PB./Acc. # in this cell!</v>
          </cell>
          <cell r="F861" t="str">
            <v>OK</v>
          </cell>
        </row>
        <row r="862">
          <cell r="C862" t="str">
            <v>&lt;-- enter valid PB./Acc. # in this cell!</v>
          </cell>
          <cell r="F862" t="str">
            <v>OK</v>
          </cell>
        </row>
        <row r="863">
          <cell r="C863" t="str">
            <v>&lt;-- enter valid PB./Acc. # in this cell!</v>
          </cell>
          <cell r="F863" t="str">
            <v>OK</v>
          </cell>
        </row>
        <row r="864">
          <cell r="C864" t="str">
            <v>&lt;-- enter valid PB./Acc. # in this cell!</v>
          </cell>
          <cell r="F864" t="str">
            <v>OK</v>
          </cell>
        </row>
        <row r="865">
          <cell r="C865" t="str">
            <v>&lt;-- enter valid PB./Acc. # in this cell!</v>
          </cell>
          <cell r="F865" t="str">
            <v>OK</v>
          </cell>
        </row>
        <row r="866">
          <cell r="C866" t="str">
            <v>&lt;-- enter valid PB./Acc. # in this cell!</v>
          </cell>
          <cell r="F866" t="str">
            <v>OK</v>
          </cell>
        </row>
        <row r="867">
          <cell r="C867" t="str">
            <v>&lt;-- enter valid PB./Acc. # in this cell!</v>
          </cell>
          <cell r="F867" t="str">
            <v>OK</v>
          </cell>
        </row>
        <row r="868">
          <cell r="C868" t="str">
            <v>&lt;-- enter valid PB./Acc. # in this cell!</v>
          </cell>
          <cell r="F868" t="str">
            <v>OK</v>
          </cell>
        </row>
        <row r="869">
          <cell r="C869" t="str">
            <v>&lt;-- enter valid PB./Acc. # in this cell!</v>
          </cell>
          <cell r="F869" t="str">
            <v>OK</v>
          </cell>
        </row>
        <row r="870">
          <cell r="C870" t="str">
            <v>&lt;-- enter valid PB./Acc. # in this cell!</v>
          </cell>
          <cell r="F870" t="str">
            <v>OK</v>
          </cell>
        </row>
        <row r="871">
          <cell r="C871" t="str">
            <v>&lt;-- enter valid PB./Acc. # in this cell!</v>
          </cell>
          <cell r="F871" t="str">
            <v>OK</v>
          </cell>
        </row>
        <row r="872">
          <cell r="C872" t="str">
            <v>&lt;-- enter valid PB./Acc. # in this cell!</v>
          </cell>
          <cell r="F872" t="str">
            <v>OK</v>
          </cell>
        </row>
        <row r="873">
          <cell r="C873" t="str">
            <v>&lt;-- enter valid PB./Acc. # in this cell!</v>
          </cell>
          <cell r="F873" t="str">
            <v>OK</v>
          </cell>
        </row>
        <row r="874">
          <cell r="C874" t="str">
            <v>&lt;-- enter valid PB./Acc. # in this cell!</v>
          </cell>
          <cell r="F874" t="str">
            <v>OK</v>
          </cell>
        </row>
        <row r="875">
          <cell r="C875" t="str">
            <v>&lt;-- enter valid PB./Acc. # in this cell!</v>
          </cell>
          <cell r="F875" t="str">
            <v>OK</v>
          </cell>
        </row>
        <row r="876">
          <cell r="C876" t="str">
            <v>&lt;-- enter valid PB./Acc. # in this cell!</v>
          </cell>
          <cell r="F876" t="str">
            <v>OK</v>
          </cell>
        </row>
        <row r="877">
          <cell r="C877" t="str">
            <v>&lt;-- enter valid PB./Acc. # in this cell!</v>
          </cell>
          <cell r="F877" t="str">
            <v>OK</v>
          </cell>
        </row>
        <row r="878">
          <cell r="C878" t="str">
            <v>&lt;-- enter valid PB./Acc. # in this cell!</v>
          </cell>
          <cell r="F878" t="str">
            <v>OK</v>
          </cell>
        </row>
        <row r="879">
          <cell r="C879" t="str">
            <v>&lt;-- enter valid PB./Acc. # in this cell!</v>
          </cell>
          <cell r="F879" t="str">
            <v>OK</v>
          </cell>
        </row>
        <row r="880">
          <cell r="C880" t="str">
            <v>&lt;-- enter valid PB./Acc. # in this cell!</v>
          </cell>
          <cell r="F880" t="str">
            <v>OK</v>
          </cell>
        </row>
        <row r="881">
          <cell r="C881" t="str">
            <v>&lt;-- enter valid PB./Acc. # in this cell!</v>
          </cell>
          <cell r="F881" t="str">
            <v>OK</v>
          </cell>
        </row>
        <row r="882">
          <cell r="C882" t="str">
            <v>&lt;-- enter valid PB./Acc. # in this cell!</v>
          </cell>
          <cell r="F882" t="str">
            <v>OK</v>
          </cell>
        </row>
        <row r="883">
          <cell r="C883" t="str">
            <v>&lt;-- enter valid PB./Acc. # in this cell!</v>
          </cell>
          <cell r="F883" t="str">
            <v>OK</v>
          </cell>
        </row>
        <row r="884">
          <cell r="C884" t="str">
            <v>&lt;-- enter valid PB./Acc. # in this cell!</v>
          </cell>
          <cell r="F884" t="str">
            <v>OK</v>
          </cell>
        </row>
        <row r="885">
          <cell r="C885" t="str">
            <v>&lt;-- enter valid PB./Acc. # in this cell!</v>
          </cell>
          <cell r="F885" t="str">
            <v>OK</v>
          </cell>
        </row>
        <row r="886">
          <cell r="C886" t="str">
            <v>&lt;-- enter valid PB./Acc. # in this cell!</v>
          </cell>
          <cell r="F886" t="str">
            <v>OK</v>
          </cell>
        </row>
        <row r="887">
          <cell r="C887" t="str">
            <v>&lt;-- enter valid PB./Acc. # in this cell!</v>
          </cell>
          <cell r="F887" t="str">
            <v>OK</v>
          </cell>
        </row>
        <row r="888">
          <cell r="C888" t="str">
            <v>&lt;-- enter valid PB./Acc. # in this cell!</v>
          </cell>
          <cell r="F888" t="str">
            <v>OK</v>
          </cell>
        </row>
        <row r="889">
          <cell r="C889" t="str">
            <v>&lt;-- enter valid PB./Acc. # in this cell!</v>
          </cell>
          <cell r="F889" t="str">
            <v>OK</v>
          </cell>
        </row>
        <row r="890">
          <cell r="C890" t="str">
            <v>&lt;-- enter valid PB./Acc. # in this cell!</v>
          </cell>
          <cell r="F890" t="str">
            <v>OK</v>
          </cell>
        </row>
        <row r="891">
          <cell r="C891" t="str">
            <v>&lt;-- enter valid PB./Acc. # in this cell!</v>
          </cell>
          <cell r="F891" t="str">
            <v>OK</v>
          </cell>
        </row>
        <row r="892">
          <cell r="C892" t="str">
            <v>&lt;-- enter valid PB./Acc. # in this cell!</v>
          </cell>
          <cell r="F892" t="str">
            <v>OK</v>
          </cell>
        </row>
        <row r="893">
          <cell r="C893" t="str">
            <v>&lt;-- enter valid PB./Acc. # in this cell!</v>
          </cell>
          <cell r="F893" t="str">
            <v>OK</v>
          </cell>
        </row>
        <row r="894">
          <cell r="C894" t="str">
            <v>&lt;-- enter valid PB./Acc. # in this cell!</v>
          </cell>
          <cell r="F894" t="str">
            <v>OK</v>
          </cell>
        </row>
        <row r="895">
          <cell r="C895" t="str">
            <v>&lt;-- enter valid PB./Acc. # in this cell!</v>
          </cell>
          <cell r="F895" t="str">
            <v>OK</v>
          </cell>
        </row>
        <row r="896">
          <cell r="C896" t="str">
            <v>&lt;-- enter valid PB./Acc. # in this cell!</v>
          </cell>
          <cell r="F896" t="str">
            <v>OK</v>
          </cell>
        </row>
        <row r="897">
          <cell r="C897" t="str">
            <v>&lt;-- enter valid PB./Acc. # in this cell!</v>
          </cell>
          <cell r="F897" t="str">
            <v>OK</v>
          </cell>
        </row>
        <row r="898">
          <cell r="C898" t="str">
            <v>&lt;-- enter valid PB./Acc. # in this cell!</v>
          </cell>
          <cell r="F898" t="str">
            <v>OK</v>
          </cell>
        </row>
        <row r="899">
          <cell r="C899" t="str">
            <v>&lt;-- enter valid PB./Acc. # in this cell!</v>
          </cell>
          <cell r="F899" t="str">
            <v>OK</v>
          </cell>
        </row>
        <row r="900">
          <cell r="A900" t="str">
            <v>Total Balances of September 2015</v>
          </cell>
          <cell r="F900" t="str">
            <v>OK</v>
          </cell>
          <cell r="G900">
            <v>416</v>
          </cell>
          <cell r="H900">
            <v>715</v>
          </cell>
          <cell r="I900">
            <v>0</v>
          </cell>
          <cell r="J900">
            <v>2500</v>
          </cell>
          <cell r="K900">
            <v>0</v>
          </cell>
          <cell r="L900">
            <v>0</v>
          </cell>
          <cell r="M900">
            <v>3170</v>
          </cell>
          <cell r="N900">
            <v>371</v>
          </cell>
          <cell r="O900">
            <v>0</v>
          </cell>
          <cell r="P900">
            <v>0</v>
          </cell>
          <cell r="Q900">
            <v>0</v>
          </cell>
          <cell r="R900">
            <v>38.75</v>
          </cell>
          <cell r="S900">
            <v>0</v>
          </cell>
          <cell r="T900">
            <v>0</v>
          </cell>
          <cell r="AQ900">
            <v>6.25</v>
          </cell>
        </row>
        <row r="901">
          <cell r="A901">
            <v>42308</v>
          </cell>
        </row>
        <row r="902">
          <cell r="C902" t="str">
            <v>&lt;-- enter valid PB./Acc. # in this cell!</v>
          </cell>
          <cell r="F902" t="str">
            <v>OK</v>
          </cell>
        </row>
        <row r="903">
          <cell r="C903" t="str">
            <v>&lt;-- enter valid PB./Acc. # in this cell!</v>
          </cell>
          <cell r="F903" t="str">
            <v>OK</v>
          </cell>
        </row>
        <row r="904">
          <cell r="C904" t="str">
            <v>&lt;-- enter valid PB./Acc. # in this cell!</v>
          </cell>
          <cell r="F904" t="str">
            <v>OK</v>
          </cell>
        </row>
        <row r="905">
          <cell r="C905" t="str">
            <v>&lt;-- enter valid PB./Acc. # in this cell!</v>
          </cell>
          <cell r="F905" t="str">
            <v>OK</v>
          </cell>
        </row>
        <row r="906">
          <cell r="C906" t="str">
            <v>&lt;-- enter valid PB./Acc. # in this cell!</v>
          </cell>
          <cell r="F906" t="str">
            <v>OK</v>
          </cell>
        </row>
        <row r="907">
          <cell r="C907" t="str">
            <v>&lt;-- enter valid PB./Acc. # in this cell!</v>
          </cell>
          <cell r="F907" t="str">
            <v>OK</v>
          </cell>
        </row>
        <row r="908">
          <cell r="C908" t="str">
            <v>&lt;-- enter valid PB./Acc. # in this cell!</v>
          </cell>
          <cell r="F908" t="str">
            <v>OK</v>
          </cell>
        </row>
        <row r="909">
          <cell r="C909" t="str">
            <v>&lt;-- enter valid PB./Acc. # in this cell!</v>
          </cell>
          <cell r="F909" t="str">
            <v>OK</v>
          </cell>
        </row>
        <row r="910">
          <cell r="C910" t="str">
            <v>&lt;-- enter valid PB./Acc. # in this cell!</v>
          </cell>
          <cell r="F910" t="str">
            <v>OK</v>
          </cell>
        </row>
        <row r="911">
          <cell r="C911" t="str">
            <v>&lt;-- enter valid PB./Acc. # in this cell!</v>
          </cell>
          <cell r="F911" t="str">
            <v>OK</v>
          </cell>
        </row>
        <row r="912">
          <cell r="C912" t="str">
            <v>&lt;-- enter valid PB./Acc. # in this cell!</v>
          </cell>
          <cell r="F912" t="str">
            <v>OK</v>
          </cell>
        </row>
        <row r="913">
          <cell r="C913" t="str">
            <v>&lt;-- enter valid PB./Acc. # in this cell!</v>
          </cell>
          <cell r="F913" t="str">
            <v>OK</v>
          </cell>
        </row>
        <row r="914">
          <cell r="C914" t="str">
            <v>&lt;-- enter valid PB./Acc. # in this cell!</v>
          </cell>
          <cell r="F914" t="str">
            <v>OK</v>
          </cell>
        </row>
        <row r="915">
          <cell r="C915" t="str">
            <v>&lt;-- enter valid PB./Acc. # in this cell!</v>
          </cell>
          <cell r="F915" t="str">
            <v>OK</v>
          </cell>
        </row>
        <row r="916">
          <cell r="C916" t="str">
            <v>&lt;-- enter valid PB./Acc. # in this cell!</v>
          </cell>
          <cell r="F916" t="str">
            <v>OK</v>
          </cell>
        </row>
        <row r="917">
          <cell r="C917" t="str">
            <v>&lt;-- enter valid PB./Acc. # in this cell!</v>
          </cell>
          <cell r="F917" t="str">
            <v>OK</v>
          </cell>
        </row>
        <row r="918">
          <cell r="C918" t="str">
            <v>&lt;-- enter valid PB./Acc. # in this cell!</v>
          </cell>
          <cell r="F918" t="str">
            <v>OK</v>
          </cell>
        </row>
        <row r="919">
          <cell r="C919" t="str">
            <v>&lt;-- enter valid PB./Acc. # in this cell!</v>
          </cell>
          <cell r="F919" t="str">
            <v>OK</v>
          </cell>
        </row>
        <row r="920">
          <cell r="C920" t="str">
            <v>&lt;-- enter valid PB./Acc. # in this cell!</v>
          </cell>
          <cell r="F920" t="str">
            <v>OK</v>
          </cell>
        </row>
        <row r="921">
          <cell r="C921" t="str">
            <v>&lt;-- enter valid PB./Acc. # in this cell!</v>
          </cell>
          <cell r="F921" t="str">
            <v>OK</v>
          </cell>
        </row>
        <row r="922">
          <cell r="C922" t="str">
            <v>&lt;-- enter valid PB./Acc. # in this cell!</v>
          </cell>
          <cell r="F922" t="str">
            <v>OK</v>
          </cell>
        </row>
        <row r="923">
          <cell r="C923" t="str">
            <v>&lt;-- enter valid PB./Acc. # in this cell!</v>
          </cell>
          <cell r="F923" t="str">
            <v>OK</v>
          </cell>
        </row>
        <row r="924">
          <cell r="C924" t="str">
            <v>&lt;-- enter valid PB./Acc. # in this cell!</v>
          </cell>
          <cell r="F924" t="str">
            <v>OK</v>
          </cell>
        </row>
        <row r="925">
          <cell r="C925" t="str">
            <v>&lt;-- enter valid PB./Acc. # in this cell!</v>
          </cell>
          <cell r="F925" t="str">
            <v>OK</v>
          </cell>
        </row>
        <row r="926">
          <cell r="C926" t="str">
            <v>&lt;-- enter valid PB./Acc. # in this cell!</v>
          </cell>
          <cell r="F926" t="str">
            <v>OK</v>
          </cell>
        </row>
        <row r="927">
          <cell r="C927" t="str">
            <v>&lt;-- enter valid PB./Acc. # in this cell!</v>
          </cell>
          <cell r="F927" t="str">
            <v>OK</v>
          </cell>
        </row>
        <row r="928">
          <cell r="C928" t="str">
            <v>&lt;-- enter valid PB./Acc. # in this cell!</v>
          </cell>
          <cell r="F928" t="str">
            <v>OK</v>
          </cell>
        </row>
        <row r="929">
          <cell r="C929" t="str">
            <v>&lt;-- enter valid PB./Acc. # in this cell!</v>
          </cell>
          <cell r="F929" t="str">
            <v>OK</v>
          </cell>
        </row>
        <row r="930">
          <cell r="C930" t="str">
            <v>&lt;-- enter valid PB./Acc. # in this cell!</v>
          </cell>
          <cell r="F930" t="str">
            <v>OK</v>
          </cell>
        </row>
        <row r="931">
          <cell r="C931" t="str">
            <v>&lt;-- enter valid PB./Acc. # in this cell!</v>
          </cell>
          <cell r="F931" t="str">
            <v>OK</v>
          </cell>
        </row>
        <row r="932">
          <cell r="C932" t="str">
            <v>&lt;-- enter valid PB./Acc. # in this cell!</v>
          </cell>
          <cell r="F932" t="str">
            <v>OK</v>
          </cell>
        </row>
        <row r="933">
          <cell r="C933" t="str">
            <v>&lt;-- enter valid PB./Acc. # in this cell!</v>
          </cell>
          <cell r="F933" t="str">
            <v>OK</v>
          </cell>
        </row>
        <row r="934">
          <cell r="C934" t="str">
            <v>&lt;-- enter valid PB./Acc. # in this cell!</v>
          </cell>
          <cell r="F934" t="str">
            <v>OK</v>
          </cell>
        </row>
        <row r="935">
          <cell r="C935" t="str">
            <v>&lt;-- enter valid PB./Acc. # in this cell!</v>
          </cell>
          <cell r="F935" t="str">
            <v>OK</v>
          </cell>
        </row>
        <row r="936">
          <cell r="C936" t="str">
            <v>&lt;-- enter valid PB./Acc. # in this cell!</v>
          </cell>
          <cell r="F936" t="str">
            <v>OK</v>
          </cell>
        </row>
        <row r="937">
          <cell r="C937" t="str">
            <v>&lt;-- enter valid PB./Acc. # in this cell!</v>
          </cell>
          <cell r="F937" t="str">
            <v>OK</v>
          </cell>
        </row>
        <row r="938">
          <cell r="C938" t="str">
            <v>&lt;-- enter valid PB./Acc. # in this cell!</v>
          </cell>
          <cell r="F938" t="str">
            <v>OK</v>
          </cell>
        </row>
        <row r="939">
          <cell r="C939" t="str">
            <v>&lt;-- enter valid PB./Acc. # in this cell!</v>
          </cell>
          <cell r="F939" t="str">
            <v>OK</v>
          </cell>
        </row>
        <row r="940">
          <cell r="C940" t="str">
            <v>&lt;-- enter valid PB./Acc. # in this cell!</v>
          </cell>
          <cell r="F940" t="str">
            <v>OK</v>
          </cell>
        </row>
        <row r="941">
          <cell r="C941" t="str">
            <v>&lt;-- enter valid PB./Acc. # in this cell!</v>
          </cell>
          <cell r="F941" t="str">
            <v>OK</v>
          </cell>
        </row>
        <row r="942">
          <cell r="C942" t="str">
            <v>&lt;-- enter valid PB./Acc. # in this cell!</v>
          </cell>
          <cell r="F942" t="str">
            <v>OK</v>
          </cell>
        </row>
        <row r="943">
          <cell r="C943" t="str">
            <v>&lt;-- enter valid PB./Acc. # in this cell!</v>
          </cell>
          <cell r="F943" t="str">
            <v>OK</v>
          </cell>
        </row>
        <row r="944">
          <cell r="C944" t="str">
            <v>&lt;-- enter valid PB./Acc. # in this cell!</v>
          </cell>
          <cell r="F944" t="str">
            <v>OK</v>
          </cell>
        </row>
        <row r="945">
          <cell r="C945" t="str">
            <v>&lt;-- enter valid PB./Acc. # in this cell!</v>
          </cell>
          <cell r="F945" t="str">
            <v>OK</v>
          </cell>
        </row>
        <row r="946">
          <cell r="C946" t="str">
            <v>&lt;-- enter valid PB./Acc. # in this cell!</v>
          </cell>
          <cell r="F946" t="str">
            <v>OK</v>
          </cell>
        </row>
        <row r="947">
          <cell r="C947" t="str">
            <v>&lt;-- enter valid PB./Acc. # in this cell!</v>
          </cell>
          <cell r="F947" t="str">
            <v>OK</v>
          </cell>
        </row>
        <row r="948">
          <cell r="C948" t="str">
            <v>&lt;-- enter valid PB./Acc. # in this cell!</v>
          </cell>
          <cell r="F948" t="str">
            <v>OK</v>
          </cell>
        </row>
        <row r="949">
          <cell r="C949" t="str">
            <v>&lt;-- enter valid PB./Acc. # in this cell!</v>
          </cell>
          <cell r="F949" t="str">
            <v>OK</v>
          </cell>
        </row>
        <row r="950">
          <cell r="C950" t="str">
            <v>&lt;-- enter valid PB./Acc. # in this cell!</v>
          </cell>
          <cell r="F950" t="str">
            <v>OK</v>
          </cell>
        </row>
        <row r="951">
          <cell r="C951" t="str">
            <v>&lt;-- enter valid PB./Acc. # in this cell!</v>
          </cell>
          <cell r="F951" t="str">
            <v>OK</v>
          </cell>
        </row>
        <row r="952">
          <cell r="C952" t="str">
            <v>&lt;-- enter valid PB./Acc. # in this cell!</v>
          </cell>
          <cell r="F952" t="str">
            <v>OK</v>
          </cell>
        </row>
        <row r="953">
          <cell r="C953" t="str">
            <v>&lt;-- enter valid PB./Acc. # in this cell!</v>
          </cell>
          <cell r="F953" t="str">
            <v>OK</v>
          </cell>
        </row>
        <row r="954">
          <cell r="C954" t="str">
            <v>&lt;-- enter valid PB./Acc. # in this cell!</v>
          </cell>
          <cell r="F954" t="str">
            <v>OK</v>
          </cell>
        </row>
        <row r="955">
          <cell r="C955" t="str">
            <v>&lt;-- enter valid PB./Acc. # in this cell!</v>
          </cell>
          <cell r="F955" t="str">
            <v>OK</v>
          </cell>
        </row>
        <row r="956">
          <cell r="C956" t="str">
            <v>&lt;-- enter valid PB./Acc. # in this cell!</v>
          </cell>
          <cell r="F956" t="str">
            <v>OK</v>
          </cell>
        </row>
        <row r="957">
          <cell r="C957" t="str">
            <v>&lt;-- enter valid PB./Acc. # in this cell!</v>
          </cell>
          <cell r="F957" t="str">
            <v>OK</v>
          </cell>
        </row>
        <row r="958">
          <cell r="C958" t="str">
            <v>&lt;-- enter valid PB./Acc. # in this cell!</v>
          </cell>
          <cell r="F958" t="str">
            <v>OK</v>
          </cell>
        </row>
        <row r="959">
          <cell r="C959" t="str">
            <v>&lt;-- enter valid PB./Acc. # in this cell!</v>
          </cell>
          <cell r="F959" t="str">
            <v>OK</v>
          </cell>
        </row>
        <row r="960">
          <cell r="C960" t="str">
            <v>&lt;-- enter valid PB./Acc. # in this cell!</v>
          </cell>
          <cell r="F960" t="str">
            <v>OK</v>
          </cell>
        </row>
        <row r="961">
          <cell r="C961" t="str">
            <v>&lt;-- enter valid PB./Acc. # in this cell!</v>
          </cell>
          <cell r="F961" t="str">
            <v>OK</v>
          </cell>
        </row>
        <row r="962">
          <cell r="C962" t="str">
            <v>&lt;-- enter valid PB./Acc. # in this cell!</v>
          </cell>
          <cell r="F962" t="str">
            <v>OK</v>
          </cell>
        </row>
        <row r="963">
          <cell r="C963" t="str">
            <v>&lt;-- enter valid PB./Acc. # in this cell!</v>
          </cell>
          <cell r="F963" t="str">
            <v>OK</v>
          </cell>
        </row>
        <row r="964">
          <cell r="C964" t="str">
            <v>&lt;-- enter valid PB./Acc. # in this cell!</v>
          </cell>
          <cell r="F964" t="str">
            <v>OK</v>
          </cell>
        </row>
        <row r="965">
          <cell r="C965" t="str">
            <v>&lt;-- enter valid PB./Acc. # in this cell!</v>
          </cell>
          <cell r="F965" t="str">
            <v>OK</v>
          </cell>
        </row>
        <row r="966">
          <cell r="C966" t="str">
            <v>&lt;-- enter valid PB./Acc. # in this cell!</v>
          </cell>
          <cell r="F966" t="str">
            <v>OK</v>
          </cell>
        </row>
        <row r="967">
          <cell r="C967" t="str">
            <v>&lt;-- enter valid PB./Acc. # in this cell!</v>
          </cell>
          <cell r="F967" t="str">
            <v>OK</v>
          </cell>
        </row>
        <row r="968">
          <cell r="C968" t="str">
            <v>&lt;-- enter valid PB./Acc. # in this cell!</v>
          </cell>
          <cell r="F968" t="str">
            <v>OK</v>
          </cell>
        </row>
        <row r="969">
          <cell r="C969" t="str">
            <v>&lt;-- enter valid PB./Acc. # in this cell!</v>
          </cell>
          <cell r="F969" t="str">
            <v>OK</v>
          </cell>
        </row>
        <row r="970">
          <cell r="C970" t="str">
            <v>&lt;-- enter valid PB./Acc. # in this cell!</v>
          </cell>
          <cell r="F970" t="str">
            <v>OK</v>
          </cell>
        </row>
        <row r="971">
          <cell r="C971" t="str">
            <v>&lt;-- enter valid PB./Acc. # in this cell!</v>
          </cell>
          <cell r="F971" t="str">
            <v>OK</v>
          </cell>
        </row>
        <row r="972">
          <cell r="C972" t="str">
            <v>&lt;-- enter valid PB./Acc. # in this cell!</v>
          </cell>
          <cell r="F972" t="str">
            <v>OK</v>
          </cell>
        </row>
        <row r="973">
          <cell r="C973" t="str">
            <v>&lt;-- enter valid PB./Acc. # in this cell!</v>
          </cell>
          <cell r="F973" t="str">
            <v>OK</v>
          </cell>
        </row>
        <row r="974">
          <cell r="C974" t="str">
            <v>&lt;-- enter valid PB./Acc. # in this cell!</v>
          </cell>
          <cell r="F974" t="str">
            <v>OK</v>
          </cell>
        </row>
        <row r="975">
          <cell r="C975" t="str">
            <v>&lt;-- enter valid PB./Acc. # in this cell!</v>
          </cell>
          <cell r="F975" t="str">
            <v>OK</v>
          </cell>
        </row>
        <row r="976">
          <cell r="C976" t="str">
            <v>&lt;-- enter valid PB./Acc. # in this cell!</v>
          </cell>
          <cell r="F976" t="str">
            <v>OK</v>
          </cell>
        </row>
        <row r="977">
          <cell r="C977" t="str">
            <v>&lt;-- enter valid PB./Acc. # in this cell!</v>
          </cell>
          <cell r="F977" t="str">
            <v>OK</v>
          </cell>
        </row>
        <row r="978">
          <cell r="C978" t="str">
            <v>&lt;-- enter valid PB./Acc. # in this cell!</v>
          </cell>
          <cell r="F978" t="str">
            <v>OK</v>
          </cell>
        </row>
        <row r="979">
          <cell r="C979" t="str">
            <v>&lt;-- enter valid PB./Acc. # in this cell!</v>
          </cell>
          <cell r="F979" t="str">
            <v>OK</v>
          </cell>
        </row>
        <row r="980">
          <cell r="C980" t="str">
            <v>&lt;-- enter valid PB./Acc. # in this cell!</v>
          </cell>
          <cell r="F980" t="str">
            <v>OK</v>
          </cell>
        </row>
        <row r="981">
          <cell r="C981" t="str">
            <v>&lt;-- enter valid PB./Acc. # in this cell!</v>
          </cell>
          <cell r="F981" t="str">
            <v>OK</v>
          </cell>
        </row>
        <row r="982">
          <cell r="C982" t="str">
            <v>&lt;-- enter valid PB./Acc. # in this cell!</v>
          </cell>
          <cell r="F982" t="str">
            <v>OK</v>
          </cell>
        </row>
        <row r="983">
          <cell r="C983" t="str">
            <v>&lt;-- enter valid PB./Acc. # in this cell!</v>
          </cell>
          <cell r="F983" t="str">
            <v>OK</v>
          </cell>
        </row>
        <row r="984">
          <cell r="C984" t="str">
            <v>&lt;-- enter valid PB./Acc. # in this cell!</v>
          </cell>
          <cell r="F984" t="str">
            <v>OK</v>
          </cell>
        </row>
        <row r="985">
          <cell r="C985" t="str">
            <v>&lt;-- enter valid PB./Acc. # in this cell!</v>
          </cell>
          <cell r="F985" t="str">
            <v>OK</v>
          </cell>
        </row>
        <row r="986">
          <cell r="C986" t="str">
            <v>&lt;-- enter valid PB./Acc. # in this cell!</v>
          </cell>
          <cell r="F986" t="str">
            <v>OK</v>
          </cell>
        </row>
        <row r="987">
          <cell r="C987" t="str">
            <v>&lt;-- enter valid PB./Acc. # in this cell!</v>
          </cell>
          <cell r="F987" t="str">
            <v>OK</v>
          </cell>
        </row>
        <row r="988">
          <cell r="C988" t="str">
            <v>&lt;-- enter valid PB./Acc. # in this cell!</v>
          </cell>
          <cell r="F988" t="str">
            <v>OK</v>
          </cell>
        </row>
        <row r="989">
          <cell r="C989" t="str">
            <v>&lt;-- enter valid PB./Acc. # in this cell!</v>
          </cell>
          <cell r="F989" t="str">
            <v>OK</v>
          </cell>
        </row>
        <row r="990">
          <cell r="C990" t="str">
            <v>&lt;-- enter valid PB./Acc. # in this cell!</v>
          </cell>
          <cell r="F990" t="str">
            <v>OK</v>
          </cell>
        </row>
        <row r="991">
          <cell r="C991" t="str">
            <v>&lt;-- enter valid PB./Acc. # in this cell!</v>
          </cell>
          <cell r="F991" t="str">
            <v>OK</v>
          </cell>
        </row>
        <row r="992">
          <cell r="C992" t="str">
            <v>&lt;-- enter valid PB./Acc. # in this cell!</v>
          </cell>
          <cell r="F992" t="str">
            <v>OK</v>
          </cell>
        </row>
        <row r="993">
          <cell r="C993" t="str">
            <v>&lt;-- enter valid PB./Acc. # in this cell!</v>
          </cell>
          <cell r="F993" t="str">
            <v>OK</v>
          </cell>
        </row>
        <row r="994">
          <cell r="C994" t="str">
            <v>&lt;-- enter valid PB./Acc. # in this cell!</v>
          </cell>
          <cell r="F994" t="str">
            <v>OK</v>
          </cell>
        </row>
        <row r="995">
          <cell r="C995" t="str">
            <v>&lt;-- enter valid PB./Acc. # in this cell!</v>
          </cell>
          <cell r="F995" t="str">
            <v>OK</v>
          </cell>
        </row>
        <row r="996">
          <cell r="C996" t="str">
            <v>&lt;-- enter valid PB./Acc. # in this cell!</v>
          </cell>
          <cell r="F996" t="str">
            <v>OK</v>
          </cell>
        </row>
        <row r="997">
          <cell r="C997" t="str">
            <v>&lt;-- enter valid PB./Acc. # in this cell!</v>
          </cell>
          <cell r="F997" t="str">
            <v>OK</v>
          </cell>
        </row>
        <row r="998">
          <cell r="C998" t="str">
            <v>&lt;-- enter valid PB./Acc. # in this cell!</v>
          </cell>
          <cell r="F998" t="str">
            <v>OK</v>
          </cell>
        </row>
        <row r="999">
          <cell r="C999" t="str">
            <v>&lt;-- enter valid PB./Acc. # in this cell!</v>
          </cell>
          <cell r="F999" t="str">
            <v>OK</v>
          </cell>
        </row>
        <row r="1000">
          <cell r="C1000" t="str">
            <v>&lt;-- enter valid PB./Acc. # in this cell!</v>
          </cell>
          <cell r="F1000" t="str">
            <v>OK</v>
          </cell>
        </row>
        <row r="1001">
          <cell r="C1001" t="str">
            <v>&lt;-- enter valid PB./Acc. # in this cell!</v>
          </cell>
          <cell r="F1001" t="str">
            <v>OK</v>
          </cell>
        </row>
        <row r="1002">
          <cell r="C1002" t="str">
            <v>&lt;-- enter valid PB./Acc. # in this cell!</v>
          </cell>
          <cell r="F1002" t="str">
            <v>OK</v>
          </cell>
        </row>
        <row r="1003">
          <cell r="C1003" t="str">
            <v>&lt;-- enter valid PB./Acc. # in this cell!</v>
          </cell>
          <cell r="F1003" t="str">
            <v>OK</v>
          </cell>
        </row>
        <row r="1004">
          <cell r="C1004" t="str">
            <v>&lt;-- enter valid PB./Acc. # in this cell!</v>
          </cell>
          <cell r="F1004" t="str">
            <v>OK</v>
          </cell>
        </row>
        <row r="1005">
          <cell r="C1005" t="str">
            <v>&lt;-- enter valid PB./Acc. # in this cell!</v>
          </cell>
          <cell r="F1005" t="str">
            <v>OK</v>
          </cell>
        </row>
        <row r="1006">
          <cell r="C1006" t="str">
            <v>&lt;-- enter valid PB./Acc. # in this cell!</v>
          </cell>
          <cell r="F1006" t="str">
            <v>OK</v>
          </cell>
        </row>
        <row r="1007">
          <cell r="C1007" t="str">
            <v>&lt;-- enter valid PB./Acc. # in this cell!</v>
          </cell>
          <cell r="F1007" t="str">
            <v>OK</v>
          </cell>
        </row>
        <row r="1008">
          <cell r="C1008" t="str">
            <v>&lt;-- enter valid PB./Acc. # in this cell!</v>
          </cell>
          <cell r="F1008" t="str">
            <v>OK</v>
          </cell>
        </row>
        <row r="1009">
          <cell r="C1009" t="str">
            <v>&lt;-- enter valid PB./Acc. # in this cell!</v>
          </cell>
          <cell r="F1009" t="str">
            <v>OK</v>
          </cell>
        </row>
        <row r="1010">
          <cell r="C1010" t="str">
            <v>&lt;-- enter valid PB./Acc. # in this cell!</v>
          </cell>
          <cell r="F1010" t="str">
            <v>OK</v>
          </cell>
        </row>
        <row r="1011">
          <cell r="C1011" t="str">
            <v>&lt;-- enter valid PB./Acc. # in this cell!</v>
          </cell>
          <cell r="F1011" t="str">
            <v>OK</v>
          </cell>
        </row>
        <row r="1012">
          <cell r="C1012" t="str">
            <v>&lt;-- enter valid PB./Acc. # in this cell!</v>
          </cell>
          <cell r="F1012" t="str">
            <v>OK</v>
          </cell>
        </row>
        <row r="1013">
          <cell r="C1013" t="str">
            <v>&lt;-- enter valid PB./Acc. # in this cell!</v>
          </cell>
          <cell r="F1013" t="str">
            <v>OK</v>
          </cell>
        </row>
        <row r="1014">
          <cell r="C1014" t="str">
            <v>&lt;-- enter valid PB./Acc. # in this cell!</v>
          </cell>
          <cell r="F1014" t="str">
            <v>OK</v>
          </cell>
        </row>
        <row r="1015">
          <cell r="C1015" t="str">
            <v>&lt;-- enter valid PB./Acc. # in this cell!</v>
          </cell>
          <cell r="F1015" t="str">
            <v>OK</v>
          </cell>
        </row>
        <row r="1016">
          <cell r="C1016" t="str">
            <v>&lt;-- enter valid PB./Acc. # in this cell!</v>
          </cell>
          <cell r="F1016" t="str">
            <v>OK</v>
          </cell>
        </row>
        <row r="1017">
          <cell r="C1017" t="str">
            <v>&lt;-- enter valid PB./Acc. # in this cell!</v>
          </cell>
          <cell r="F1017" t="str">
            <v>OK</v>
          </cell>
        </row>
        <row r="1018">
          <cell r="C1018" t="str">
            <v>&lt;-- enter valid PB./Acc. # in this cell!</v>
          </cell>
          <cell r="F1018" t="str">
            <v>OK</v>
          </cell>
        </row>
        <row r="1019">
          <cell r="C1019" t="str">
            <v>&lt;-- enter valid PB./Acc. # in this cell!</v>
          </cell>
          <cell r="F1019" t="str">
            <v>OK</v>
          </cell>
        </row>
        <row r="1020">
          <cell r="C1020" t="str">
            <v>&lt;-- enter valid PB./Acc. # in this cell!</v>
          </cell>
          <cell r="F1020" t="str">
            <v>OK</v>
          </cell>
        </row>
        <row r="1021">
          <cell r="C1021" t="str">
            <v>&lt;-- enter valid PB./Acc. # in this cell!</v>
          </cell>
          <cell r="F1021" t="str">
            <v>OK</v>
          </cell>
        </row>
        <row r="1022">
          <cell r="C1022" t="str">
            <v>&lt;-- enter valid PB./Acc. # in this cell!</v>
          </cell>
          <cell r="F1022" t="str">
            <v>OK</v>
          </cell>
        </row>
        <row r="1023">
          <cell r="C1023" t="str">
            <v>&lt;-- enter valid PB./Acc. # in this cell!</v>
          </cell>
          <cell r="F1023" t="str">
            <v>OK</v>
          </cell>
        </row>
        <row r="1024">
          <cell r="C1024" t="str">
            <v>&lt;-- enter valid PB./Acc. # in this cell!</v>
          </cell>
          <cell r="F1024" t="str">
            <v>OK</v>
          </cell>
        </row>
        <row r="1025">
          <cell r="C1025" t="str">
            <v>&lt;-- enter valid PB./Acc. # in this cell!</v>
          </cell>
          <cell r="F1025" t="str">
            <v>OK</v>
          </cell>
        </row>
        <row r="1026">
          <cell r="C1026" t="str">
            <v>&lt;-- enter valid PB./Acc. # in this cell!</v>
          </cell>
          <cell r="F1026" t="str">
            <v>OK</v>
          </cell>
        </row>
        <row r="1027">
          <cell r="C1027" t="str">
            <v>&lt;-- enter valid PB./Acc. # in this cell!</v>
          </cell>
          <cell r="F1027" t="str">
            <v>OK</v>
          </cell>
        </row>
        <row r="1028">
          <cell r="C1028" t="str">
            <v>&lt;-- enter valid PB./Acc. # in this cell!</v>
          </cell>
          <cell r="F1028" t="str">
            <v>OK</v>
          </cell>
        </row>
        <row r="1029">
          <cell r="C1029" t="str">
            <v>&lt;-- enter valid PB./Acc. # in this cell!</v>
          </cell>
          <cell r="F1029" t="str">
            <v>OK</v>
          </cell>
        </row>
        <row r="1030">
          <cell r="C1030" t="str">
            <v>&lt;-- enter valid PB./Acc. # in this cell!</v>
          </cell>
          <cell r="F1030" t="str">
            <v>OK</v>
          </cell>
        </row>
        <row r="1031">
          <cell r="C1031" t="str">
            <v>&lt;-- enter valid PB./Acc. # in this cell!</v>
          </cell>
          <cell r="F1031" t="str">
            <v>OK</v>
          </cell>
        </row>
        <row r="1032">
          <cell r="C1032" t="str">
            <v>&lt;-- enter valid PB./Acc. # in this cell!</v>
          </cell>
          <cell r="F1032" t="str">
            <v>OK</v>
          </cell>
        </row>
        <row r="1033">
          <cell r="C1033" t="str">
            <v>&lt;-- enter valid PB./Acc. # in this cell!</v>
          </cell>
          <cell r="F1033" t="str">
            <v>OK</v>
          </cell>
        </row>
        <row r="1034">
          <cell r="C1034" t="str">
            <v>&lt;-- enter valid PB./Acc. # in this cell!</v>
          </cell>
          <cell r="F1034" t="str">
            <v>OK</v>
          </cell>
        </row>
        <row r="1035">
          <cell r="C1035" t="str">
            <v>&lt;-- enter valid PB./Acc. # in this cell!</v>
          </cell>
          <cell r="F1035" t="str">
            <v>OK</v>
          </cell>
        </row>
        <row r="1036">
          <cell r="C1036" t="str">
            <v>&lt;-- enter valid PB./Acc. # in this cell!</v>
          </cell>
          <cell r="F1036" t="str">
            <v>OK</v>
          </cell>
        </row>
        <row r="1037">
          <cell r="C1037" t="str">
            <v>&lt;-- enter valid PB./Acc. # in this cell!</v>
          </cell>
          <cell r="F1037" t="str">
            <v>OK</v>
          </cell>
        </row>
        <row r="1038">
          <cell r="C1038" t="str">
            <v>&lt;-- enter valid PB./Acc. # in this cell!</v>
          </cell>
          <cell r="F1038" t="str">
            <v>OK</v>
          </cell>
        </row>
        <row r="1039">
          <cell r="C1039" t="str">
            <v>&lt;-- enter valid PB./Acc. # in this cell!</v>
          </cell>
          <cell r="F1039" t="str">
            <v>OK</v>
          </cell>
        </row>
        <row r="1040">
          <cell r="C1040" t="str">
            <v>&lt;-- enter valid PB./Acc. # in this cell!</v>
          </cell>
          <cell r="F1040" t="str">
            <v>OK</v>
          </cell>
        </row>
        <row r="1041">
          <cell r="C1041" t="str">
            <v>&lt;-- enter valid PB./Acc. # in this cell!</v>
          </cell>
          <cell r="F1041" t="str">
            <v>OK</v>
          </cell>
        </row>
        <row r="1042">
          <cell r="C1042" t="str">
            <v>&lt;-- enter valid PB./Acc. # in this cell!</v>
          </cell>
          <cell r="F1042" t="str">
            <v>OK</v>
          </cell>
        </row>
        <row r="1043">
          <cell r="C1043" t="str">
            <v>&lt;-- enter valid PB./Acc. # in this cell!</v>
          </cell>
          <cell r="F1043" t="str">
            <v>OK</v>
          </cell>
        </row>
        <row r="1044">
          <cell r="C1044" t="str">
            <v>&lt;-- enter valid PB./Acc. # in this cell!</v>
          </cell>
          <cell r="F1044" t="str">
            <v>OK</v>
          </cell>
        </row>
        <row r="1045">
          <cell r="C1045" t="str">
            <v>&lt;-- enter valid PB./Acc. # in this cell!</v>
          </cell>
          <cell r="F1045" t="str">
            <v>OK</v>
          </cell>
        </row>
        <row r="1046">
          <cell r="C1046" t="str">
            <v>&lt;-- enter valid PB./Acc. # in this cell!</v>
          </cell>
          <cell r="F1046" t="str">
            <v>OK</v>
          </cell>
        </row>
        <row r="1047">
          <cell r="C1047" t="str">
            <v>&lt;-- enter valid PB./Acc. # in this cell!</v>
          </cell>
          <cell r="F1047" t="str">
            <v>OK</v>
          </cell>
        </row>
        <row r="1048">
          <cell r="C1048" t="str">
            <v>&lt;-- enter valid PB./Acc. # in this cell!</v>
          </cell>
          <cell r="F1048" t="str">
            <v>OK</v>
          </cell>
        </row>
        <row r="1049">
          <cell r="C1049" t="str">
            <v>&lt;-- enter valid PB./Acc. # in this cell!</v>
          </cell>
          <cell r="F1049" t="str">
            <v>OK</v>
          </cell>
        </row>
        <row r="1050">
          <cell r="C1050" t="str">
            <v>&lt;-- enter valid PB./Acc. # in this cell!</v>
          </cell>
          <cell r="F1050" t="str">
            <v>OK</v>
          </cell>
        </row>
        <row r="1051">
          <cell r="C1051" t="str">
            <v>&lt;-- enter valid PB./Acc. # in this cell!</v>
          </cell>
          <cell r="F1051" t="str">
            <v>OK</v>
          </cell>
        </row>
        <row r="1052">
          <cell r="C1052" t="str">
            <v>&lt;-- enter valid PB./Acc. # in this cell!</v>
          </cell>
          <cell r="F1052" t="str">
            <v>OK</v>
          </cell>
        </row>
        <row r="1053">
          <cell r="C1053" t="str">
            <v>&lt;-- enter valid PB./Acc. # in this cell!</v>
          </cell>
          <cell r="F1053" t="str">
            <v>OK</v>
          </cell>
        </row>
        <row r="1054">
          <cell r="C1054" t="str">
            <v>&lt;-- enter valid PB./Acc. # in this cell!</v>
          </cell>
          <cell r="F1054" t="str">
            <v>OK</v>
          </cell>
        </row>
        <row r="1055">
          <cell r="C1055" t="str">
            <v>&lt;-- enter valid PB./Acc. # in this cell!</v>
          </cell>
          <cell r="F1055" t="str">
            <v>OK</v>
          </cell>
        </row>
        <row r="1056">
          <cell r="C1056" t="str">
            <v>&lt;-- enter valid PB./Acc. # in this cell!</v>
          </cell>
          <cell r="F1056" t="str">
            <v>OK</v>
          </cell>
        </row>
        <row r="1057">
          <cell r="C1057" t="str">
            <v>&lt;-- enter valid PB./Acc. # in this cell!</v>
          </cell>
          <cell r="F1057" t="str">
            <v>OK</v>
          </cell>
        </row>
        <row r="1058">
          <cell r="C1058" t="str">
            <v>&lt;-- enter valid PB./Acc. # in this cell!</v>
          </cell>
          <cell r="F1058" t="str">
            <v>OK</v>
          </cell>
        </row>
        <row r="1059">
          <cell r="C1059" t="str">
            <v>&lt;-- enter valid PB./Acc. # in this cell!</v>
          </cell>
          <cell r="F1059" t="str">
            <v>OK</v>
          </cell>
        </row>
        <row r="1060">
          <cell r="C1060" t="str">
            <v>&lt;-- enter valid PB./Acc. # in this cell!</v>
          </cell>
          <cell r="F1060" t="str">
            <v>OK</v>
          </cell>
        </row>
        <row r="1061">
          <cell r="C1061" t="str">
            <v>&lt;-- enter valid PB./Acc. # in this cell!</v>
          </cell>
          <cell r="F1061" t="str">
            <v>OK</v>
          </cell>
        </row>
        <row r="1062">
          <cell r="C1062" t="str">
            <v>&lt;-- enter valid PB./Acc. # in this cell!</v>
          </cell>
          <cell r="F1062" t="str">
            <v>OK</v>
          </cell>
        </row>
        <row r="1063">
          <cell r="C1063" t="str">
            <v>&lt;-- enter valid PB./Acc. # in this cell!</v>
          </cell>
          <cell r="F1063" t="str">
            <v>OK</v>
          </cell>
        </row>
        <row r="1064">
          <cell r="C1064" t="str">
            <v>&lt;-- enter valid PB./Acc. # in this cell!</v>
          </cell>
          <cell r="F1064" t="str">
            <v>OK</v>
          </cell>
        </row>
        <row r="1065">
          <cell r="C1065" t="str">
            <v>&lt;-- enter valid PB./Acc. # in this cell!</v>
          </cell>
          <cell r="F1065" t="str">
            <v>OK</v>
          </cell>
        </row>
        <row r="1066">
          <cell r="C1066" t="str">
            <v>&lt;-- enter valid PB./Acc. # in this cell!</v>
          </cell>
          <cell r="F1066" t="str">
            <v>OK</v>
          </cell>
        </row>
        <row r="1067">
          <cell r="C1067" t="str">
            <v>&lt;-- enter valid PB./Acc. # in this cell!</v>
          </cell>
          <cell r="F1067" t="str">
            <v>OK</v>
          </cell>
        </row>
        <row r="1068">
          <cell r="C1068" t="str">
            <v>&lt;-- enter valid PB./Acc. # in this cell!</v>
          </cell>
          <cell r="F1068" t="str">
            <v>OK</v>
          </cell>
        </row>
        <row r="1069">
          <cell r="C1069" t="str">
            <v>&lt;-- enter valid PB./Acc. # in this cell!</v>
          </cell>
          <cell r="F1069" t="str">
            <v>OK</v>
          </cell>
        </row>
        <row r="1070">
          <cell r="C1070" t="str">
            <v>&lt;-- enter valid PB./Acc. # in this cell!</v>
          </cell>
          <cell r="F1070" t="str">
            <v>OK</v>
          </cell>
        </row>
        <row r="1071">
          <cell r="C1071" t="str">
            <v>&lt;-- enter valid PB./Acc. # in this cell!</v>
          </cell>
          <cell r="F1071" t="str">
            <v>OK</v>
          </cell>
        </row>
        <row r="1072">
          <cell r="C1072" t="str">
            <v>&lt;-- enter valid PB./Acc. # in this cell!</v>
          </cell>
          <cell r="F1072" t="str">
            <v>OK</v>
          </cell>
        </row>
        <row r="1073">
          <cell r="C1073" t="str">
            <v>&lt;-- enter valid PB./Acc. # in this cell!</v>
          </cell>
          <cell r="F1073" t="str">
            <v>OK</v>
          </cell>
        </row>
        <row r="1074">
          <cell r="C1074" t="str">
            <v>&lt;-- enter valid PB./Acc. # in this cell!</v>
          </cell>
          <cell r="F1074" t="str">
            <v>OK</v>
          </cell>
        </row>
        <row r="1075">
          <cell r="C1075" t="str">
            <v>&lt;-- enter valid PB./Acc. # in this cell!</v>
          </cell>
          <cell r="F1075" t="str">
            <v>OK</v>
          </cell>
        </row>
        <row r="1076">
          <cell r="C1076" t="str">
            <v>&lt;-- enter valid PB./Acc. # in this cell!</v>
          </cell>
          <cell r="F1076" t="str">
            <v>OK</v>
          </cell>
        </row>
        <row r="1077">
          <cell r="C1077" t="str">
            <v>&lt;-- enter valid PB./Acc. # in this cell!</v>
          </cell>
          <cell r="F1077" t="str">
            <v>OK</v>
          </cell>
        </row>
        <row r="1078">
          <cell r="C1078" t="str">
            <v>&lt;-- enter valid PB./Acc. # in this cell!</v>
          </cell>
          <cell r="F1078" t="str">
            <v>OK</v>
          </cell>
        </row>
        <row r="1079">
          <cell r="C1079" t="str">
            <v>&lt;-- enter valid PB./Acc. # in this cell!</v>
          </cell>
          <cell r="F1079" t="str">
            <v>OK</v>
          </cell>
        </row>
        <row r="1080">
          <cell r="C1080" t="str">
            <v>&lt;-- enter valid PB./Acc. # in this cell!</v>
          </cell>
          <cell r="F1080" t="str">
            <v>OK</v>
          </cell>
        </row>
        <row r="1081">
          <cell r="C1081" t="str">
            <v>&lt;-- enter valid PB./Acc. # in this cell!</v>
          </cell>
          <cell r="F1081" t="str">
            <v>OK</v>
          </cell>
        </row>
        <row r="1082">
          <cell r="C1082" t="str">
            <v>&lt;-- enter valid PB./Acc. # in this cell!</v>
          </cell>
          <cell r="F1082" t="str">
            <v>OK</v>
          </cell>
        </row>
        <row r="1083">
          <cell r="C1083" t="str">
            <v>&lt;-- enter valid PB./Acc. # in this cell!</v>
          </cell>
          <cell r="F1083" t="str">
            <v>OK</v>
          </cell>
        </row>
        <row r="1084">
          <cell r="C1084" t="str">
            <v>&lt;-- enter valid PB./Acc. # in this cell!</v>
          </cell>
          <cell r="F1084" t="str">
            <v>OK</v>
          </cell>
        </row>
        <row r="1085">
          <cell r="C1085" t="str">
            <v>&lt;-- enter valid PB./Acc. # in this cell!</v>
          </cell>
          <cell r="F1085" t="str">
            <v>OK</v>
          </cell>
        </row>
        <row r="1086">
          <cell r="C1086" t="str">
            <v>&lt;-- enter valid PB./Acc. # in this cell!</v>
          </cell>
          <cell r="F1086" t="str">
            <v>OK</v>
          </cell>
        </row>
        <row r="1087">
          <cell r="C1087" t="str">
            <v>&lt;-- enter valid PB./Acc. # in this cell!</v>
          </cell>
          <cell r="F1087" t="str">
            <v>OK</v>
          </cell>
        </row>
        <row r="1088">
          <cell r="C1088" t="str">
            <v>&lt;-- enter valid PB./Acc. # in this cell!</v>
          </cell>
          <cell r="F1088" t="str">
            <v>OK</v>
          </cell>
        </row>
        <row r="1089">
          <cell r="C1089" t="str">
            <v>&lt;-- enter valid PB./Acc. # in this cell!</v>
          </cell>
          <cell r="F1089" t="str">
            <v>OK</v>
          </cell>
        </row>
        <row r="1090">
          <cell r="C1090" t="str">
            <v>&lt;-- enter valid PB./Acc. # in this cell!</v>
          </cell>
          <cell r="F1090" t="str">
            <v>OK</v>
          </cell>
        </row>
        <row r="1091">
          <cell r="C1091" t="str">
            <v>&lt;-- enter valid PB./Acc. # in this cell!</v>
          </cell>
          <cell r="F1091" t="str">
            <v>OK</v>
          </cell>
        </row>
        <row r="1092">
          <cell r="C1092" t="str">
            <v>&lt;-- enter valid PB./Acc. # in this cell!</v>
          </cell>
          <cell r="F1092" t="str">
            <v>OK</v>
          </cell>
        </row>
        <row r="1093">
          <cell r="C1093" t="str">
            <v>&lt;-- enter valid PB./Acc. # in this cell!</v>
          </cell>
          <cell r="F1093" t="str">
            <v>OK</v>
          </cell>
        </row>
        <row r="1094">
          <cell r="C1094" t="str">
            <v>&lt;-- enter valid PB./Acc. # in this cell!</v>
          </cell>
          <cell r="F1094" t="str">
            <v>OK</v>
          </cell>
        </row>
        <row r="1095">
          <cell r="C1095" t="str">
            <v>&lt;-- enter valid PB./Acc. # in this cell!</v>
          </cell>
          <cell r="F1095" t="str">
            <v>OK</v>
          </cell>
        </row>
        <row r="1096">
          <cell r="C1096" t="str">
            <v>&lt;-- enter valid PB./Acc. # in this cell!</v>
          </cell>
          <cell r="F1096" t="str">
            <v>OK</v>
          </cell>
        </row>
        <row r="1097">
          <cell r="C1097" t="str">
            <v>&lt;-- enter valid PB./Acc. # in this cell!</v>
          </cell>
          <cell r="F1097" t="str">
            <v>OK</v>
          </cell>
        </row>
        <row r="1098">
          <cell r="C1098" t="str">
            <v>&lt;-- enter valid PB./Acc. # in this cell!</v>
          </cell>
          <cell r="F1098" t="str">
            <v>OK</v>
          </cell>
        </row>
        <row r="1099">
          <cell r="C1099" t="str">
            <v>&lt;-- enter valid PB./Acc. # in this cell!</v>
          </cell>
          <cell r="F1099" t="str">
            <v>OK</v>
          </cell>
        </row>
        <row r="1100">
          <cell r="C1100" t="str">
            <v>&lt;-- enter valid PB./Acc. # in this cell!</v>
          </cell>
          <cell r="F1100" t="str">
            <v>OK</v>
          </cell>
        </row>
        <row r="1101">
          <cell r="C1101" t="str">
            <v>&lt;-- enter valid PB./Acc. # in this cell!</v>
          </cell>
          <cell r="F1101" t="str">
            <v>OK</v>
          </cell>
        </row>
        <row r="1102">
          <cell r="C1102" t="str">
            <v>&lt;-- enter valid PB./Acc. # in this cell!</v>
          </cell>
          <cell r="F1102" t="str">
            <v>OK</v>
          </cell>
        </row>
        <row r="1103">
          <cell r="C1103" t="str">
            <v>&lt;-- enter valid PB./Acc. # in this cell!</v>
          </cell>
          <cell r="F1103" t="str">
            <v>OK</v>
          </cell>
        </row>
        <row r="1104">
          <cell r="C1104" t="str">
            <v>&lt;-- enter valid PB./Acc. # in this cell!</v>
          </cell>
          <cell r="F1104" t="str">
            <v>OK</v>
          </cell>
        </row>
        <row r="1105">
          <cell r="C1105" t="str">
            <v>&lt;-- enter valid PB./Acc. # in this cell!</v>
          </cell>
          <cell r="F1105" t="str">
            <v>OK</v>
          </cell>
        </row>
        <row r="1106">
          <cell r="C1106" t="str">
            <v>&lt;-- enter valid PB./Acc. # in this cell!</v>
          </cell>
          <cell r="F1106" t="str">
            <v>OK</v>
          </cell>
        </row>
        <row r="1107">
          <cell r="C1107" t="str">
            <v>&lt;-- enter valid PB./Acc. # in this cell!</v>
          </cell>
          <cell r="F1107" t="str">
            <v>OK</v>
          </cell>
        </row>
        <row r="1108">
          <cell r="C1108" t="str">
            <v>&lt;-- enter valid PB./Acc. # in this cell!</v>
          </cell>
          <cell r="F1108" t="str">
            <v>OK</v>
          </cell>
        </row>
        <row r="1109">
          <cell r="C1109" t="str">
            <v>&lt;-- enter valid PB./Acc. # in this cell!</v>
          </cell>
          <cell r="F1109" t="str">
            <v>OK</v>
          </cell>
        </row>
        <row r="1110">
          <cell r="C1110" t="str">
            <v>&lt;-- enter valid PB./Acc. # in this cell!</v>
          </cell>
          <cell r="F1110" t="str">
            <v>OK</v>
          </cell>
        </row>
        <row r="1111">
          <cell r="C1111" t="str">
            <v>&lt;-- enter valid PB./Acc. # in this cell!</v>
          </cell>
          <cell r="F1111" t="str">
            <v>OK</v>
          </cell>
        </row>
        <row r="1112">
          <cell r="C1112" t="str">
            <v>&lt;-- enter valid PB./Acc. # in this cell!</v>
          </cell>
          <cell r="F1112" t="str">
            <v>OK</v>
          </cell>
        </row>
        <row r="1113">
          <cell r="C1113" t="str">
            <v>&lt;-- enter valid PB./Acc. # in this cell!</v>
          </cell>
          <cell r="F1113" t="str">
            <v>OK</v>
          </cell>
        </row>
        <row r="1114">
          <cell r="C1114" t="str">
            <v>&lt;-- enter valid PB./Acc. # in this cell!</v>
          </cell>
          <cell r="F1114" t="str">
            <v>OK</v>
          </cell>
        </row>
        <row r="1115">
          <cell r="C1115" t="str">
            <v>&lt;-- enter valid PB./Acc. # in this cell!</v>
          </cell>
          <cell r="F1115" t="str">
            <v>OK</v>
          </cell>
        </row>
        <row r="1116">
          <cell r="C1116" t="str">
            <v>&lt;-- enter valid PB./Acc. # in this cell!</v>
          </cell>
          <cell r="F1116" t="str">
            <v>OK</v>
          </cell>
        </row>
        <row r="1117">
          <cell r="C1117" t="str">
            <v>&lt;-- enter valid PB./Acc. # in this cell!</v>
          </cell>
          <cell r="F1117" t="str">
            <v>OK</v>
          </cell>
        </row>
        <row r="1118">
          <cell r="C1118" t="str">
            <v>&lt;-- enter valid PB./Acc. # in this cell!</v>
          </cell>
          <cell r="F1118" t="str">
            <v>OK</v>
          </cell>
        </row>
        <row r="1119">
          <cell r="C1119" t="str">
            <v>&lt;-- enter valid PB./Acc. # in this cell!</v>
          </cell>
          <cell r="F1119" t="str">
            <v>OK</v>
          </cell>
        </row>
        <row r="1120">
          <cell r="C1120" t="str">
            <v>&lt;-- enter valid PB./Acc. # in this cell!</v>
          </cell>
          <cell r="F1120" t="str">
            <v>OK</v>
          </cell>
        </row>
        <row r="1121">
          <cell r="C1121" t="str">
            <v>&lt;-- enter valid PB./Acc. # in this cell!</v>
          </cell>
          <cell r="F1121" t="str">
            <v>OK</v>
          </cell>
        </row>
        <row r="1122">
          <cell r="C1122" t="str">
            <v>&lt;-- enter valid PB./Acc. # in this cell!</v>
          </cell>
          <cell r="F1122" t="str">
            <v>OK</v>
          </cell>
        </row>
        <row r="1123">
          <cell r="C1123" t="str">
            <v>&lt;-- enter valid PB./Acc. # in this cell!</v>
          </cell>
          <cell r="F1123" t="str">
            <v>OK</v>
          </cell>
        </row>
        <row r="1124">
          <cell r="C1124" t="str">
            <v>&lt;-- enter valid PB./Acc. # in this cell!</v>
          </cell>
          <cell r="F1124" t="str">
            <v>OK</v>
          </cell>
        </row>
        <row r="1125">
          <cell r="C1125" t="str">
            <v>&lt;-- enter valid PB./Acc. # in this cell!</v>
          </cell>
          <cell r="F1125" t="str">
            <v>OK</v>
          </cell>
        </row>
        <row r="1126">
          <cell r="C1126" t="str">
            <v>&lt;-- enter valid PB./Acc. # in this cell!</v>
          </cell>
          <cell r="F1126" t="str">
            <v>OK</v>
          </cell>
        </row>
        <row r="1127">
          <cell r="C1127" t="str">
            <v>&lt;-- enter valid PB./Acc. # in this cell!</v>
          </cell>
          <cell r="F1127" t="str">
            <v>OK</v>
          </cell>
        </row>
        <row r="1128">
          <cell r="C1128" t="str">
            <v>&lt;-- enter valid PB./Acc. # in this cell!</v>
          </cell>
          <cell r="F1128" t="str">
            <v>OK</v>
          </cell>
        </row>
        <row r="1129">
          <cell r="C1129" t="str">
            <v>&lt;-- enter valid PB./Acc. # in this cell!</v>
          </cell>
          <cell r="F1129" t="str">
            <v>OK</v>
          </cell>
        </row>
        <row r="1130">
          <cell r="C1130" t="str">
            <v>&lt;-- enter valid PB./Acc. # in this cell!</v>
          </cell>
          <cell r="F1130" t="str">
            <v>OK</v>
          </cell>
        </row>
        <row r="1131">
          <cell r="C1131" t="str">
            <v>&lt;-- enter valid PB./Acc. # in this cell!</v>
          </cell>
          <cell r="F1131" t="str">
            <v>OK</v>
          </cell>
        </row>
        <row r="1132">
          <cell r="C1132" t="str">
            <v>&lt;-- enter valid PB./Acc. # in this cell!</v>
          </cell>
          <cell r="F1132" t="str">
            <v>OK</v>
          </cell>
        </row>
        <row r="1133">
          <cell r="C1133" t="str">
            <v>&lt;-- enter valid PB./Acc. # in this cell!</v>
          </cell>
          <cell r="F1133" t="str">
            <v>OK</v>
          </cell>
        </row>
        <row r="1134">
          <cell r="C1134" t="str">
            <v>&lt;-- enter valid PB./Acc. # in this cell!</v>
          </cell>
          <cell r="F1134" t="str">
            <v>OK</v>
          </cell>
        </row>
        <row r="1135">
          <cell r="C1135" t="str">
            <v>&lt;-- enter valid PB./Acc. # in this cell!</v>
          </cell>
          <cell r="F1135" t="str">
            <v>OK</v>
          </cell>
        </row>
        <row r="1136">
          <cell r="C1136" t="str">
            <v>&lt;-- enter valid PB./Acc. # in this cell!</v>
          </cell>
          <cell r="F1136" t="str">
            <v>OK</v>
          </cell>
        </row>
        <row r="1137">
          <cell r="C1137" t="str">
            <v>&lt;-- enter valid PB./Acc. # in this cell!</v>
          </cell>
          <cell r="F1137" t="str">
            <v>OK</v>
          </cell>
        </row>
        <row r="1138">
          <cell r="C1138" t="str">
            <v>&lt;-- enter valid PB./Acc. # in this cell!</v>
          </cell>
          <cell r="F1138" t="str">
            <v>OK</v>
          </cell>
        </row>
        <row r="1139">
          <cell r="C1139" t="str">
            <v>&lt;-- enter valid PB./Acc. # in this cell!</v>
          </cell>
          <cell r="F1139" t="str">
            <v>OK</v>
          </cell>
        </row>
        <row r="1140">
          <cell r="C1140" t="str">
            <v>&lt;-- enter valid PB./Acc. # in this cell!</v>
          </cell>
          <cell r="F1140" t="str">
            <v>OK</v>
          </cell>
        </row>
        <row r="1141">
          <cell r="C1141" t="str">
            <v>&lt;-- enter valid PB./Acc. # in this cell!</v>
          </cell>
          <cell r="F1141" t="str">
            <v>OK</v>
          </cell>
        </row>
        <row r="1142">
          <cell r="C1142" t="str">
            <v>&lt;-- enter valid PB./Acc. # in this cell!</v>
          </cell>
          <cell r="F1142" t="str">
            <v>OK</v>
          </cell>
        </row>
        <row r="1143">
          <cell r="C1143" t="str">
            <v>&lt;-- enter valid PB./Acc. # in this cell!</v>
          </cell>
          <cell r="F1143" t="str">
            <v>OK</v>
          </cell>
        </row>
        <row r="1144">
          <cell r="C1144" t="str">
            <v>&lt;-- enter valid PB./Acc. # in this cell!</v>
          </cell>
          <cell r="F1144" t="str">
            <v>OK</v>
          </cell>
        </row>
        <row r="1145">
          <cell r="C1145" t="str">
            <v>&lt;-- enter valid PB./Acc. # in this cell!</v>
          </cell>
          <cell r="F1145" t="str">
            <v>OK</v>
          </cell>
        </row>
        <row r="1146">
          <cell r="C1146" t="str">
            <v>&lt;-- enter valid PB./Acc. # in this cell!</v>
          </cell>
          <cell r="F1146" t="str">
            <v>OK</v>
          </cell>
        </row>
        <row r="1147">
          <cell r="C1147" t="str">
            <v>&lt;-- enter valid PB./Acc. # in this cell!</v>
          </cell>
          <cell r="F1147" t="str">
            <v>OK</v>
          </cell>
        </row>
        <row r="1148">
          <cell r="C1148" t="str">
            <v>&lt;-- enter valid PB./Acc. # in this cell!</v>
          </cell>
          <cell r="F1148" t="str">
            <v>OK</v>
          </cell>
        </row>
        <row r="1149">
          <cell r="C1149" t="str">
            <v>&lt;-- enter valid PB./Acc. # in this cell!</v>
          </cell>
          <cell r="F1149" t="str">
            <v>OK</v>
          </cell>
        </row>
        <row r="1150">
          <cell r="C1150" t="str">
            <v>&lt;-- enter valid PB./Acc. # in this cell!</v>
          </cell>
          <cell r="F1150" t="str">
            <v>OK</v>
          </cell>
        </row>
        <row r="1151">
          <cell r="C1151" t="str">
            <v>&lt;-- enter valid PB./Acc. # in this cell!</v>
          </cell>
          <cell r="F1151" t="str">
            <v>OK</v>
          </cell>
        </row>
        <row r="1152">
          <cell r="C1152" t="str">
            <v>&lt;-- enter valid PB./Acc. # in this cell!</v>
          </cell>
          <cell r="F1152" t="str">
            <v>OK</v>
          </cell>
        </row>
        <row r="1153">
          <cell r="C1153" t="str">
            <v>&lt;-- enter valid PB./Acc. # in this cell!</v>
          </cell>
          <cell r="F1153" t="str">
            <v>OK</v>
          </cell>
        </row>
        <row r="1154">
          <cell r="C1154" t="str">
            <v>&lt;-- enter valid PB./Acc. # in this cell!</v>
          </cell>
          <cell r="F1154" t="str">
            <v>OK</v>
          </cell>
        </row>
        <row r="1155">
          <cell r="C1155" t="str">
            <v>&lt;-- enter valid PB./Acc. # in this cell!</v>
          </cell>
          <cell r="F1155" t="str">
            <v>OK</v>
          </cell>
        </row>
        <row r="1156">
          <cell r="C1156" t="str">
            <v>&lt;-- enter valid PB./Acc. # in this cell!</v>
          </cell>
          <cell r="F1156" t="str">
            <v>OK</v>
          </cell>
        </row>
        <row r="1157">
          <cell r="C1157" t="str">
            <v>&lt;-- enter valid PB./Acc. # in this cell!</v>
          </cell>
          <cell r="F1157" t="str">
            <v>OK</v>
          </cell>
        </row>
        <row r="1158">
          <cell r="C1158" t="str">
            <v>&lt;-- enter valid PB./Acc. # in this cell!</v>
          </cell>
          <cell r="F1158" t="str">
            <v>OK</v>
          </cell>
        </row>
        <row r="1159">
          <cell r="C1159" t="str">
            <v>&lt;-- enter valid PB./Acc. # in this cell!</v>
          </cell>
          <cell r="F1159" t="str">
            <v>OK</v>
          </cell>
        </row>
        <row r="1160">
          <cell r="C1160" t="str">
            <v>&lt;-- enter valid PB./Acc. # in this cell!</v>
          </cell>
          <cell r="F1160" t="str">
            <v>OK</v>
          </cell>
        </row>
        <row r="1161">
          <cell r="C1161" t="str">
            <v>&lt;-- enter valid PB./Acc. # in this cell!</v>
          </cell>
          <cell r="F1161" t="str">
            <v>OK</v>
          </cell>
        </row>
        <row r="1162">
          <cell r="C1162" t="str">
            <v>&lt;-- enter valid PB./Acc. # in this cell!</v>
          </cell>
          <cell r="F1162" t="str">
            <v>OK</v>
          </cell>
        </row>
        <row r="1163">
          <cell r="C1163" t="str">
            <v>&lt;-- enter valid PB./Acc. # in this cell!</v>
          </cell>
          <cell r="F1163" t="str">
            <v>OK</v>
          </cell>
        </row>
        <row r="1164">
          <cell r="C1164" t="str">
            <v>&lt;-- enter valid PB./Acc. # in this cell!</v>
          </cell>
          <cell r="F1164" t="str">
            <v>OK</v>
          </cell>
        </row>
        <row r="1165">
          <cell r="C1165" t="str">
            <v>&lt;-- enter valid PB./Acc. # in this cell!</v>
          </cell>
          <cell r="F1165" t="str">
            <v>OK</v>
          </cell>
        </row>
        <row r="1166">
          <cell r="C1166" t="str">
            <v>&lt;-- enter valid PB./Acc. # in this cell!</v>
          </cell>
          <cell r="F1166" t="str">
            <v>OK</v>
          </cell>
        </row>
        <row r="1167">
          <cell r="C1167" t="str">
            <v>&lt;-- enter valid PB./Acc. # in this cell!</v>
          </cell>
          <cell r="F1167" t="str">
            <v>OK</v>
          </cell>
        </row>
        <row r="1168">
          <cell r="C1168" t="str">
            <v>&lt;-- enter valid PB./Acc. # in this cell!</v>
          </cell>
          <cell r="F1168" t="str">
            <v>OK</v>
          </cell>
        </row>
        <row r="1169">
          <cell r="C1169" t="str">
            <v>&lt;-- enter valid PB./Acc. # in this cell!</v>
          </cell>
          <cell r="F1169" t="str">
            <v>OK</v>
          </cell>
        </row>
        <row r="1170">
          <cell r="C1170" t="str">
            <v>&lt;-- enter valid PB./Acc. # in this cell!</v>
          </cell>
          <cell r="F1170" t="str">
            <v>OK</v>
          </cell>
        </row>
        <row r="1171">
          <cell r="C1171" t="str">
            <v>&lt;-- enter valid PB./Acc. # in this cell!</v>
          </cell>
          <cell r="F1171" t="str">
            <v>OK</v>
          </cell>
        </row>
        <row r="1172">
          <cell r="C1172" t="str">
            <v>&lt;-- enter valid PB./Acc. # in this cell!</v>
          </cell>
          <cell r="F1172" t="str">
            <v>OK</v>
          </cell>
        </row>
        <row r="1173">
          <cell r="C1173" t="str">
            <v>&lt;-- enter valid PB./Acc. # in this cell!</v>
          </cell>
          <cell r="F1173" t="str">
            <v>OK</v>
          </cell>
        </row>
        <row r="1174">
          <cell r="C1174" t="str">
            <v>&lt;-- enter valid PB./Acc. # in this cell!</v>
          </cell>
          <cell r="F1174" t="str">
            <v>OK</v>
          </cell>
        </row>
        <row r="1175">
          <cell r="C1175" t="str">
            <v>&lt;-- enter valid PB./Acc. # in this cell!</v>
          </cell>
          <cell r="F1175" t="str">
            <v>OK</v>
          </cell>
        </row>
        <row r="1176">
          <cell r="C1176" t="str">
            <v>&lt;-- enter valid PB./Acc. # in this cell!</v>
          </cell>
          <cell r="F1176" t="str">
            <v>OK</v>
          </cell>
        </row>
        <row r="1177">
          <cell r="C1177" t="str">
            <v>&lt;-- enter valid PB./Acc. # in this cell!</v>
          </cell>
          <cell r="F1177" t="str">
            <v>OK</v>
          </cell>
        </row>
        <row r="1178">
          <cell r="C1178" t="str">
            <v>&lt;-- enter valid PB./Acc. # in this cell!</v>
          </cell>
          <cell r="F1178" t="str">
            <v>OK</v>
          </cell>
        </row>
        <row r="1179">
          <cell r="C1179" t="str">
            <v>&lt;-- enter valid PB./Acc. # in this cell!</v>
          </cell>
          <cell r="F1179" t="str">
            <v>OK</v>
          </cell>
        </row>
        <row r="1180">
          <cell r="C1180" t="str">
            <v>&lt;-- enter valid PB./Acc. # in this cell!</v>
          </cell>
          <cell r="F1180" t="str">
            <v>OK</v>
          </cell>
        </row>
        <row r="1181">
          <cell r="C1181" t="str">
            <v>&lt;-- enter valid PB./Acc. # in this cell!</v>
          </cell>
          <cell r="F1181" t="str">
            <v>OK</v>
          </cell>
        </row>
        <row r="1182">
          <cell r="C1182" t="str">
            <v>&lt;-- enter valid PB./Acc. # in this cell!</v>
          </cell>
          <cell r="F1182" t="str">
            <v>OK</v>
          </cell>
        </row>
        <row r="1183">
          <cell r="C1183" t="str">
            <v>&lt;-- enter valid PB./Acc. # in this cell!</v>
          </cell>
          <cell r="F1183" t="str">
            <v>OK</v>
          </cell>
        </row>
        <row r="1184">
          <cell r="C1184" t="str">
            <v>&lt;-- enter valid PB./Acc. # in this cell!</v>
          </cell>
          <cell r="F1184" t="str">
            <v>OK</v>
          </cell>
        </row>
        <row r="1185">
          <cell r="C1185" t="str">
            <v>&lt;-- enter valid PB./Acc. # in this cell!</v>
          </cell>
          <cell r="F1185" t="str">
            <v>OK</v>
          </cell>
        </row>
        <row r="1186">
          <cell r="C1186" t="str">
            <v>&lt;-- enter valid PB./Acc. # in this cell!</v>
          </cell>
          <cell r="F1186" t="str">
            <v>OK</v>
          </cell>
        </row>
        <row r="1187">
          <cell r="C1187" t="str">
            <v>&lt;-- enter valid PB./Acc. # in this cell!</v>
          </cell>
          <cell r="F1187" t="str">
            <v>OK</v>
          </cell>
        </row>
        <row r="1188">
          <cell r="C1188" t="str">
            <v>&lt;-- enter valid PB./Acc. # in this cell!</v>
          </cell>
          <cell r="F1188" t="str">
            <v>OK</v>
          </cell>
        </row>
        <row r="1189">
          <cell r="C1189" t="str">
            <v>&lt;-- enter valid PB./Acc. # in this cell!</v>
          </cell>
          <cell r="F1189" t="str">
            <v>OK</v>
          </cell>
        </row>
        <row r="1190">
          <cell r="C1190" t="str">
            <v>&lt;-- enter valid PB./Acc. # in this cell!</v>
          </cell>
          <cell r="F1190" t="str">
            <v>OK</v>
          </cell>
        </row>
        <row r="1191">
          <cell r="C1191" t="str">
            <v>&lt;-- enter valid PB./Acc. # in this cell!</v>
          </cell>
          <cell r="F1191" t="str">
            <v>OK</v>
          </cell>
        </row>
        <row r="1192">
          <cell r="C1192" t="str">
            <v>&lt;-- enter valid PB./Acc. # in this cell!</v>
          </cell>
          <cell r="F1192" t="str">
            <v>OK</v>
          </cell>
        </row>
        <row r="1193">
          <cell r="C1193" t="str">
            <v>&lt;-- enter valid PB./Acc. # in this cell!</v>
          </cell>
          <cell r="F1193" t="str">
            <v>OK</v>
          </cell>
        </row>
        <row r="1194">
          <cell r="C1194" t="str">
            <v>&lt;-- enter valid PB./Acc. # in this cell!</v>
          </cell>
          <cell r="F1194" t="str">
            <v>OK</v>
          </cell>
        </row>
        <row r="1195">
          <cell r="C1195" t="str">
            <v>&lt;-- enter valid PB./Acc. # in this cell!</v>
          </cell>
          <cell r="F1195" t="str">
            <v>OK</v>
          </cell>
        </row>
        <row r="1196">
          <cell r="C1196" t="str">
            <v>&lt;-- enter valid PB./Acc. # in this cell!</v>
          </cell>
          <cell r="F1196" t="str">
            <v>OK</v>
          </cell>
        </row>
        <row r="1197">
          <cell r="C1197" t="str">
            <v>&lt;-- enter valid PB./Acc. # in this cell!</v>
          </cell>
          <cell r="F1197" t="str">
            <v>OK</v>
          </cell>
        </row>
        <row r="1198">
          <cell r="C1198" t="str">
            <v>&lt;-- enter valid PB./Acc. # in this cell!</v>
          </cell>
          <cell r="F1198" t="str">
            <v>OK</v>
          </cell>
        </row>
        <row r="1199">
          <cell r="C1199" t="str">
            <v>&lt;-- enter valid PB./Acc. # in this cell!</v>
          </cell>
          <cell r="F1199" t="str">
            <v>OK</v>
          </cell>
        </row>
        <row r="1200">
          <cell r="A1200" t="str">
            <v>Total Balances of October 2015</v>
          </cell>
          <cell r="F1200" t="str">
            <v>OK</v>
          </cell>
          <cell r="G1200">
            <v>0</v>
          </cell>
          <cell r="H1200">
            <v>0</v>
          </cell>
          <cell r="I1200">
            <v>0</v>
          </cell>
          <cell r="J1200">
            <v>0</v>
          </cell>
          <cell r="K1200">
            <v>0</v>
          </cell>
          <cell r="L1200">
            <v>0</v>
          </cell>
          <cell r="M1200">
            <v>0</v>
          </cell>
          <cell r="N1200">
            <v>0</v>
          </cell>
          <cell r="O1200">
            <v>0</v>
          </cell>
          <cell r="P1200">
            <v>0</v>
          </cell>
          <cell r="Q1200">
            <v>0</v>
          </cell>
          <cell r="R1200">
            <v>0</v>
          </cell>
          <cell r="S1200">
            <v>0</v>
          </cell>
          <cell r="T1200">
            <v>0</v>
          </cell>
          <cell r="AQ1200">
            <v>0</v>
          </cell>
        </row>
        <row r="1201">
          <cell r="A1201">
            <v>42338</v>
          </cell>
        </row>
        <row r="1202">
          <cell r="C1202" t="str">
            <v>&lt;-- enter valid PB./Acc. # in this cell!</v>
          </cell>
          <cell r="F1202" t="str">
            <v>OK</v>
          </cell>
        </row>
        <row r="1203">
          <cell r="C1203" t="str">
            <v>&lt;-- enter valid PB./Acc. # in this cell!</v>
          </cell>
          <cell r="F1203" t="str">
            <v>OK</v>
          </cell>
        </row>
        <row r="1204">
          <cell r="C1204" t="str">
            <v>&lt;-- enter valid PB./Acc. # in this cell!</v>
          </cell>
          <cell r="F1204" t="str">
            <v>OK</v>
          </cell>
        </row>
        <row r="1205">
          <cell r="C1205" t="str">
            <v>&lt;-- enter valid PB./Acc. # in this cell!</v>
          </cell>
          <cell r="F1205" t="str">
            <v>OK</v>
          </cell>
        </row>
        <row r="1206">
          <cell r="C1206" t="str">
            <v>&lt;-- enter valid PB./Acc. # in this cell!</v>
          </cell>
          <cell r="F1206" t="str">
            <v>OK</v>
          </cell>
        </row>
        <row r="1207">
          <cell r="C1207" t="str">
            <v>&lt;-- enter valid PB./Acc. # in this cell!</v>
          </cell>
          <cell r="F1207" t="str">
            <v>OK</v>
          </cell>
        </row>
        <row r="1208">
          <cell r="C1208" t="str">
            <v>&lt;-- enter valid PB./Acc. # in this cell!</v>
          </cell>
          <cell r="F1208" t="str">
            <v>OK</v>
          </cell>
        </row>
        <row r="1209">
          <cell r="C1209" t="str">
            <v>&lt;-- enter valid PB./Acc. # in this cell!</v>
          </cell>
          <cell r="F1209" t="str">
            <v>OK</v>
          </cell>
        </row>
        <row r="1210">
          <cell r="C1210" t="str">
            <v>&lt;-- enter valid PB./Acc. # in this cell!</v>
          </cell>
          <cell r="F1210" t="str">
            <v>OK</v>
          </cell>
        </row>
        <row r="1211">
          <cell r="C1211" t="str">
            <v>&lt;-- enter valid PB./Acc. # in this cell!</v>
          </cell>
          <cell r="F1211" t="str">
            <v>OK</v>
          </cell>
        </row>
        <row r="1212">
          <cell r="C1212" t="str">
            <v>&lt;-- enter valid PB./Acc. # in this cell!</v>
          </cell>
          <cell r="F1212" t="str">
            <v>OK</v>
          </cell>
        </row>
        <row r="1213">
          <cell r="C1213" t="str">
            <v>&lt;-- enter valid PB./Acc. # in this cell!</v>
          </cell>
          <cell r="F1213" t="str">
            <v>OK</v>
          </cell>
        </row>
        <row r="1214">
          <cell r="C1214" t="str">
            <v>&lt;-- enter valid PB./Acc. # in this cell!</v>
          </cell>
          <cell r="F1214" t="str">
            <v>OK</v>
          </cell>
        </row>
        <row r="1215">
          <cell r="C1215" t="str">
            <v>&lt;-- enter valid PB./Acc. # in this cell!</v>
          </cell>
          <cell r="F1215" t="str">
            <v>OK</v>
          </cell>
        </row>
        <row r="1216">
          <cell r="C1216" t="str">
            <v>&lt;-- enter valid PB./Acc. # in this cell!</v>
          </cell>
          <cell r="F1216" t="str">
            <v>OK</v>
          </cell>
        </row>
        <row r="1217">
          <cell r="C1217" t="str">
            <v>&lt;-- enter valid PB./Acc. # in this cell!</v>
          </cell>
          <cell r="F1217" t="str">
            <v>OK</v>
          </cell>
        </row>
        <row r="1218">
          <cell r="C1218" t="str">
            <v>&lt;-- enter valid PB./Acc. # in this cell!</v>
          </cell>
          <cell r="F1218" t="str">
            <v>OK</v>
          </cell>
        </row>
        <row r="1219">
          <cell r="C1219" t="str">
            <v>&lt;-- enter valid PB./Acc. # in this cell!</v>
          </cell>
          <cell r="F1219" t="str">
            <v>OK</v>
          </cell>
        </row>
        <row r="1220">
          <cell r="C1220" t="str">
            <v>&lt;-- enter valid PB./Acc. # in this cell!</v>
          </cell>
          <cell r="F1220" t="str">
            <v>OK</v>
          </cell>
        </row>
        <row r="1221">
          <cell r="C1221" t="str">
            <v>&lt;-- enter valid PB./Acc. # in this cell!</v>
          </cell>
          <cell r="F1221" t="str">
            <v>OK</v>
          </cell>
        </row>
        <row r="1222">
          <cell r="C1222" t="str">
            <v>&lt;-- enter valid PB./Acc. # in this cell!</v>
          </cell>
          <cell r="F1222" t="str">
            <v>OK</v>
          </cell>
        </row>
        <row r="1223">
          <cell r="C1223" t="str">
            <v>&lt;-- enter valid PB./Acc. # in this cell!</v>
          </cell>
          <cell r="F1223" t="str">
            <v>OK</v>
          </cell>
        </row>
        <row r="1224">
          <cell r="C1224" t="str">
            <v>&lt;-- enter valid PB./Acc. # in this cell!</v>
          </cell>
          <cell r="F1224" t="str">
            <v>OK</v>
          </cell>
        </row>
        <row r="1225">
          <cell r="C1225" t="str">
            <v>&lt;-- enter valid PB./Acc. # in this cell!</v>
          </cell>
          <cell r="F1225" t="str">
            <v>OK</v>
          </cell>
        </row>
        <row r="1226">
          <cell r="C1226" t="str">
            <v>&lt;-- enter valid PB./Acc. # in this cell!</v>
          </cell>
          <cell r="F1226" t="str">
            <v>OK</v>
          </cell>
        </row>
        <row r="1227">
          <cell r="C1227" t="str">
            <v>&lt;-- enter valid PB./Acc. # in this cell!</v>
          </cell>
          <cell r="F1227" t="str">
            <v>OK</v>
          </cell>
        </row>
        <row r="1228">
          <cell r="C1228" t="str">
            <v>&lt;-- enter valid PB./Acc. # in this cell!</v>
          </cell>
          <cell r="F1228" t="str">
            <v>OK</v>
          </cell>
        </row>
        <row r="1229">
          <cell r="C1229" t="str">
            <v>&lt;-- enter valid PB./Acc. # in this cell!</v>
          </cell>
          <cell r="F1229" t="str">
            <v>OK</v>
          </cell>
        </row>
        <row r="1230">
          <cell r="C1230" t="str">
            <v>&lt;-- enter valid PB./Acc. # in this cell!</v>
          </cell>
          <cell r="F1230" t="str">
            <v>OK</v>
          </cell>
        </row>
        <row r="1231">
          <cell r="C1231" t="str">
            <v>&lt;-- enter valid PB./Acc. # in this cell!</v>
          </cell>
          <cell r="F1231" t="str">
            <v>OK</v>
          </cell>
        </row>
        <row r="1232">
          <cell r="C1232" t="str">
            <v>&lt;-- enter valid PB./Acc. # in this cell!</v>
          </cell>
          <cell r="F1232" t="str">
            <v>OK</v>
          </cell>
        </row>
        <row r="1233">
          <cell r="C1233" t="str">
            <v>&lt;-- enter valid PB./Acc. # in this cell!</v>
          </cell>
          <cell r="F1233" t="str">
            <v>OK</v>
          </cell>
        </row>
        <row r="1234">
          <cell r="C1234" t="str">
            <v>&lt;-- enter valid PB./Acc. # in this cell!</v>
          </cell>
          <cell r="F1234" t="str">
            <v>OK</v>
          </cell>
        </row>
        <row r="1235">
          <cell r="C1235" t="str">
            <v>&lt;-- enter valid PB./Acc. # in this cell!</v>
          </cell>
          <cell r="F1235" t="str">
            <v>OK</v>
          </cell>
        </row>
        <row r="1236">
          <cell r="C1236" t="str">
            <v>&lt;-- enter valid PB./Acc. # in this cell!</v>
          </cell>
          <cell r="F1236" t="str">
            <v>OK</v>
          </cell>
        </row>
        <row r="1237">
          <cell r="C1237" t="str">
            <v>&lt;-- enter valid PB./Acc. # in this cell!</v>
          </cell>
          <cell r="F1237" t="str">
            <v>OK</v>
          </cell>
        </row>
        <row r="1238">
          <cell r="C1238" t="str">
            <v>&lt;-- enter valid PB./Acc. # in this cell!</v>
          </cell>
          <cell r="F1238" t="str">
            <v>OK</v>
          </cell>
        </row>
        <row r="1239">
          <cell r="C1239" t="str">
            <v>&lt;-- enter valid PB./Acc. # in this cell!</v>
          </cell>
          <cell r="F1239" t="str">
            <v>OK</v>
          </cell>
        </row>
        <row r="1240">
          <cell r="C1240" t="str">
            <v>&lt;-- enter valid PB./Acc. # in this cell!</v>
          </cell>
          <cell r="F1240" t="str">
            <v>OK</v>
          </cell>
        </row>
        <row r="1241">
          <cell r="C1241" t="str">
            <v>&lt;-- enter valid PB./Acc. # in this cell!</v>
          </cell>
          <cell r="F1241" t="str">
            <v>OK</v>
          </cell>
        </row>
        <row r="1242">
          <cell r="C1242" t="str">
            <v>&lt;-- enter valid PB./Acc. # in this cell!</v>
          </cell>
          <cell r="F1242" t="str">
            <v>OK</v>
          </cell>
        </row>
        <row r="1243">
          <cell r="C1243" t="str">
            <v>&lt;-- enter valid PB./Acc. # in this cell!</v>
          </cell>
          <cell r="F1243" t="str">
            <v>OK</v>
          </cell>
        </row>
        <row r="1244">
          <cell r="C1244" t="str">
            <v>&lt;-- enter valid PB./Acc. # in this cell!</v>
          </cell>
          <cell r="F1244" t="str">
            <v>OK</v>
          </cell>
        </row>
        <row r="1245">
          <cell r="C1245" t="str">
            <v>&lt;-- enter valid PB./Acc. # in this cell!</v>
          </cell>
          <cell r="F1245" t="str">
            <v>OK</v>
          </cell>
        </row>
        <row r="1246">
          <cell r="C1246" t="str">
            <v>&lt;-- enter valid PB./Acc. # in this cell!</v>
          </cell>
          <cell r="F1246" t="str">
            <v>OK</v>
          </cell>
        </row>
        <row r="1247">
          <cell r="C1247" t="str">
            <v>&lt;-- enter valid PB./Acc. # in this cell!</v>
          </cell>
          <cell r="F1247" t="str">
            <v>OK</v>
          </cell>
        </row>
        <row r="1248">
          <cell r="C1248" t="str">
            <v>&lt;-- enter valid PB./Acc. # in this cell!</v>
          </cell>
          <cell r="F1248" t="str">
            <v>OK</v>
          </cell>
        </row>
        <row r="1249">
          <cell r="C1249" t="str">
            <v>&lt;-- enter valid PB./Acc. # in this cell!</v>
          </cell>
          <cell r="F1249" t="str">
            <v>OK</v>
          </cell>
        </row>
        <row r="1250">
          <cell r="C1250" t="str">
            <v>&lt;-- enter valid PB./Acc. # in this cell!</v>
          </cell>
          <cell r="F1250" t="str">
            <v>OK</v>
          </cell>
        </row>
        <row r="1251">
          <cell r="C1251" t="str">
            <v>&lt;-- enter valid PB./Acc. # in this cell!</v>
          </cell>
          <cell r="F1251" t="str">
            <v>OK</v>
          </cell>
        </row>
        <row r="1252">
          <cell r="C1252" t="str">
            <v>&lt;-- enter valid PB./Acc. # in this cell!</v>
          </cell>
          <cell r="F1252" t="str">
            <v>OK</v>
          </cell>
        </row>
        <row r="1253">
          <cell r="C1253" t="str">
            <v>&lt;-- enter valid PB./Acc. # in this cell!</v>
          </cell>
          <cell r="F1253" t="str">
            <v>OK</v>
          </cell>
        </row>
        <row r="1254">
          <cell r="C1254" t="str">
            <v>&lt;-- enter valid PB./Acc. # in this cell!</v>
          </cell>
          <cell r="F1254" t="str">
            <v>OK</v>
          </cell>
        </row>
        <row r="1255">
          <cell r="C1255" t="str">
            <v>&lt;-- enter valid PB./Acc. # in this cell!</v>
          </cell>
          <cell r="F1255" t="str">
            <v>OK</v>
          </cell>
        </row>
        <row r="1256">
          <cell r="C1256" t="str">
            <v>&lt;-- enter valid PB./Acc. # in this cell!</v>
          </cell>
          <cell r="F1256" t="str">
            <v>OK</v>
          </cell>
        </row>
        <row r="1257">
          <cell r="C1257" t="str">
            <v>&lt;-- enter valid PB./Acc. # in this cell!</v>
          </cell>
          <cell r="F1257" t="str">
            <v>OK</v>
          </cell>
        </row>
        <row r="1258">
          <cell r="C1258" t="str">
            <v>&lt;-- enter valid PB./Acc. # in this cell!</v>
          </cell>
          <cell r="F1258" t="str">
            <v>OK</v>
          </cell>
        </row>
        <row r="1259">
          <cell r="C1259" t="str">
            <v>&lt;-- enter valid PB./Acc. # in this cell!</v>
          </cell>
          <cell r="F1259" t="str">
            <v>OK</v>
          </cell>
        </row>
        <row r="1260">
          <cell r="C1260" t="str">
            <v>&lt;-- enter valid PB./Acc. # in this cell!</v>
          </cell>
          <cell r="F1260" t="str">
            <v>OK</v>
          </cell>
        </row>
        <row r="1261">
          <cell r="C1261" t="str">
            <v>&lt;-- enter valid PB./Acc. # in this cell!</v>
          </cell>
          <cell r="F1261" t="str">
            <v>OK</v>
          </cell>
        </row>
        <row r="1262">
          <cell r="C1262" t="str">
            <v>&lt;-- enter valid PB./Acc. # in this cell!</v>
          </cell>
          <cell r="F1262" t="str">
            <v>OK</v>
          </cell>
        </row>
        <row r="1263">
          <cell r="C1263" t="str">
            <v>&lt;-- enter valid PB./Acc. # in this cell!</v>
          </cell>
          <cell r="F1263" t="str">
            <v>OK</v>
          </cell>
        </row>
        <row r="1264">
          <cell r="C1264" t="str">
            <v>&lt;-- enter valid PB./Acc. # in this cell!</v>
          </cell>
          <cell r="F1264" t="str">
            <v>OK</v>
          </cell>
        </row>
        <row r="1265">
          <cell r="C1265" t="str">
            <v>&lt;-- enter valid PB./Acc. # in this cell!</v>
          </cell>
          <cell r="F1265" t="str">
            <v>OK</v>
          </cell>
        </row>
        <row r="1266">
          <cell r="C1266" t="str">
            <v>&lt;-- enter valid PB./Acc. # in this cell!</v>
          </cell>
          <cell r="F1266" t="str">
            <v>OK</v>
          </cell>
        </row>
        <row r="1267">
          <cell r="C1267" t="str">
            <v>&lt;-- enter valid PB./Acc. # in this cell!</v>
          </cell>
          <cell r="F1267" t="str">
            <v>OK</v>
          </cell>
        </row>
        <row r="1268">
          <cell r="C1268" t="str">
            <v>&lt;-- enter valid PB./Acc. # in this cell!</v>
          </cell>
          <cell r="F1268" t="str">
            <v>OK</v>
          </cell>
        </row>
        <row r="1269">
          <cell r="C1269" t="str">
            <v>&lt;-- enter valid PB./Acc. # in this cell!</v>
          </cell>
          <cell r="F1269" t="str">
            <v>OK</v>
          </cell>
        </row>
        <row r="1270">
          <cell r="C1270" t="str">
            <v>&lt;-- enter valid PB./Acc. # in this cell!</v>
          </cell>
          <cell r="F1270" t="str">
            <v>OK</v>
          </cell>
        </row>
        <row r="1271">
          <cell r="C1271" t="str">
            <v>&lt;-- enter valid PB./Acc. # in this cell!</v>
          </cell>
          <cell r="F1271" t="str">
            <v>OK</v>
          </cell>
        </row>
        <row r="1272">
          <cell r="C1272" t="str">
            <v>&lt;-- enter valid PB./Acc. # in this cell!</v>
          </cell>
          <cell r="F1272" t="str">
            <v>OK</v>
          </cell>
        </row>
        <row r="1273">
          <cell r="C1273" t="str">
            <v>&lt;-- enter valid PB./Acc. # in this cell!</v>
          </cell>
          <cell r="F1273" t="str">
            <v>OK</v>
          </cell>
        </row>
        <row r="1274">
          <cell r="C1274" t="str">
            <v>&lt;-- enter valid PB./Acc. # in this cell!</v>
          </cell>
          <cell r="F1274" t="str">
            <v>OK</v>
          </cell>
        </row>
        <row r="1275">
          <cell r="C1275" t="str">
            <v>&lt;-- enter valid PB./Acc. # in this cell!</v>
          </cell>
          <cell r="F1275" t="str">
            <v>OK</v>
          </cell>
        </row>
        <row r="1276">
          <cell r="C1276" t="str">
            <v>&lt;-- enter valid PB./Acc. # in this cell!</v>
          </cell>
          <cell r="F1276" t="str">
            <v>OK</v>
          </cell>
        </row>
        <row r="1277">
          <cell r="C1277" t="str">
            <v>&lt;-- enter valid PB./Acc. # in this cell!</v>
          </cell>
          <cell r="F1277" t="str">
            <v>OK</v>
          </cell>
        </row>
        <row r="1278">
          <cell r="C1278" t="str">
            <v>&lt;-- enter valid PB./Acc. # in this cell!</v>
          </cell>
          <cell r="F1278" t="str">
            <v>OK</v>
          </cell>
        </row>
        <row r="1279">
          <cell r="C1279" t="str">
            <v>&lt;-- enter valid PB./Acc. # in this cell!</v>
          </cell>
          <cell r="F1279" t="str">
            <v>OK</v>
          </cell>
        </row>
        <row r="1280">
          <cell r="C1280" t="str">
            <v>&lt;-- enter valid PB./Acc. # in this cell!</v>
          </cell>
          <cell r="F1280" t="str">
            <v>OK</v>
          </cell>
        </row>
        <row r="1281">
          <cell r="C1281" t="str">
            <v>&lt;-- enter valid PB./Acc. # in this cell!</v>
          </cell>
          <cell r="F1281" t="str">
            <v>OK</v>
          </cell>
        </row>
        <row r="1282">
          <cell r="C1282" t="str">
            <v>&lt;-- enter valid PB./Acc. # in this cell!</v>
          </cell>
          <cell r="F1282" t="str">
            <v>OK</v>
          </cell>
        </row>
        <row r="1283">
          <cell r="C1283" t="str">
            <v>&lt;-- enter valid PB./Acc. # in this cell!</v>
          </cell>
          <cell r="F1283" t="str">
            <v>OK</v>
          </cell>
        </row>
        <row r="1284">
          <cell r="C1284" t="str">
            <v>&lt;-- enter valid PB./Acc. # in this cell!</v>
          </cell>
          <cell r="F1284" t="str">
            <v>OK</v>
          </cell>
        </row>
        <row r="1285">
          <cell r="C1285" t="str">
            <v>&lt;-- enter valid PB./Acc. # in this cell!</v>
          </cell>
          <cell r="F1285" t="str">
            <v>OK</v>
          </cell>
        </row>
        <row r="1286">
          <cell r="C1286" t="str">
            <v>&lt;-- enter valid PB./Acc. # in this cell!</v>
          </cell>
          <cell r="F1286" t="str">
            <v>OK</v>
          </cell>
        </row>
        <row r="1287">
          <cell r="C1287" t="str">
            <v>&lt;-- enter valid PB./Acc. # in this cell!</v>
          </cell>
          <cell r="F1287" t="str">
            <v>OK</v>
          </cell>
        </row>
        <row r="1288">
          <cell r="C1288" t="str">
            <v>&lt;-- enter valid PB./Acc. # in this cell!</v>
          </cell>
          <cell r="F1288" t="str">
            <v>OK</v>
          </cell>
        </row>
        <row r="1289">
          <cell r="C1289" t="str">
            <v>&lt;-- enter valid PB./Acc. # in this cell!</v>
          </cell>
          <cell r="F1289" t="str">
            <v>OK</v>
          </cell>
        </row>
        <row r="1290">
          <cell r="C1290" t="str">
            <v>&lt;-- enter valid PB./Acc. # in this cell!</v>
          </cell>
          <cell r="F1290" t="str">
            <v>OK</v>
          </cell>
        </row>
        <row r="1291">
          <cell r="C1291" t="str">
            <v>&lt;-- enter valid PB./Acc. # in this cell!</v>
          </cell>
          <cell r="F1291" t="str">
            <v>OK</v>
          </cell>
        </row>
        <row r="1292">
          <cell r="C1292" t="str">
            <v>&lt;-- enter valid PB./Acc. # in this cell!</v>
          </cell>
          <cell r="F1292" t="str">
            <v>OK</v>
          </cell>
        </row>
        <row r="1293">
          <cell r="C1293" t="str">
            <v>&lt;-- enter valid PB./Acc. # in this cell!</v>
          </cell>
          <cell r="F1293" t="str">
            <v>OK</v>
          </cell>
        </row>
        <row r="1294">
          <cell r="C1294" t="str">
            <v>&lt;-- enter valid PB./Acc. # in this cell!</v>
          </cell>
          <cell r="F1294" t="str">
            <v>OK</v>
          </cell>
        </row>
        <row r="1295">
          <cell r="C1295" t="str">
            <v>&lt;-- enter valid PB./Acc. # in this cell!</v>
          </cell>
          <cell r="F1295" t="str">
            <v>OK</v>
          </cell>
        </row>
        <row r="1296">
          <cell r="C1296" t="str">
            <v>&lt;-- enter valid PB./Acc. # in this cell!</v>
          </cell>
          <cell r="F1296" t="str">
            <v>OK</v>
          </cell>
        </row>
        <row r="1297">
          <cell r="C1297" t="str">
            <v>&lt;-- enter valid PB./Acc. # in this cell!</v>
          </cell>
          <cell r="F1297" t="str">
            <v>OK</v>
          </cell>
        </row>
        <row r="1298">
          <cell r="C1298" t="str">
            <v>&lt;-- enter valid PB./Acc. # in this cell!</v>
          </cell>
          <cell r="F1298" t="str">
            <v>OK</v>
          </cell>
        </row>
        <row r="1299">
          <cell r="C1299" t="str">
            <v>&lt;-- enter valid PB./Acc. # in this cell!</v>
          </cell>
          <cell r="F1299" t="str">
            <v>OK</v>
          </cell>
        </row>
        <row r="1300">
          <cell r="C1300" t="str">
            <v>&lt;-- enter valid PB./Acc. # in this cell!</v>
          </cell>
          <cell r="F1300" t="str">
            <v>OK</v>
          </cell>
        </row>
        <row r="1301">
          <cell r="C1301" t="str">
            <v>&lt;-- enter valid PB./Acc. # in this cell!</v>
          </cell>
          <cell r="F1301" t="str">
            <v>OK</v>
          </cell>
        </row>
        <row r="1302">
          <cell r="C1302" t="str">
            <v>&lt;-- enter valid PB./Acc. # in this cell!</v>
          </cell>
          <cell r="F1302" t="str">
            <v>OK</v>
          </cell>
        </row>
        <row r="1303">
          <cell r="C1303" t="str">
            <v>&lt;-- enter valid PB./Acc. # in this cell!</v>
          </cell>
          <cell r="F1303" t="str">
            <v>OK</v>
          </cell>
        </row>
        <row r="1304">
          <cell r="C1304" t="str">
            <v>&lt;-- enter valid PB./Acc. # in this cell!</v>
          </cell>
          <cell r="F1304" t="str">
            <v>OK</v>
          </cell>
        </row>
        <row r="1305">
          <cell r="C1305" t="str">
            <v>&lt;-- enter valid PB./Acc. # in this cell!</v>
          </cell>
          <cell r="F1305" t="str">
            <v>OK</v>
          </cell>
        </row>
        <row r="1306">
          <cell r="C1306" t="str">
            <v>&lt;-- enter valid PB./Acc. # in this cell!</v>
          </cell>
          <cell r="F1306" t="str">
            <v>OK</v>
          </cell>
        </row>
        <row r="1307">
          <cell r="C1307" t="str">
            <v>&lt;-- enter valid PB./Acc. # in this cell!</v>
          </cell>
          <cell r="F1307" t="str">
            <v>OK</v>
          </cell>
        </row>
        <row r="1308">
          <cell r="C1308" t="str">
            <v>&lt;-- enter valid PB./Acc. # in this cell!</v>
          </cell>
          <cell r="F1308" t="str">
            <v>OK</v>
          </cell>
        </row>
        <row r="1309">
          <cell r="C1309" t="str">
            <v>&lt;-- enter valid PB./Acc. # in this cell!</v>
          </cell>
          <cell r="F1309" t="str">
            <v>OK</v>
          </cell>
        </row>
        <row r="1310">
          <cell r="C1310" t="str">
            <v>&lt;-- enter valid PB./Acc. # in this cell!</v>
          </cell>
          <cell r="F1310" t="str">
            <v>OK</v>
          </cell>
        </row>
        <row r="1311">
          <cell r="C1311" t="str">
            <v>&lt;-- enter valid PB./Acc. # in this cell!</v>
          </cell>
          <cell r="F1311" t="str">
            <v>OK</v>
          </cell>
        </row>
        <row r="1312">
          <cell r="C1312" t="str">
            <v>&lt;-- enter valid PB./Acc. # in this cell!</v>
          </cell>
          <cell r="F1312" t="str">
            <v>OK</v>
          </cell>
        </row>
        <row r="1313">
          <cell r="C1313" t="str">
            <v>&lt;-- enter valid PB./Acc. # in this cell!</v>
          </cell>
          <cell r="F1313" t="str">
            <v>OK</v>
          </cell>
        </row>
        <row r="1314">
          <cell r="C1314" t="str">
            <v>&lt;-- enter valid PB./Acc. # in this cell!</v>
          </cell>
          <cell r="F1314" t="str">
            <v>OK</v>
          </cell>
        </row>
        <row r="1315">
          <cell r="C1315" t="str">
            <v>&lt;-- enter valid PB./Acc. # in this cell!</v>
          </cell>
          <cell r="F1315" t="str">
            <v>OK</v>
          </cell>
        </row>
        <row r="1316">
          <cell r="C1316" t="str">
            <v>&lt;-- enter valid PB./Acc. # in this cell!</v>
          </cell>
          <cell r="F1316" t="str">
            <v>OK</v>
          </cell>
        </row>
        <row r="1317">
          <cell r="C1317" t="str">
            <v>&lt;-- enter valid PB./Acc. # in this cell!</v>
          </cell>
          <cell r="F1317" t="str">
            <v>OK</v>
          </cell>
        </row>
        <row r="1318">
          <cell r="C1318" t="str">
            <v>&lt;-- enter valid PB./Acc. # in this cell!</v>
          </cell>
          <cell r="F1318" t="str">
            <v>OK</v>
          </cell>
        </row>
        <row r="1319">
          <cell r="C1319" t="str">
            <v>&lt;-- enter valid PB./Acc. # in this cell!</v>
          </cell>
          <cell r="F1319" t="str">
            <v>OK</v>
          </cell>
        </row>
        <row r="1320">
          <cell r="C1320" t="str">
            <v>&lt;-- enter valid PB./Acc. # in this cell!</v>
          </cell>
          <cell r="F1320" t="str">
            <v>OK</v>
          </cell>
        </row>
        <row r="1321">
          <cell r="C1321" t="str">
            <v>&lt;-- enter valid PB./Acc. # in this cell!</v>
          </cell>
          <cell r="F1321" t="str">
            <v>OK</v>
          </cell>
        </row>
        <row r="1322">
          <cell r="C1322" t="str">
            <v>&lt;-- enter valid PB./Acc. # in this cell!</v>
          </cell>
          <cell r="F1322" t="str">
            <v>OK</v>
          </cell>
        </row>
        <row r="1323">
          <cell r="C1323" t="str">
            <v>&lt;-- enter valid PB./Acc. # in this cell!</v>
          </cell>
          <cell r="F1323" t="str">
            <v>OK</v>
          </cell>
        </row>
        <row r="1324">
          <cell r="C1324" t="str">
            <v>&lt;-- enter valid PB./Acc. # in this cell!</v>
          </cell>
          <cell r="F1324" t="str">
            <v>OK</v>
          </cell>
        </row>
        <row r="1325">
          <cell r="C1325" t="str">
            <v>&lt;-- enter valid PB./Acc. # in this cell!</v>
          </cell>
          <cell r="F1325" t="str">
            <v>OK</v>
          </cell>
        </row>
        <row r="1326">
          <cell r="C1326" t="str">
            <v>&lt;-- enter valid PB./Acc. # in this cell!</v>
          </cell>
          <cell r="F1326" t="str">
            <v>OK</v>
          </cell>
        </row>
        <row r="1327">
          <cell r="C1327" t="str">
            <v>&lt;-- enter valid PB./Acc. # in this cell!</v>
          </cell>
          <cell r="F1327" t="str">
            <v>OK</v>
          </cell>
        </row>
        <row r="1328">
          <cell r="C1328" t="str">
            <v>&lt;-- enter valid PB./Acc. # in this cell!</v>
          </cell>
          <cell r="F1328" t="str">
            <v>OK</v>
          </cell>
        </row>
        <row r="1329">
          <cell r="C1329" t="str">
            <v>&lt;-- enter valid PB./Acc. # in this cell!</v>
          </cell>
          <cell r="F1329" t="str">
            <v>OK</v>
          </cell>
        </row>
        <row r="1330">
          <cell r="C1330" t="str">
            <v>&lt;-- enter valid PB./Acc. # in this cell!</v>
          </cell>
          <cell r="F1330" t="str">
            <v>OK</v>
          </cell>
        </row>
        <row r="1331">
          <cell r="C1331" t="str">
            <v>&lt;-- enter valid PB./Acc. # in this cell!</v>
          </cell>
          <cell r="F1331" t="str">
            <v>OK</v>
          </cell>
        </row>
        <row r="1332">
          <cell r="C1332" t="str">
            <v>&lt;-- enter valid PB./Acc. # in this cell!</v>
          </cell>
          <cell r="F1332" t="str">
            <v>OK</v>
          </cell>
        </row>
        <row r="1333">
          <cell r="C1333" t="str">
            <v>&lt;-- enter valid PB./Acc. # in this cell!</v>
          </cell>
          <cell r="F1333" t="str">
            <v>OK</v>
          </cell>
        </row>
        <row r="1334">
          <cell r="C1334" t="str">
            <v>&lt;-- enter valid PB./Acc. # in this cell!</v>
          </cell>
          <cell r="F1334" t="str">
            <v>OK</v>
          </cell>
        </row>
        <row r="1335">
          <cell r="C1335" t="str">
            <v>&lt;-- enter valid PB./Acc. # in this cell!</v>
          </cell>
          <cell r="F1335" t="str">
            <v>OK</v>
          </cell>
        </row>
        <row r="1336">
          <cell r="C1336" t="str">
            <v>&lt;-- enter valid PB./Acc. # in this cell!</v>
          </cell>
          <cell r="F1336" t="str">
            <v>OK</v>
          </cell>
        </row>
        <row r="1337">
          <cell r="C1337" t="str">
            <v>&lt;-- enter valid PB./Acc. # in this cell!</v>
          </cell>
          <cell r="F1337" t="str">
            <v>OK</v>
          </cell>
        </row>
        <row r="1338">
          <cell r="C1338" t="str">
            <v>&lt;-- enter valid PB./Acc. # in this cell!</v>
          </cell>
          <cell r="F1338" t="str">
            <v>OK</v>
          </cell>
        </row>
        <row r="1339">
          <cell r="C1339" t="str">
            <v>&lt;-- enter valid PB./Acc. # in this cell!</v>
          </cell>
          <cell r="F1339" t="str">
            <v>OK</v>
          </cell>
        </row>
        <row r="1340">
          <cell r="C1340" t="str">
            <v>&lt;-- enter valid PB./Acc. # in this cell!</v>
          </cell>
          <cell r="F1340" t="str">
            <v>OK</v>
          </cell>
        </row>
        <row r="1341">
          <cell r="C1341" t="str">
            <v>&lt;-- enter valid PB./Acc. # in this cell!</v>
          </cell>
          <cell r="F1341" t="str">
            <v>OK</v>
          </cell>
        </row>
        <row r="1342">
          <cell r="C1342" t="str">
            <v>&lt;-- enter valid PB./Acc. # in this cell!</v>
          </cell>
          <cell r="F1342" t="str">
            <v>OK</v>
          </cell>
        </row>
        <row r="1343">
          <cell r="C1343" t="str">
            <v>&lt;-- enter valid PB./Acc. # in this cell!</v>
          </cell>
          <cell r="F1343" t="str">
            <v>OK</v>
          </cell>
        </row>
        <row r="1344">
          <cell r="C1344" t="str">
            <v>&lt;-- enter valid PB./Acc. # in this cell!</v>
          </cell>
          <cell r="F1344" t="str">
            <v>OK</v>
          </cell>
        </row>
        <row r="1345">
          <cell r="C1345" t="str">
            <v>&lt;-- enter valid PB./Acc. # in this cell!</v>
          </cell>
          <cell r="F1345" t="str">
            <v>OK</v>
          </cell>
        </row>
        <row r="1346">
          <cell r="C1346" t="str">
            <v>&lt;-- enter valid PB./Acc. # in this cell!</v>
          </cell>
          <cell r="F1346" t="str">
            <v>OK</v>
          </cell>
        </row>
        <row r="1347">
          <cell r="C1347" t="str">
            <v>&lt;-- enter valid PB./Acc. # in this cell!</v>
          </cell>
          <cell r="F1347" t="str">
            <v>OK</v>
          </cell>
        </row>
        <row r="1348">
          <cell r="C1348" t="str">
            <v>&lt;-- enter valid PB./Acc. # in this cell!</v>
          </cell>
          <cell r="F1348" t="str">
            <v>OK</v>
          </cell>
        </row>
        <row r="1349">
          <cell r="C1349" t="str">
            <v>&lt;-- enter valid PB./Acc. # in this cell!</v>
          </cell>
          <cell r="F1349" t="str">
            <v>OK</v>
          </cell>
        </row>
        <row r="1350">
          <cell r="C1350" t="str">
            <v>&lt;-- enter valid PB./Acc. # in this cell!</v>
          </cell>
          <cell r="F1350" t="str">
            <v>OK</v>
          </cell>
        </row>
        <row r="1351">
          <cell r="C1351" t="str">
            <v>&lt;-- enter valid PB./Acc. # in this cell!</v>
          </cell>
          <cell r="F1351" t="str">
            <v>OK</v>
          </cell>
        </row>
        <row r="1352">
          <cell r="C1352" t="str">
            <v>&lt;-- enter valid PB./Acc. # in this cell!</v>
          </cell>
          <cell r="F1352" t="str">
            <v>OK</v>
          </cell>
        </row>
        <row r="1353">
          <cell r="C1353" t="str">
            <v>&lt;-- enter valid PB./Acc. # in this cell!</v>
          </cell>
          <cell r="F1353" t="str">
            <v>OK</v>
          </cell>
        </row>
        <row r="1354">
          <cell r="C1354" t="str">
            <v>&lt;-- enter valid PB./Acc. # in this cell!</v>
          </cell>
          <cell r="F1354" t="str">
            <v>OK</v>
          </cell>
        </row>
        <row r="1355">
          <cell r="C1355" t="str">
            <v>&lt;-- enter valid PB./Acc. # in this cell!</v>
          </cell>
          <cell r="F1355" t="str">
            <v>OK</v>
          </cell>
        </row>
        <row r="1356">
          <cell r="C1356" t="str">
            <v>&lt;-- enter valid PB./Acc. # in this cell!</v>
          </cell>
          <cell r="F1356" t="str">
            <v>OK</v>
          </cell>
        </row>
        <row r="1357">
          <cell r="C1357" t="str">
            <v>&lt;-- enter valid PB./Acc. # in this cell!</v>
          </cell>
          <cell r="F1357" t="str">
            <v>OK</v>
          </cell>
        </row>
        <row r="1358">
          <cell r="C1358" t="str">
            <v>&lt;-- enter valid PB./Acc. # in this cell!</v>
          </cell>
          <cell r="F1358" t="str">
            <v>OK</v>
          </cell>
        </row>
        <row r="1359">
          <cell r="C1359" t="str">
            <v>&lt;-- enter valid PB./Acc. # in this cell!</v>
          </cell>
          <cell r="F1359" t="str">
            <v>OK</v>
          </cell>
        </row>
        <row r="1360">
          <cell r="C1360" t="str">
            <v>&lt;-- enter valid PB./Acc. # in this cell!</v>
          </cell>
          <cell r="F1360" t="str">
            <v>OK</v>
          </cell>
        </row>
        <row r="1361">
          <cell r="C1361" t="str">
            <v>&lt;-- enter valid PB./Acc. # in this cell!</v>
          </cell>
          <cell r="F1361" t="str">
            <v>OK</v>
          </cell>
        </row>
        <row r="1362">
          <cell r="C1362" t="str">
            <v>&lt;-- enter valid PB./Acc. # in this cell!</v>
          </cell>
          <cell r="F1362" t="str">
            <v>OK</v>
          </cell>
        </row>
        <row r="1363">
          <cell r="C1363" t="str">
            <v>&lt;-- enter valid PB./Acc. # in this cell!</v>
          </cell>
          <cell r="F1363" t="str">
            <v>OK</v>
          </cell>
        </row>
        <row r="1364">
          <cell r="C1364" t="str">
            <v>&lt;-- enter valid PB./Acc. # in this cell!</v>
          </cell>
          <cell r="F1364" t="str">
            <v>OK</v>
          </cell>
        </row>
        <row r="1365">
          <cell r="C1365" t="str">
            <v>&lt;-- enter valid PB./Acc. # in this cell!</v>
          </cell>
          <cell r="F1365" t="str">
            <v>OK</v>
          </cell>
        </row>
        <row r="1366">
          <cell r="C1366" t="str">
            <v>&lt;-- enter valid PB./Acc. # in this cell!</v>
          </cell>
          <cell r="F1366" t="str">
            <v>OK</v>
          </cell>
        </row>
        <row r="1367">
          <cell r="C1367" t="str">
            <v>&lt;-- enter valid PB./Acc. # in this cell!</v>
          </cell>
          <cell r="F1367" t="str">
            <v>OK</v>
          </cell>
        </row>
        <row r="1368">
          <cell r="C1368" t="str">
            <v>&lt;-- enter valid PB./Acc. # in this cell!</v>
          </cell>
          <cell r="F1368" t="str">
            <v>OK</v>
          </cell>
        </row>
        <row r="1369">
          <cell r="C1369" t="str">
            <v>&lt;-- enter valid PB./Acc. # in this cell!</v>
          </cell>
          <cell r="F1369" t="str">
            <v>OK</v>
          </cell>
        </row>
        <row r="1370">
          <cell r="C1370" t="str">
            <v>&lt;-- enter valid PB./Acc. # in this cell!</v>
          </cell>
          <cell r="F1370" t="str">
            <v>OK</v>
          </cell>
        </row>
        <row r="1371">
          <cell r="C1371" t="str">
            <v>&lt;-- enter valid PB./Acc. # in this cell!</v>
          </cell>
          <cell r="F1371" t="str">
            <v>OK</v>
          </cell>
        </row>
        <row r="1372">
          <cell r="C1372" t="str">
            <v>&lt;-- enter valid PB./Acc. # in this cell!</v>
          </cell>
          <cell r="F1372" t="str">
            <v>OK</v>
          </cell>
        </row>
        <row r="1373">
          <cell r="C1373" t="str">
            <v>&lt;-- enter valid PB./Acc. # in this cell!</v>
          </cell>
          <cell r="F1373" t="str">
            <v>OK</v>
          </cell>
        </row>
        <row r="1374">
          <cell r="C1374" t="str">
            <v>&lt;-- enter valid PB./Acc. # in this cell!</v>
          </cell>
          <cell r="F1374" t="str">
            <v>OK</v>
          </cell>
        </row>
        <row r="1375">
          <cell r="C1375" t="str">
            <v>&lt;-- enter valid PB./Acc. # in this cell!</v>
          </cell>
          <cell r="F1375" t="str">
            <v>OK</v>
          </cell>
        </row>
        <row r="1376">
          <cell r="C1376" t="str">
            <v>&lt;-- enter valid PB./Acc. # in this cell!</v>
          </cell>
          <cell r="F1376" t="str">
            <v>OK</v>
          </cell>
        </row>
        <row r="1377">
          <cell r="C1377" t="str">
            <v>&lt;-- enter valid PB./Acc. # in this cell!</v>
          </cell>
          <cell r="F1377" t="str">
            <v>OK</v>
          </cell>
        </row>
        <row r="1378">
          <cell r="C1378" t="str">
            <v>&lt;-- enter valid PB./Acc. # in this cell!</v>
          </cell>
          <cell r="F1378" t="str">
            <v>OK</v>
          </cell>
        </row>
        <row r="1379">
          <cell r="C1379" t="str">
            <v>&lt;-- enter valid PB./Acc. # in this cell!</v>
          </cell>
          <cell r="F1379" t="str">
            <v>OK</v>
          </cell>
        </row>
        <row r="1380">
          <cell r="C1380" t="str">
            <v>&lt;-- enter valid PB./Acc. # in this cell!</v>
          </cell>
          <cell r="F1380" t="str">
            <v>OK</v>
          </cell>
        </row>
        <row r="1381">
          <cell r="C1381" t="str">
            <v>&lt;-- enter valid PB./Acc. # in this cell!</v>
          </cell>
          <cell r="F1381" t="str">
            <v>OK</v>
          </cell>
        </row>
        <row r="1382">
          <cell r="C1382" t="str">
            <v>&lt;-- enter valid PB./Acc. # in this cell!</v>
          </cell>
          <cell r="F1382" t="str">
            <v>OK</v>
          </cell>
        </row>
        <row r="1383">
          <cell r="C1383" t="str">
            <v>&lt;-- enter valid PB./Acc. # in this cell!</v>
          </cell>
          <cell r="F1383" t="str">
            <v>OK</v>
          </cell>
        </row>
        <row r="1384">
          <cell r="C1384" t="str">
            <v>&lt;-- enter valid PB./Acc. # in this cell!</v>
          </cell>
          <cell r="F1384" t="str">
            <v>OK</v>
          </cell>
        </row>
        <row r="1385">
          <cell r="C1385" t="str">
            <v>&lt;-- enter valid PB./Acc. # in this cell!</v>
          </cell>
          <cell r="F1385" t="str">
            <v>OK</v>
          </cell>
        </row>
        <row r="1386">
          <cell r="C1386" t="str">
            <v>&lt;-- enter valid PB./Acc. # in this cell!</v>
          </cell>
          <cell r="F1386" t="str">
            <v>OK</v>
          </cell>
        </row>
        <row r="1387">
          <cell r="C1387" t="str">
            <v>&lt;-- enter valid PB./Acc. # in this cell!</v>
          </cell>
          <cell r="F1387" t="str">
            <v>OK</v>
          </cell>
        </row>
        <row r="1388">
          <cell r="C1388" t="str">
            <v>&lt;-- enter valid PB./Acc. # in this cell!</v>
          </cell>
          <cell r="F1388" t="str">
            <v>OK</v>
          </cell>
        </row>
        <row r="1389">
          <cell r="C1389" t="str">
            <v>&lt;-- enter valid PB./Acc. # in this cell!</v>
          </cell>
          <cell r="F1389" t="str">
            <v>OK</v>
          </cell>
        </row>
        <row r="1390">
          <cell r="C1390" t="str">
            <v>&lt;-- enter valid PB./Acc. # in this cell!</v>
          </cell>
          <cell r="F1390" t="str">
            <v>OK</v>
          </cell>
        </row>
        <row r="1391">
          <cell r="C1391" t="str">
            <v>&lt;-- enter valid PB./Acc. # in this cell!</v>
          </cell>
          <cell r="F1391" t="str">
            <v>OK</v>
          </cell>
        </row>
        <row r="1392">
          <cell r="C1392" t="str">
            <v>&lt;-- enter valid PB./Acc. # in this cell!</v>
          </cell>
          <cell r="F1392" t="str">
            <v>OK</v>
          </cell>
        </row>
        <row r="1393">
          <cell r="C1393" t="str">
            <v>&lt;-- enter valid PB./Acc. # in this cell!</v>
          </cell>
          <cell r="F1393" t="str">
            <v>OK</v>
          </cell>
        </row>
        <row r="1394">
          <cell r="C1394" t="str">
            <v>&lt;-- enter valid PB./Acc. # in this cell!</v>
          </cell>
          <cell r="F1394" t="str">
            <v>OK</v>
          </cell>
        </row>
        <row r="1395">
          <cell r="C1395" t="str">
            <v>&lt;-- enter valid PB./Acc. # in this cell!</v>
          </cell>
          <cell r="F1395" t="str">
            <v>OK</v>
          </cell>
        </row>
        <row r="1396">
          <cell r="C1396" t="str">
            <v>&lt;-- enter valid PB./Acc. # in this cell!</v>
          </cell>
          <cell r="F1396" t="str">
            <v>OK</v>
          </cell>
        </row>
        <row r="1397">
          <cell r="C1397" t="str">
            <v>&lt;-- enter valid PB./Acc. # in this cell!</v>
          </cell>
          <cell r="F1397" t="str">
            <v>OK</v>
          </cell>
        </row>
        <row r="1398">
          <cell r="C1398" t="str">
            <v>&lt;-- enter valid PB./Acc. # in this cell!</v>
          </cell>
          <cell r="F1398" t="str">
            <v>OK</v>
          </cell>
        </row>
        <row r="1399">
          <cell r="C1399" t="str">
            <v>&lt;-- enter valid PB./Acc. # in this cell!</v>
          </cell>
          <cell r="F1399" t="str">
            <v>OK</v>
          </cell>
        </row>
        <row r="1400">
          <cell r="C1400" t="str">
            <v>&lt;-- enter valid PB./Acc. # in this cell!</v>
          </cell>
          <cell r="F1400" t="str">
            <v>OK</v>
          </cell>
        </row>
        <row r="1401">
          <cell r="C1401" t="str">
            <v>&lt;-- enter valid PB./Acc. # in this cell!</v>
          </cell>
          <cell r="F1401" t="str">
            <v>OK</v>
          </cell>
        </row>
        <row r="1402">
          <cell r="C1402" t="str">
            <v>&lt;-- enter valid PB./Acc. # in this cell!</v>
          </cell>
          <cell r="F1402" t="str">
            <v>OK</v>
          </cell>
        </row>
        <row r="1403">
          <cell r="C1403" t="str">
            <v>&lt;-- enter valid PB./Acc. # in this cell!</v>
          </cell>
          <cell r="F1403" t="str">
            <v>OK</v>
          </cell>
        </row>
        <row r="1404">
          <cell r="C1404" t="str">
            <v>&lt;-- enter valid PB./Acc. # in this cell!</v>
          </cell>
          <cell r="F1404" t="str">
            <v>OK</v>
          </cell>
        </row>
        <row r="1405">
          <cell r="C1405" t="str">
            <v>&lt;-- enter valid PB./Acc. # in this cell!</v>
          </cell>
          <cell r="F1405" t="str">
            <v>OK</v>
          </cell>
        </row>
        <row r="1406">
          <cell r="C1406" t="str">
            <v>&lt;-- enter valid PB./Acc. # in this cell!</v>
          </cell>
          <cell r="F1406" t="str">
            <v>OK</v>
          </cell>
        </row>
        <row r="1407">
          <cell r="C1407" t="str">
            <v>&lt;-- enter valid PB./Acc. # in this cell!</v>
          </cell>
          <cell r="F1407" t="str">
            <v>OK</v>
          </cell>
        </row>
        <row r="1408">
          <cell r="C1408" t="str">
            <v>&lt;-- enter valid PB./Acc. # in this cell!</v>
          </cell>
          <cell r="F1408" t="str">
            <v>OK</v>
          </cell>
        </row>
        <row r="1409">
          <cell r="C1409" t="str">
            <v>&lt;-- enter valid PB./Acc. # in this cell!</v>
          </cell>
          <cell r="F1409" t="str">
            <v>OK</v>
          </cell>
        </row>
        <row r="1410">
          <cell r="C1410" t="str">
            <v>&lt;-- enter valid PB./Acc. # in this cell!</v>
          </cell>
          <cell r="F1410" t="str">
            <v>OK</v>
          </cell>
        </row>
        <row r="1411">
          <cell r="C1411" t="str">
            <v>&lt;-- enter valid PB./Acc. # in this cell!</v>
          </cell>
          <cell r="F1411" t="str">
            <v>OK</v>
          </cell>
        </row>
        <row r="1412">
          <cell r="C1412" t="str">
            <v>&lt;-- enter valid PB./Acc. # in this cell!</v>
          </cell>
          <cell r="F1412" t="str">
            <v>OK</v>
          </cell>
        </row>
        <row r="1413">
          <cell r="C1413" t="str">
            <v>&lt;-- enter valid PB./Acc. # in this cell!</v>
          </cell>
          <cell r="F1413" t="str">
            <v>OK</v>
          </cell>
        </row>
        <row r="1414">
          <cell r="C1414" t="str">
            <v>&lt;-- enter valid PB./Acc. # in this cell!</v>
          </cell>
          <cell r="F1414" t="str">
            <v>OK</v>
          </cell>
        </row>
        <row r="1415">
          <cell r="C1415" t="str">
            <v>&lt;-- enter valid PB./Acc. # in this cell!</v>
          </cell>
          <cell r="F1415" t="str">
            <v>OK</v>
          </cell>
        </row>
        <row r="1416">
          <cell r="C1416" t="str">
            <v>&lt;-- enter valid PB./Acc. # in this cell!</v>
          </cell>
          <cell r="F1416" t="str">
            <v>OK</v>
          </cell>
        </row>
        <row r="1417">
          <cell r="C1417" t="str">
            <v>&lt;-- enter valid PB./Acc. # in this cell!</v>
          </cell>
          <cell r="F1417" t="str">
            <v>OK</v>
          </cell>
        </row>
        <row r="1418">
          <cell r="C1418" t="str">
            <v>&lt;-- enter valid PB./Acc. # in this cell!</v>
          </cell>
          <cell r="F1418" t="str">
            <v>OK</v>
          </cell>
        </row>
        <row r="1419">
          <cell r="C1419" t="str">
            <v>&lt;-- enter valid PB./Acc. # in this cell!</v>
          </cell>
          <cell r="F1419" t="str">
            <v>OK</v>
          </cell>
        </row>
        <row r="1420">
          <cell r="C1420" t="str">
            <v>&lt;-- enter valid PB./Acc. # in this cell!</v>
          </cell>
          <cell r="F1420" t="str">
            <v>OK</v>
          </cell>
        </row>
        <row r="1421">
          <cell r="C1421" t="str">
            <v>&lt;-- enter valid PB./Acc. # in this cell!</v>
          </cell>
          <cell r="F1421" t="str">
            <v>OK</v>
          </cell>
        </row>
        <row r="1422">
          <cell r="C1422" t="str">
            <v>&lt;-- enter valid PB./Acc. # in this cell!</v>
          </cell>
          <cell r="F1422" t="str">
            <v>OK</v>
          </cell>
        </row>
        <row r="1423">
          <cell r="C1423" t="str">
            <v>&lt;-- enter valid PB./Acc. # in this cell!</v>
          </cell>
          <cell r="F1423" t="str">
            <v>OK</v>
          </cell>
        </row>
        <row r="1424">
          <cell r="C1424" t="str">
            <v>&lt;-- enter valid PB./Acc. # in this cell!</v>
          </cell>
          <cell r="F1424" t="str">
            <v>OK</v>
          </cell>
        </row>
        <row r="1425">
          <cell r="C1425" t="str">
            <v>&lt;-- enter valid PB./Acc. # in this cell!</v>
          </cell>
          <cell r="F1425" t="str">
            <v>OK</v>
          </cell>
        </row>
        <row r="1426">
          <cell r="C1426" t="str">
            <v>&lt;-- enter valid PB./Acc. # in this cell!</v>
          </cell>
          <cell r="F1426" t="str">
            <v>OK</v>
          </cell>
        </row>
        <row r="1427">
          <cell r="C1427" t="str">
            <v>&lt;-- enter valid PB./Acc. # in this cell!</v>
          </cell>
          <cell r="F1427" t="str">
            <v>OK</v>
          </cell>
        </row>
        <row r="1428">
          <cell r="C1428" t="str">
            <v>&lt;-- enter valid PB./Acc. # in this cell!</v>
          </cell>
          <cell r="F1428" t="str">
            <v>OK</v>
          </cell>
        </row>
        <row r="1429">
          <cell r="C1429" t="str">
            <v>&lt;-- enter valid PB./Acc. # in this cell!</v>
          </cell>
          <cell r="F1429" t="str">
            <v>OK</v>
          </cell>
        </row>
        <row r="1430">
          <cell r="C1430" t="str">
            <v>&lt;-- enter valid PB./Acc. # in this cell!</v>
          </cell>
          <cell r="F1430" t="str">
            <v>OK</v>
          </cell>
        </row>
        <row r="1431">
          <cell r="C1431" t="str">
            <v>&lt;-- enter valid PB./Acc. # in this cell!</v>
          </cell>
          <cell r="F1431" t="str">
            <v>OK</v>
          </cell>
        </row>
        <row r="1432">
          <cell r="C1432" t="str">
            <v>&lt;-- enter valid PB./Acc. # in this cell!</v>
          </cell>
          <cell r="F1432" t="str">
            <v>OK</v>
          </cell>
        </row>
        <row r="1433">
          <cell r="C1433" t="str">
            <v>&lt;-- enter valid PB./Acc. # in this cell!</v>
          </cell>
          <cell r="F1433" t="str">
            <v>OK</v>
          </cell>
        </row>
        <row r="1434">
          <cell r="C1434" t="str">
            <v>&lt;-- enter valid PB./Acc. # in this cell!</v>
          </cell>
          <cell r="F1434" t="str">
            <v>OK</v>
          </cell>
        </row>
        <row r="1435">
          <cell r="C1435" t="str">
            <v>&lt;-- enter valid PB./Acc. # in this cell!</v>
          </cell>
          <cell r="F1435" t="str">
            <v>OK</v>
          </cell>
        </row>
        <row r="1436">
          <cell r="C1436" t="str">
            <v>&lt;-- enter valid PB./Acc. # in this cell!</v>
          </cell>
          <cell r="F1436" t="str">
            <v>OK</v>
          </cell>
        </row>
        <row r="1437">
          <cell r="C1437" t="str">
            <v>&lt;-- enter valid PB./Acc. # in this cell!</v>
          </cell>
          <cell r="F1437" t="str">
            <v>OK</v>
          </cell>
        </row>
        <row r="1438">
          <cell r="C1438" t="str">
            <v>&lt;-- enter valid PB./Acc. # in this cell!</v>
          </cell>
          <cell r="F1438" t="str">
            <v>OK</v>
          </cell>
        </row>
        <row r="1439">
          <cell r="C1439" t="str">
            <v>&lt;-- enter valid PB./Acc. # in this cell!</v>
          </cell>
          <cell r="F1439" t="str">
            <v>OK</v>
          </cell>
        </row>
        <row r="1440">
          <cell r="C1440" t="str">
            <v>&lt;-- enter valid PB./Acc. # in this cell!</v>
          </cell>
          <cell r="F1440" t="str">
            <v>OK</v>
          </cell>
        </row>
        <row r="1441">
          <cell r="C1441" t="str">
            <v>&lt;-- enter valid PB./Acc. # in this cell!</v>
          </cell>
          <cell r="F1441" t="str">
            <v>OK</v>
          </cell>
        </row>
        <row r="1442">
          <cell r="C1442" t="str">
            <v>&lt;-- enter valid PB./Acc. # in this cell!</v>
          </cell>
          <cell r="F1442" t="str">
            <v>OK</v>
          </cell>
        </row>
        <row r="1443">
          <cell r="C1443" t="str">
            <v>&lt;-- enter valid PB./Acc. # in this cell!</v>
          </cell>
          <cell r="F1443" t="str">
            <v>OK</v>
          </cell>
        </row>
        <row r="1444">
          <cell r="C1444" t="str">
            <v>&lt;-- enter valid PB./Acc. # in this cell!</v>
          </cell>
          <cell r="F1444" t="str">
            <v>OK</v>
          </cell>
        </row>
        <row r="1445">
          <cell r="C1445" t="str">
            <v>&lt;-- enter valid PB./Acc. # in this cell!</v>
          </cell>
          <cell r="F1445" t="str">
            <v>OK</v>
          </cell>
        </row>
        <row r="1446">
          <cell r="C1446" t="str">
            <v>&lt;-- enter valid PB./Acc. # in this cell!</v>
          </cell>
          <cell r="F1446" t="str">
            <v>OK</v>
          </cell>
        </row>
        <row r="1447">
          <cell r="C1447" t="str">
            <v>&lt;-- enter valid PB./Acc. # in this cell!</v>
          </cell>
          <cell r="F1447" t="str">
            <v>OK</v>
          </cell>
        </row>
        <row r="1448">
          <cell r="C1448" t="str">
            <v>&lt;-- enter valid PB./Acc. # in this cell!</v>
          </cell>
          <cell r="F1448" t="str">
            <v>OK</v>
          </cell>
        </row>
        <row r="1449">
          <cell r="C1449" t="str">
            <v>&lt;-- enter valid PB./Acc. # in this cell!</v>
          </cell>
          <cell r="F1449" t="str">
            <v>OK</v>
          </cell>
        </row>
        <row r="1450">
          <cell r="C1450" t="str">
            <v>&lt;-- enter valid PB./Acc. # in this cell!</v>
          </cell>
          <cell r="F1450" t="str">
            <v>OK</v>
          </cell>
        </row>
        <row r="1451">
          <cell r="C1451" t="str">
            <v>&lt;-- enter valid PB./Acc. # in this cell!</v>
          </cell>
          <cell r="F1451" t="str">
            <v>OK</v>
          </cell>
        </row>
        <row r="1452">
          <cell r="C1452" t="str">
            <v>&lt;-- enter valid PB./Acc. # in this cell!</v>
          </cell>
          <cell r="F1452" t="str">
            <v>OK</v>
          </cell>
        </row>
        <row r="1453">
          <cell r="C1453" t="str">
            <v>&lt;-- enter valid PB./Acc. # in this cell!</v>
          </cell>
          <cell r="F1453" t="str">
            <v>OK</v>
          </cell>
        </row>
        <row r="1454">
          <cell r="C1454" t="str">
            <v>&lt;-- enter valid PB./Acc. # in this cell!</v>
          </cell>
          <cell r="F1454" t="str">
            <v>OK</v>
          </cell>
        </row>
        <row r="1455">
          <cell r="C1455" t="str">
            <v>&lt;-- enter valid PB./Acc. # in this cell!</v>
          </cell>
          <cell r="F1455" t="str">
            <v>OK</v>
          </cell>
        </row>
        <row r="1456">
          <cell r="C1456" t="str">
            <v>&lt;-- enter valid PB./Acc. # in this cell!</v>
          </cell>
          <cell r="F1456" t="str">
            <v>OK</v>
          </cell>
        </row>
        <row r="1457">
          <cell r="C1457" t="str">
            <v>&lt;-- enter valid PB./Acc. # in this cell!</v>
          </cell>
          <cell r="F1457" t="str">
            <v>OK</v>
          </cell>
        </row>
        <row r="1458">
          <cell r="C1458" t="str">
            <v>&lt;-- enter valid PB./Acc. # in this cell!</v>
          </cell>
          <cell r="F1458" t="str">
            <v>OK</v>
          </cell>
        </row>
        <row r="1459">
          <cell r="C1459" t="str">
            <v>&lt;-- enter valid PB./Acc. # in this cell!</v>
          </cell>
          <cell r="F1459" t="str">
            <v>OK</v>
          </cell>
        </row>
        <row r="1460">
          <cell r="C1460" t="str">
            <v>&lt;-- enter valid PB./Acc. # in this cell!</v>
          </cell>
          <cell r="F1460" t="str">
            <v>OK</v>
          </cell>
        </row>
        <row r="1461">
          <cell r="C1461" t="str">
            <v>&lt;-- enter valid PB./Acc. # in this cell!</v>
          </cell>
          <cell r="F1461" t="str">
            <v>OK</v>
          </cell>
        </row>
        <row r="1462">
          <cell r="C1462" t="str">
            <v>&lt;-- enter valid PB./Acc. # in this cell!</v>
          </cell>
          <cell r="F1462" t="str">
            <v>OK</v>
          </cell>
        </row>
        <row r="1463">
          <cell r="C1463" t="str">
            <v>&lt;-- enter valid PB./Acc. # in this cell!</v>
          </cell>
          <cell r="F1463" t="str">
            <v>OK</v>
          </cell>
        </row>
        <row r="1464">
          <cell r="C1464" t="str">
            <v>&lt;-- enter valid PB./Acc. # in this cell!</v>
          </cell>
          <cell r="F1464" t="str">
            <v>OK</v>
          </cell>
        </row>
        <row r="1465">
          <cell r="C1465" t="str">
            <v>&lt;-- enter valid PB./Acc. # in this cell!</v>
          </cell>
          <cell r="F1465" t="str">
            <v>OK</v>
          </cell>
        </row>
        <row r="1466">
          <cell r="C1466" t="str">
            <v>&lt;-- enter valid PB./Acc. # in this cell!</v>
          </cell>
          <cell r="F1466" t="str">
            <v>OK</v>
          </cell>
        </row>
        <row r="1467">
          <cell r="C1467" t="str">
            <v>&lt;-- enter valid PB./Acc. # in this cell!</v>
          </cell>
          <cell r="F1467" t="str">
            <v>OK</v>
          </cell>
        </row>
        <row r="1468">
          <cell r="C1468" t="str">
            <v>&lt;-- enter valid PB./Acc. # in this cell!</v>
          </cell>
          <cell r="F1468" t="str">
            <v>OK</v>
          </cell>
        </row>
        <row r="1469">
          <cell r="C1469" t="str">
            <v>&lt;-- enter valid PB./Acc. # in this cell!</v>
          </cell>
          <cell r="F1469" t="str">
            <v>OK</v>
          </cell>
        </row>
        <row r="1470">
          <cell r="C1470" t="str">
            <v>&lt;-- enter valid PB./Acc. # in this cell!</v>
          </cell>
          <cell r="F1470" t="str">
            <v>OK</v>
          </cell>
        </row>
        <row r="1471">
          <cell r="C1471" t="str">
            <v>&lt;-- enter valid PB./Acc. # in this cell!</v>
          </cell>
          <cell r="F1471" t="str">
            <v>OK</v>
          </cell>
        </row>
        <row r="1472">
          <cell r="C1472" t="str">
            <v>&lt;-- enter valid PB./Acc. # in this cell!</v>
          </cell>
          <cell r="F1472" t="str">
            <v>OK</v>
          </cell>
        </row>
        <row r="1473">
          <cell r="C1473" t="str">
            <v>&lt;-- enter valid PB./Acc. # in this cell!</v>
          </cell>
          <cell r="F1473" t="str">
            <v>OK</v>
          </cell>
        </row>
        <row r="1474">
          <cell r="C1474" t="str">
            <v>&lt;-- enter valid PB./Acc. # in this cell!</v>
          </cell>
          <cell r="F1474" t="str">
            <v>OK</v>
          </cell>
        </row>
        <row r="1475">
          <cell r="C1475" t="str">
            <v>&lt;-- enter valid PB./Acc. # in this cell!</v>
          </cell>
          <cell r="F1475" t="str">
            <v>OK</v>
          </cell>
        </row>
        <row r="1476">
          <cell r="C1476" t="str">
            <v>&lt;-- enter valid PB./Acc. # in this cell!</v>
          </cell>
          <cell r="F1476" t="str">
            <v>OK</v>
          </cell>
        </row>
        <row r="1477">
          <cell r="C1477" t="str">
            <v>&lt;-- enter valid PB./Acc. # in this cell!</v>
          </cell>
          <cell r="F1477" t="str">
            <v>OK</v>
          </cell>
        </row>
        <row r="1478">
          <cell r="C1478" t="str">
            <v>&lt;-- enter valid PB./Acc. # in this cell!</v>
          </cell>
          <cell r="F1478" t="str">
            <v>OK</v>
          </cell>
        </row>
        <row r="1479">
          <cell r="C1479" t="str">
            <v>&lt;-- enter valid PB./Acc. # in this cell!</v>
          </cell>
          <cell r="F1479" t="str">
            <v>OK</v>
          </cell>
        </row>
        <row r="1480">
          <cell r="C1480" t="str">
            <v>&lt;-- enter valid PB./Acc. # in this cell!</v>
          </cell>
          <cell r="F1480" t="str">
            <v>OK</v>
          </cell>
        </row>
        <row r="1481">
          <cell r="C1481" t="str">
            <v>&lt;-- enter valid PB./Acc. # in this cell!</v>
          </cell>
          <cell r="F1481" t="str">
            <v>OK</v>
          </cell>
        </row>
        <row r="1482">
          <cell r="C1482" t="str">
            <v>&lt;-- enter valid PB./Acc. # in this cell!</v>
          </cell>
          <cell r="F1482" t="str">
            <v>OK</v>
          </cell>
        </row>
        <row r="1483">
          <cell r="C1483" t="str">
            <v>&lt;-- enter valid PB./Acc. # in this cell!</v>
          </cell>
          <cell r="F1483" t="str">
            <v>OK</v>
          </cell>
        </row>
        <row r="1484">
          <cell r="C1484" t="str">
            <v>&lt;-- enter valid PB./Acc. # in this cell!</v>
          </cell>
          <cell r="F1484" t="str">
            <v>OK</v>
          </cell>
        </row>
        <row r="1485">
          <cell r="C1485" t="str">
            <v>&lt;-- enter valid PB./Acc. # in this cell!</v>
          </cell>
          <cell r="F1485" t="str">
            <v>OK</v>
          </cell>
        </row>
        <row r="1486">
          <cell r="C1486" t="str">
            <v>&lt;-- enter valid PB./Acc. # in this cell!</v>
          </cell>
          <cell r="F1486" t="str">
            <v>OK</v>
          </cell>
        </row>
        <row r="1487">
          <cell r="C1487" t="str">
            <v>&lt;-- enter valid PB./Acc. # in this cell!</v>
          </cell>
          <cell r="F1487" t="str">
            <v>OK</v>
          </cell>
        </row>
        <row r="1488">
          <cell r="C1488" t="str">
            <v>&lt;-- enter valid PB./Acc. # in this cell!</v>
          </cell>
          <cell r="F1488" t="str">
            <v>OK</v>
          </cell>
        </row>
        <row r="1489">
          <cell r="C1489" t="str">
            <v>&lt;-- enter valid PB./Acc. # in this cell!</v>
          </cell>
          <cell r="F1489" t="str">
            <v>OK</v>
          </cell>
        </row>
        <row r="1490">
          <cell r="C1490" t="str">
            <v>&lt;-- enter valid PB./Acc. # in this cell!</v>
          </cell>
          <cell r="F1490" t="str">
            <v>OK</v>
          </cell>
        </row>
        <row r="1491">
          <cell r="C1491" t="str">
            <v>&lt;-- enter valid PB./Acc. # in this cell!</v>
          </cell>
          <cell r="F1491" t="str">
            <v>OK</v>
          </cell>
        </row>
        <row r="1492">
          <cell r="C1492" t="str">
            <v>&lt;-- enter valid PB./Acc. # in this cell!</v>
          </cell>
          <cell r="F1492" t="str">
            <v>OK</v>
          </cell>
        </row>
        <row r="1493">
          <cell r="C1493" t="str">
            <v>&lt;-- enter valid PB./Acc. # in this cell!</v>
          </cell>
          <cell r="F1493" t="str">
            <v>OK</v>
          </cell>
        </row>
        <row r="1494">
          <cell r="C1494" t="str">
            <v>&lt;-- enter valid PB./Acc. # in this cell!</v>
          </cell>
          <cell r="F1494" t="str">
            <v>OK</v>
          </cell>
        </row>
        <row r="1495">
          <cell r="C1495" t="str">
            <v>&lt;-- enter valid PB./Acc. # in this cell!</v>
          </cell>
          <cell r="F1495" t="str">
            <v>OK</v>
          </cell>
        </row>
        <row r="1496">
          <cell r="C1496" t="str">
            <v>&lt;-- enter valid PB./Acc. # in this cell!</v>
          </cell>
          <cell r="F1496" t="str">
            <v>OK</v>
          </cell>
        </row>
        <row r="1497">
          <cell r="C1497" t="str">
            <v>&lt;-- enter valid PB./Acc. # in this cell!</v>
          </cell>
          <cell r="F1497" t="str">
            <v>OK</v>
          </cell>
        </row>
        <row r="1498">
          <cell r="C1498" t="str">
            <v>&lt;-- enter valid PB./Acc. # in this cell!</v>
          </cell>
          <cell r="F1498" t="str">
            <v>OK</v>
          </cell>
        </row>
        <row r="1499">
          <cell r="C1499" t="str">
            <v>&lt;-- enter valid PB./Acc. # in this cell!</v>
          </cell>
          <cell r="F1499" t="str">
            <v>OK</v>
          </cell>
        </row>
        <row r="1500">
          <cell r="A1500" t="str">
            <v>Total Balances of November 2015</v>
          </cell>
          <cell r="F1500" t="str">
            <v>OK</v>
          </cell>
          <cell r="G1500">
            <v>0</v>
          </cell>
          <cell r="H1500">
            <v>0</v>
          </cell>
          <cell r="I1500">
            <v>0</v>
          </cell>
          <cell r="J1500">
            <v>0</v>
          </cell>
          <cell r="K1500">
            <v>0</v>
          </cell>
          <cell r="L1500">
            <v>0</v>
          </cell>
          <cell r="M1500">
            <v>0</v>
          </cell>
          <cell r="N1500">
            <v>0</v>
          </cell>
          <cell r="O1500">
            <v>0</v>
          </cell>
          <cell r="P1500">
            <v>0</v>
          </cell>
          <cell r="Q1500">
            <v>0</v>
          </cell>
          <cell r="R1500">
            <v>0</v>
          </cell>
          <cell r="S1500">
            <v>0</v>
          </cell>
          <cell r="T1500">
            <v>0</v>
          </cell>
          <cell r="AQ1500">
            <v>0</v>
          </cell>
        </row>
        <row r="1501">
          <cell r="A1501">
            <v>42369</v>
          </cell>
        </row>
        <row r="1502">
          <cell r="C1502" t="str">
            <v>&lt;-- enter valid PB./Acc. # in this cell!</v>
          </cell>
          <cell r="F1502" t="str">
            <v>OK</v>
          </cell>
        </row>
        <row r="1503">
          <cell r="C1503" t="str">
            <v>&lt;-- enter valid PB./Acc. # in this cell!</v>
          </cell>
          <cell r="F1503" t="str">
            <v>OK</v>
          </cell>
        </row>
        <row r="1504">
          <cell r="C1504" t="str">
            <v>&lt;-- enter valid PB./Acc. # in this cell!</v>
          </cell>
          <cell r="F1504" t="str">
            <v>OK</v>
          </cell>
        </row>
        <row r="1505">
          <cell r="C1505" t="str">
            <v>&lt;-- enter valid PB./Acc. # in this cell!</v>
          </cell>
          <cell r="F1505" t="str">
            <v>OK</v>
          </cell>
        </row>
        <row r="1506">
          <cell r="C1506" t="str">
            <v>&lt;-- enter valid PB./Acc. # in this cell!</v>
          </cell>
          <cell r="F1506" t="str">
            <v>OK</v>
          </cell>
        </row>
        <row r="1507">
          <cell r="C1507" t="str">
            <v>&lt;-- enter valid PB./Acc. # in this cell!</v>
          </cell>
          <cell r="F1507" t="str">
            <v>OK</v>
          </cell>
        </row>
        <row r="1508">
          <cell r="C1508" t="str">
            <v>&lt;-- enter valid PB./Acc. # in this cell!</v>
          </cell>
          <cell r="F1508" t="str">
            <v>OK</v>
          </cell>
        </row>
        <row r="1509">
          <cell r="C1509" t="str">
            <v>&lt;-- enter valid PB./Acc. # in this cell!</v>
          </cell>
          <cell r="F1509" t="str">
            <v>OK</v>
          </cell>
        </row>
        <row r="1510">
          <cell r="C1510" t="str">
            <v>&lt;-- enter valid PB./Acc. # in this cell!</v>
          </cell>
          <cell r="F1510" t="str">
            <v>OK</v>
          </cell>
        </row>
        <row r="1511">
          <cell r="C1511" t="str">
            <v>&lt;-- enter valid PB./Acc. # in this cell!</v>
          </cell>
          <cell r="F1511" t="str">
            <v>OK</v>
          </cell>
        </row>
        <row r="1512">
          <cell r="C1512" t="str">
            <v>&lt;-- enter valid PB./Acc. # in this cell!</v>
          </cell>
          <cell r="F1512" t="str">
            <v>OK</v>
          </cell>
        </row>
        <row r="1513">
          <cell r="C1513" t="str">
            <v>&lt;-- enter valid PB./Acc. # in this cell!</v>
          </cell>
          <cell r="F1513" t="str">
            <v>OK</v>
          </cell>
        </row>
        <row r="1514">
          <cell r="C1514" t="str">
            <v>&lt;-- enter valid PB./Acc. # in this cell!</v>
          </cell>
          <cell r="F1514" t="str">
            <v>OK</v>
          </cell>
        </row>
        <row r="1515">
          <cell r="C1515" t="str">
            <v>&lt;-- enter valid PB./Acc. # in this cell!</v>
          </cell>
          <cell r="F1515" t="str">
            <v>OK</v>
          </cell>
        </row>
        <row r="1516">
          <cell r="C1516" t="str">
            <v>&lt;-- enter valid PB./Acc. # in this cell!</v>
          </cell>
          <cell r="F1516" t="str">
            <v>OK</v>
          </cell>
        </row>
        <row r="1517">
          <cell r="C1517" t="str">
            <v>&lt;-- enter valid PB./Acc. # in this cell!</v>
          </cell>
          <cell r="F1517" t="str">
            <v>OK</v>
          </cell>
        </row>
        <row r="1518">
          <cell r="C1518" t="str">
            <v>&lt;-- enter valid PB./Acc. # in this cell!</v>
          </cell>
          <cell r="F1518" t="str">
            <v>OK</v>
          </cell>
        </row>
        <row r="1519">
          <cell r="C1519" t="str">
            <v>&lt;-- enter valid PB./Acc. # in this cell!</v>
          </cell>
          <cell r="F1519" t="str">
            <v>OK</v>
          </cell>
        </row>
        <row r="1520">
          <cell r="C1520" t="str">
            <v>&lt;-- enter valid PB./Acc. # in this cell!</v>
          </cell>
          <cell r="F1520" t="str">
            <v>OK</v>
          </cell>
        </row>
        <row r="1521">
          <cell r="C1521" t="str">
            <v>&lt;-- enter valid PB./Acc. # in this cell!</v>
          </cell>
          <cell r="F1521" t="str">
            <v>OK</v>
          </cell>
        </row>
        <row r="1522">
          <cell r="C1522" t="str">
            <v>&lt;-- enter valid PB./Acc. # in this cell!</v>
          </cell>
          <cell r="F1522" t="str">
            <v>OK</v>
          </cell>
        </row>
        <row r="1523">
          <cell r="C1523" t="str">
            <v>&lt;-- enter valid PB./Acc. # in this cell!</v>
          </cell>
          <cell r="F1523" t="str">
            <v>OK</v>
          </cell>
        </row>
        <row r="1524">
          <cell r="C1524" t="str">
            <v>&lt;-- enter valid PB./Acc. # in this cell!</v>
          </cell>
          <cell r="F1524" t="str">
            <v>OK</v>
          </cell>
        </row>
        <row r="1525">
          <cell r="C1525" t="str">
            <v>&lt;-- enter valid PB./Acc. # in this cell!</v>
          </cell>
          <cell r="F1525" t="str">
            <v>OK</v>
          </cell>
        </row>
        <row r="1526">
          <cell r="C1526" t="str">
            <v>&lt;-- enter valid PB./Acc. # in this cell!</v>
          </cell>
          <cell r="F1526" t="str">
            <v>OK</v>
          </cell>
        </row>
        <row r="1527">
          <cell r="C1527" t="str">
            <v>&lt;-- enter valid PB./Acc. # in this cell!</v>
          </cell>
          <cell r="F1527" t="str">
            <v>OK</v>
          </cell>
        </row>
        <row r="1528">
          <cell r="C1528" t="str">
            <v>&lt;-- enter valid PB./Acc. # in this cell!</v>
          </cell>
          <cell r="F1528" t="str">
            <v>OK</v>
          </cell>
        </row>
        <row r="1529">
          <cell r="C1529" t="str">
            <v>&lt;-- enter valid PB./Acc. # in this cell!</v>
          </cell>
          <cell r="F1529" t="str">
            <v>OK</v>
          </cell>
        </row>
        <row r="1530">
          <cell r="C1530" t="str">
            <v>&lt;-- enter valid PB./Acc. # in this cell!</v>
          </cell>
          <cell r="F1530" t="str">
            <v>OK</v>
          </cell>
        </row>
        <row r="1531">
          <cell r="C1531" t="str">
            <v>&lt;-- enter valid PB./Acc. # in this cell!</v>
          </cell>
          <cell r="F1531" t="str">
            <v>OK</v>
          </cell>
        </row>
        <row r="1532">
          <cell r="C1532" t="str">
            <v>&lt;-- enter valid PB./Acc. # in this cell!</v>
          </cell>
          <cell r="F1532" t="str">
            <v>OK</v>
          </cell>
        </row>
        <row r="1533">
          <cell r="C1533" t="str">
            <v>&lt;-- enter valid PB./Acc. # in this cell!</v>
          </cell>
          <cell r="F1533" t="str">
            <v>OK</v>
          </cell>
        </row>
        <row r="1534">
          <cell r="C1534" t="str">
            <v>&lt;-- enter valid PB./Acc. # in this cell!</v>
          </cell>
          <cell r="F1534" t="str">
            <v>OK</v>
          </cell>
        </row>
        <row r="1535">
          <cell r="C1535" t="str">
            <v>&lt;-- enter valid PB./Acc. # in this cell!</v>
          </cell>
          <cell r="F1535" t="str">
            <v>OK</v>
          </cell>
        </row>
        <row r="1536">
          <cell r="C1536" t="str">
            <v>&lt;-- enter valid PB./Acc. # in this cell!</v>
          </cell>
          <cell r="F1536" t="str">
            <v>OK</v>
          </cell>
        </row>
        <row r="1537">
          <cell r="C1537" t="str">
            <v>&lt;-- enter valid PB./Acc. # in this cell!</v>
          </cell>
          <cell r="F1537" t="str">
            <v>OK</v>
          </cell>
        </row>
        <row r="1538">
          <cell r="C1538" t="str">
            <v>&lt;-- enter valid PB./Acc. # in this cell!</v>
          </cell>
          <cell r="F1538" t="str">
            <v>OK</v>
          </cell>
        </row>
        <row r="1539">
          <cell r="C1539" t="str">
            <v>&lt;-- enter valid PB./Acc. # in this cell!</v>
          </cell>
          <cell r="F1539" t="str">
            <v>OK</v>
          </cell>
        </row>
        <row r="1540">
          <cell r="C1540" t="str">
            <v>&lt;-- enter valid PB./Acc. # in this cell!</v>
          </cell>
          <cell r="F1540" t="str">
            <v>OK</v>
          </cell>
        </row>
        <row r="1541">
          <cell r="C1541" t="str">
            <v>&lt;-- enter valid PB./Acc. # in this cell!</v>
          </cell>
          <cell r="F1541" t="str">
            <v>OK</v>
          </cell>
        </row>
        <row r="1542">
          <cell r="C1542" t="str">
            <v>&lt;-- enter valid PB./Acc. # in this cell!</v>
          </cell>
          <cell r="F1542" t="str">
            <v>OK</v>
          </cell>
        </row>
        <row r="1543">
          <cell r="C1543" t="str">
            <v>&lt;-- enter valid PB./Acc. # in this cell!</v>
          </cell>
          <cell r="F1543" t="str">
            <v>OK</v>
          </cell>
        </row>
        <row r="1544">
          <cell r="C1544" t="str">
            <v>&lt;-- enter valid PB./Acc. # in this cell!</v>
          </cell>
          <cell r="F1544" t="str">
            <v>OK</v>
          </cell>
        </row>
        <row r="1545">
          <cell r="C1545" t="str">
            <v>&lt;-- enter valid PB./Acc. # in this cell!</v>
          </cell>
          <cell r="F1545" t="str">
            <v>OK</v>
          </cell>
        </row>
        <row r="1546">
          <cell r="C1546" t="str">
            <v>&lt;-- enter valid PB./Acc. # in this cell!</v>
          </cell>
          <cell r="F1546" t="str">
            <v>OK</v>
          </cell>
        </row>
        <row r="1547">
          <cell r="C1547" t="str">
            <v>&lt;-- enter valid PB./Acc. # in this cell!</v>
          </cell>
          <cell r="F1547" t="str">
            <v>OK</v>
          </cell>
        </row>
        <row r="1548">
          <cell r="C1548" t="str">
            <v>&lt;-- enter valid PB./Acc. # in this cell!</v>
          </cell>
          <cell r="F1548" t="str">
            <v>OK</v>
          </cell>
        </row>
        <row r="1549">
          <cell r="C1549" t="str">
            <v>&lt;-- enter valid PB./Acc. # in this cell!</v>
          </cell>
          <cell r="F1549" t="str">
            <v>OK</v>
          </cell>
        </row>
        <row r="1550">
          <cell r="C1550" t="str">
            <v>&lt;-- enter valid PB./Acc. # in this cell!</v>
          </cell>
          <cell r="F1550" t="str">
            <v>OK</v>
          </cell>
        </row>
        <row r="1551">
          <cell r="C1551" t="str">
            <v>&lt;-- enter valid PB./Acc. # in this cell!</v>
          </cell>
          <cell r="F1551" t="str">
            <v>OK</v>
          </cell>
        </row>
        <row r="1552">
          <cell r="C1552" t="str">
            <v>&lt;-- enter valid PB./Acc. # in this cell!</v>
          </cell>
          <cell r="F1552" t="str">
            <v>OK</v>
          </cell>
        </row>
        <row r="1553">
          <cell r="C1553" t="str">
            <v>&lt;-- enter valid PB./Acc. # in this cell!</v>
          </cell>
          <cell r="F1553" t="str">
            <v>OK</v>
          </cell>
        </row>
        <row r="1554">
          <cell r="C1554" t="str">
            <v>&lt;-- enter valid PB./Acc. # in this cell!</v>
          </cell>
          <cell r="F1554" t="str">
            <v>OK</v>
          </cell>
        </row>
        <row r="1555">
          <cell r="C1555" t="str">
            <v>&lt;-- enter valid PB./Acc. # in this cell!</v>
          </cell>
          <cell r="F1555" t="str">
            <v>OK</v>
          </cell>
        </row>
        <row r="1556">
          <cell r="C1556" t="str">
            <v>&lt;-- enter valid PB./Acc. # in this cell!</v>
          </cell>
          <cell r="F1556" t="str">
            <v>OK</v>
          </cell>
        </row>
        <row r="1557">
          <cell r="C1557" t="str">
            <v>&lt;-- enter valid PB./Acc. # in this cell!</v>
          </cell>
          <cell r="F1557" t="str">
            <v>OK</v>
          </cell>
        </row>
        <row r="1558">
          <cell r="C1558" t="str">
            <v>&lt;-- enter valid PB./Acc. # in this cell!</v>
          </cell>
          <cell r="F1558" t="str">
            <v>OK</v>
          </cell>
        </row>
        <row r="1559">
          <cell r="C1559" t="str">
            <v>&lt;-- enter valid PB./Acc. # in this cell!</v>
          </cell>
          <cell r="F1559" t="str">
            <v>OK</v>
          </cell>
        </row>
        <row r="1560">
          <cell r="C1560" t="str">
            <v>&lt;-- enter valid PB./Acc. # in this cell!</v>
          </cell>
          <cell r="F1560" t="str">
            <v>OK</v>
          </cell>
        </row>
        <row r="1561">
          <cell r="C1561" t="str">
            <v>&lt;-- enter valid PB./Acc. # in this cell!</v>
          </cell>
          <cell r="F1561" t="str">
            <v>OK</v>
          </cell>
        </row>
        <row r="1562">
          <cell r="C1562" t="str">
            <v>&lt;-- enter valid PB./Acc. # in this cell!</v>
          </cell>
          <cell r="F1562" t="str">
            <v>OK</v>
          </cell>
        </row>
        <row r="1563">
          <cell r="C1563" t="str">
            <v>&lt;-- enter valid PB./Acc. # in this cell!</v>
          </cell>
          <cell r="F1563" t="str">
            <v>OK</v>
          </cell>
        </row>
        <row r="1564">
          <cell r="C1564" t="str">
            <v>&lt;-- enter valid PB./Acc. # in this cell!</v>
          </cell>
          <cell r="F1564" t="str">
            <v>OK</v>
          </cell>
        </row>
        <row r="1565">
          <cell r="C1565" t="str">
            <v>&lt;-- enter valid PB./Acc. # in this cell!</v>
          </cell>
          <cell r="F1565" t="str">
            <v>OK</v>
          </cell>
        </row>
        <row r="1566">
          <cell r="C1566" t="str">
            <v>&lt;-- enter valid PB./Acc. # in this cell!</v>
          </cell>
          <cell r="F1566" t="str">
            <v>OK</v>
          </cell>
        </row>
        <row r="1567">
          <cell r="C1567" t="str">
            <v>&lt;-- enter valid PB./Acc. # in this cell!</v>
          </cell>
          <cell r="F1567" t="str">
            <v>OK</v>
          </cell>
        </row>
        <row r="1568">
          <cell r="C1568" t="str">
            <v>&lt;-- enter valid PB./Acc. # in this cell!</v>
          </cell>
          <cell r="F1568" t="str">
            <v>OK</v>
          </cell>
        </row>
        <row r="1569">
          <cell r="C1569" t="str">
            <v>&lt;-- enter valid PB./Acc. # in this cell!</v>
          </cell>
          <cell r="F1569" t="str">
            <v>OK</v>
          </cell>
        </row>
        <row r="1570">
          <cell r="C1570" t="str">
            <v>&lt;-- enter valid PB./Acc. # in this cell!</v>
          </cell>
          <cell r="F1570" t="str">
            <v>OK</v>
          </cell>
        </row>
        <row r="1571">
          <cell r="C1571" t="str">
            <v>&lt;-- enter valid PB./Acc. # in this cell!</v>
          </cell>
          <cell r="F1571" t="str">
            <v>OK</v>
          </cell>
        </row>
        <row r="1572">
          <cell r="C1572" t="str">
            <v>&lt;-- enter valid PB./Acc. # in this cell!</v>
          </cell>
          <cell r="F1572" t="str">
            <v>OK</v>
          </cell>
        </row>
        <row r="1573">
          <cell r="C1573" t="str">
            <v>&lt;-- enter valid PB./Acc. # in this cell!</v>
          </cell>
          <cell r="F1573" t="str">
            <v>OK</v>
          </cell>
        </row>
        <row r="1574">
          <cell r="C1574" t="str">
            <v>&lt;-- enter valid PB./Acc. # in this cell!</v>
          </cell>
          <cell r="F1574" t="str">
            <v>OK</v>
          </cell>
        </row>
        <row r="1575">
          <cell r="C1575" t="str">
            <v>&lt;-- enter valid PB./Acc. # in this cell!</v>
          </cell>
          <cell r="F1575" t="str">
            <v>OK</v>
          </cell>
        </row>
        <row r="1576">
          <cell r="C1576" t="str">
            <v>&lt;-- enter valid PB./Acc. # in this cell!</v>
          </cell>
          <cell r="F1576" t="str">
            <v>OK</v>
          </cell>
        </row>
        <row r="1577">
          <cell r="C1577" t="str">
            <v>&lt;-- enter valid PB./Acc. # in this cell!</v>
          </cell>
          <cell r="F1577" t="str">
            <v>OK</v>
          </cell>
        </row>
        <row r="1578">
          <cell r="C1578" t="str">
            <v>&lt;-- enter valid PB./Acc. # in this cell!</v>
          </cell>
          <cell r="F1578" t="str">
            <v>OK</v>
          </cell>
        </row>
        <row r="1579">
          <cell r="C1579" t="str">
            <v>&lt;-- enter valid PB./Acc. # in this cell!</v>
          </cell>
          <cell r="F1579" t="str">
            <v>OK</v>
          </cell>
        </row>
        <row r="1580">
          <cell r="C1580" t="str">
            <v>&lt;-- enter valid PB./Acc. # in this cell!</v>
          </cell>
          <cell r="F1580" t="str">
            <v>OK</v>
          </cell>
        </row>
        <row r="1581">
          <cell r="C1581" t="str">
            <v>&lt;-- enter valid PB./Acc. # in this cell!</v>
          </cell>
          <cell r="F1581" t="str">
            <v>OK</v>
          </cell>
        </row>
        <row r="1582">
          <cell r="C1582" t="str">
            <v>&lt;-- enter valid PB./Acc. # in this cell!</v>
          </cell>
          <cell r="F1582" t="str">
            <v>OK</v>
          </cell>
        </row>
        <row r="1583">
          <cell r="C1583" t="str">
            <v>&lt;-- enter valid PB./Acc. # in this cell!</v>
          </cell>
          <cell r="F1583" t="str">
            <v>OK</v>
          </cell>
        </row>
        <row r="1584">
          <cell r="C1584" t="str">
            <v>&lt;-- enter valid PB./Acc. # in this cell!</v>
          </cell>
          <cell r="F1584" t="str">
            <v>OK</v>
          </cell>
        </row>
        <row r="1585">
          <cell r="C1585" t="str">
            <v>&lt;-- enter valid PB./Acc. # in this cell!</v>
          </cell>
          <cell r="F1585" t="str">
            <v>OK</v>
          </cell>
        </row>
        <row r="1586">
          <cell r="C1586" t="str">
            <v>&lt;-- enter valid PB./Acc. # in this cell!</v>
          </cell>
          <cell r="F1586" t="str">
            <v>OK</v>
          </cell>
        </row>
        <row r="1587">
          <cell r="C1587" t="str">
            <v>&lt;-- enter valid PB./Acc. # in this cell!</v>
          </cell>
          <cell r="F1587" t="str">
            <v>OK</v>
          </cell>
        </row>
        <row r="1588">
          <cell r="C1588" t="str">
            <v>&lt;-- enter valid PB./Acc. # in this cell!</v>
          </cell>
          <cell r="F1588" t="str">
            <v>OK</v>
          </cell>
        </row>
        <row r="1589">
          <cell r="C1589" t="str">
            <v>&lt;-- enter valid PB./Acc. # in this cell!</v>
          </cell>
          <cell r="F1589" t="str">
            <v>OK</v>
          </cell>
        </row>
        <row r="1590">
          <cell r="C1590" t="str">
            <v>&lt;-- enter valid PB./Acc. # in this cell!</v>
          </cell>
          <cell r="F1590" t="str">
            <v>OK</v>
          </cell>
        </row>
        <row r="1591">
          <cell r="C1591" t="str">
            <v>&lt;-- enter valid PB./Acc. # in this cell!</v>
          </cell>
          <cell r="F1591" t="str">
            <v>OK</v>
          </cell>
        </row>
        <row r="1592">
          <cell r="C1592" t="str">
            <v>&lt;-- enter valid PB./Acc. # in this cell!</v>
          </cell>
          <cell r="F1592" t="str">
            <v>OK</v>
          </cell>
        </row>
        <row r="1593">
          <cell r="C1593" t="str">
            <v>&lt;-- enter valid PB./Acc. # in this cell!</v>
          </cell>
          <cell r="F1593" t="str">
            <v>OK</v>
          </cell>
        </row>
        <row r="1594">
          <cell r="C1594" t="str">
            <v>&lt;-- enter valid PB./Acc. # in this cell!</v>
          </cell>
          <cell r="F1594" t="str">
            <v>OK</v>
          </cell>
        </row>
        <row r="1595">
          <cell r="C1595" t="str">
            <v>&lt;-- enter valid PB./Acc. # in this cell!</v>
          </cell>
          <cell r="F1595" t="str">
            <v>OK</v>
          </cell>
        </row>
        <row r="1596">
          <cell r="C1596" t="str">
            <v>&lt;-- enter valid PB./Acc. # in this cell!</v>
          </cell>
          <cell r="F1596" t="str">
            <v>OK</v>
          </cell>
        </row>
        <row r="1597">
          <cell r="C1597" t="str">
            <v>&lt;-- enter valid PB./Acc. # in this cell!</v>
          </cell>
          <cell r="F1597" t="str">
            <v>OK</v>
          </cell>
        </row>
        <row r="1598">
          <cell r="C1598" t="str">
            <v>&lt;-- enter valid PB./Acc. # in this cell!</v>
          </cell>
          <cell r="F1598" t="str">
            <v>OK</v>
          </cell>
        </row>
        <row r="1599">
          <cell r="C1599" t="str">
            <v>&lt;-- enter valid PB./Acc. # in this cell!</v>
          </cell>
          <cell r="F1599" t="str">
            <v>OK</v>
          </cell>
        </row>
        <row r="1600">
          <cell r="C1600" t="str">
            <v>&lt;-- enter valid PB./Acc. # in this cell!</v>
          </cell>
          <cell r="F1600" t="str">
            <v>OK</v>
          </cell>
        </row>
        <row r="1601">
          <cell r="C1601" t="str">
            <v>&lt;-- enter valid PB./Acc. # in this cell!</v>
          </cell>
          <cell r="F1601" t="str">
            <v>OK</v>
          </cell>
        </row>
        <row r="1602">
          <cell r="C1602" t="str">
            <v>&lt;-- enter valid PB./Acc. # in this cell!</v>
          </cell>
          <cell r="F1602" t="str">
            <v>OK</v>
          </cell>
        </row>
        <row r="1603">
          <cell r="C1603" t="str">
            <v>&lt;-- enter valid PB./Acc. # in this cell!</v>
          </cell>
          <cell r="F1603" t="str">
            <v>OK</v>
          </cell>
        </row>
        <row r="1604">
          <cell r="C1604" t="str">
            <v>&lt;-- enter valid PB./Acc. # in this cell!</v>
          </cell>
          <cell r="F1604" t="str">
            <v>OK</v>
          </cell>
        </row>
        <row r="1605">
          <cell r="C1605" t="str">
            <v>&lt;-- enter valid PB./Acc. # in this cell!</v>
          </cell>
          <cell r="F1605" t="str">
            <v>OK</v>
          </cell>
        </row>
        <row r="1606">
          <cell r="C1606" t="str">
            <v>&lt;-- enter valid PB./Acc. # in this cell!</v>
          </cell>
          <cell r="F1606" t="str">
            <v>OK</v>
          </cell>
        </row>
        <row r="1607">
          <cell r="C1607" t="str">
            <v>&lt;-- enter valid PB./Acc. # in this cell!</v>
          </cell>
          <cell r="F1607" t="str">
            <v>OK</v>
          </cell>
        </row>
        <row r="1608">
          <cell r="C1608" t="str">
            <v>&lt;-- enter valid PB./Acc. # in this cell!</v>
          </cell>
          <cell r="F1608" t="str">
            <v>OK</v>
          </cell>
        </row>
        <row r="1609">
          <cell r="C1609" t="str">
            <v>&lt;-- enter valid PB./Acc. # in this cell!</v>
          </cell>
          <cell r="F1609" t="str">
            <v>OK</v>
          </cell>
        </row>
        <row r="1610">
          <cell r="C1610" t="str">
            <v>&lt;-- enter valid PB./Acc. # in this cell!</v>
          </cell>
          <cell r="F1610" t="str">
            <v>OK</v>
          </cell>
        </row>
        <row r="1611">
          <cell r="C1611" t="str">
            <v>&lt;-- enter valid PB./Acc. # in this cell!</v>
          </cell>
          <cell r="F1611" t="str">
            <v>OK</v>
          </cell>
        </row>
        <row r="1612">
          <cell r="C1612" t="str">
            <v>&lt;-- enter valid PB./Acc. # in this cell!</v>
          </cell>
          <cell r="F1612" t="str">
            <v>OK</v>
          </cell>
        </row>
        <row r="1613">
          <cell r="C1613" t="str">
            <v>&lt;-- enter valid PB./Acc. # in this cell!</v>
          </cell>
          <cell r="F1613" t="str">
            <v>OK</v>
          </cell>
        </row>
        <row r="1614">
          <cell r="C1614" t="str">
            <v>&lt;-- enter valid PB./Acc. # in this cell!</v>
          </cell>
          <cell r="F1614" t="str">
            <v>OK</v>
          </cell>
        </row>
        <row r="1615">
          <cell r="C1615" t="str">
            <v>&lt;-- enter valid PB./Acc. # in this cell!</v>
          </cell>
          <cell r="F1615" t="str">
            <v>OK</v>
          </cell>
        </row>
        <row r="1616">
          <cell r="C1616" t="str">
            <v>&lt;-- enter valid PB./Acc. # in this cell!</v>
          </cell>
          <cell r="F1616" t="str">
            <v>OK</v>
          </cell>
        </row>
        <row r="1617">
          <cell r="C1617" t="str">
            <v>&lt;-- enter valid PB./Acc. # in this cell!</v>
          </cell>
          <cell r="F1617" t="str">
            <v>OK</v>
          </cell>
        </row>
        <row r="1618">
          <cell r="C1618" t="str">
            <v>&lt;-- enter valid PB./Acc. # in this cell!</v>
          </cell>
          <cell r="F1618" t="str">
            <v>OK</v>
          </cell>
        </row>
        <row r="1619">
          <cell r="C1619" t="str">
            <v>&lt;-- enter valid PB./Acc. # in this cell!</v>
          </cell>
          <cell r="F1619" t="str">
            <v>OK</v>
          </cell>
        </row>
        <row r="1620">
          <cell r="C1620" t="str">
            <v>&lt;-- enter valid PB./Acc. # in this cell!</v>
          </cell>
          <cell r="F1620" t="str">
            <v>OK</v>
          </cell>
        </row>
        <row r="1621">
          <cell r="C1621" t="str">
            <v>&lt;-- enter valid PB./Acc. # in this cell!</v>
          </cell>
          <cell r="F1621" t="str">
            <v>OK</v>
          </cell>
        </row>
        <row r="1622">
          <cell r="C1622" t="str">
            <v>&lt;-- enter valid PB./Acc. # in this cell!</v>
          </cell>
          <cell r="F1622" t="str">
            <v>OK</v>
          </cell>
        </row>
        <row r="1623">
          <cell r="C1623" t="str">
            <v>&lt;-- enter valid PB./Acc. # in this cell!</v>
          </cell>
          <cell r="F1623" t="str">
            <v>OK</v>
          </cell>
        </row>
        <row r="1624">
          <cell r="C1624" t="str">
            <v>&lt;-- enter valid PB./Acc. # in this cell!</v>
          </cell>
          <cell r="F1624" t="str">
            <v>OK</v>
          </cell>
        </row>
        <row r="1625">
          <cell r="C1625" t="str">
            <v>&lt;-- enter valid PB./Acc. # in this cell!</v>
          </cell>
          <cell r="F1625" t="str">
            <v>OK</v>
          </cell>
        </row>
        <row r="1626">
          <cell r="C1626" t="str">
            <v>&lt;-- enter valid PB./Acc. # in this cell!</v>
          </cell>
          <cell r="F1626" t="str">
            <v>OK</v>
          </cell>
        </row>
        <row r="1627">
          <cell r="C1627" t="str">
            <v>&lt;-- enter valid PB./Acc. # in this cell!</v>
          </cell>
          <cell r="F1627" t="str">
            <v>OK</v>
          </cell>
        </row>
        <row r="1628">
          <cell r="C1628" t="str">
            <v>&lt;-- enter valid PB./Acc. # in this cell!</v>
          </cell>
          <cell r="F1628" t="str">
            <v>OK</v>
          </cell>
        </row>
        <row r="1629">
          <cell r="C1629" t="str">
            <v>&lt;-- enter valid PB./Acc. # in this cell!</v>
          </cell>
          <cell r="F1629" t="str">
            <v>OK</v>
          </cell>
        </row>
        <row r="1630">
          <cell r="C1630" t="str">
            <v>&lt;-- enter valid PB./Acc. # in this cell!</v>
          </cell>
          <cell r="F1630" t="str">
            <v>OK</v>
          </cell>
        </row>
        <row r="1631">
          <cell r="C1631" t="str">
            <v>&lt;-- enter valid PB./Acc. # in this cell!</v>
          </cell>
          <cell r="F1631" t="str">
            <v>OK</v>
          </cell>
        </row>
        <row r="1632">
          <cell r="C1632" t="str">
            <v>&lt;-- enter valid PB./Acc. # in this cell!</v>
          </cell>
          <cell r="F1632" t="str">
            <v>OK</v>
          </cell>
        </row>
        <row r="1633">
          <cell r="C1633" t="str">
            <v>&lt;-- enter valid PB./Acc. # in this cell!</v>
          </cell>
          <cell r="F1633" t="str">
            <v>OK</v>
          </cell>
        </row>
        <row r="1634">
          <cell r="C1634" t="str">
            <v>&lt;-- enter valid PB./Acc. # in this cell!</v>
          </cell>
          <cell r="F1634" t="str">
            <v>OK</v>
          </cell>
        </row>
        <row r="1635">
          <cell r="C1635" t="str">
            <v>&lt;-- enter valid PB./Acc. # in this cell!</v>
          </cell>
          <cell r="F1635" t="str">
            <v>OK</v>
          </cell>
        </row>
        <row r="1636">
          <cell r="C1636" t="str">
            <v>&lt;-- enter valid PB./Acc. # in this cell!</v>
          </cell>
          <cell r="F1636" t="str">
            <v>OK</v>
          </cell>
        </row>
        <row r="1637">
          <cell r="C1637" t="str">
            <v>&lt;-- enter valid PB./Acc. # in this cell!</v>
          </cell>
          <cell r="F1637" t="str">
            <v>OK</v>
          </cell>
        </row>
        <row r="1638">
          <cell r="C1638" t="str">
            <v>&lt;-- enter valid PB./Acc. # in this cell!</v>
          </cell>
          <cell r="F1638" t="str">
            <v>OK</v>
          </cell>
        </row>
        <row r="1639">
          <cell r="C1639" t="str">
            <v>&lt;-- enter valid PB./Acc. # in this cell!</v>
          </cell>
          <cell r="F1639" t="str">
            <v>OK</v>
          </cell>
        </row>
        <row r="1640">
          <cell r="C1640" t="str">
            <v>&lt;-- enter valid PB./Acc. # in this cell!</v>
          </cell>
          <cell r="F1640" t="str">
            <v>OK</v>
          </cell>
        </row>
        <row r="1641">
          <cell r="C1641" t="str">
            <v>&lt;-- enter valid PB./Acc. # in this cell!</v>
          </cell>
          <cell r="F1641" t="str">
            <v>OK</v>
          </cell>
        </row>
        <row r="1642">
          <cell r="C1642" t="str">
            <v>&lt;-- enter valid PB./Acc. # in this cell!</v>
          </cell>
          <cell r="F1642" t="str">
            <v>OK</v>
          </cell>
        </row>
        <row r="1643">
          <cell r="C1643" t="str">
            <v>&lt;-- enter valid PB./Acc. # in this cell!</v>
          </cell>
          <cell r="F1643" t="str">
            <v>OK</v>
          </cell>
        </row>
        <row r="1644">
          <cell r="C1644" t="str">
            <v>&lt;-- enter valid PB./Acc. # in this cell!</v>
          </cell>
          <cell r="F1644" t="str">
            <v>OK</v>
          </cell>
        </row>
        <row r="1645">
          <cell r="C1645" t="str">
            <v>&lt;-- enter valid PB./Acc. # in this cell!</v>
          </cell>
          <cell r="F1645" t="str">
            <v>OK</v>
          </cell>
        </row>
        <row r="1646">
          <cell r="C1646" t="str">
            <v>&lt;-- enter valid PB./Acc. # in this cell!</v>
          </cell>
          <cell r="F1646" t="str">
            <v>OK</v>
          </cell>
        </row>
        <row r="1647">
          <cell r="C1647" t="str">
            <v>&lt;-- enter valid PB./Acc. # in this cell!</v>
          </cell>
          <cell r="F1647" t="str">
            <v>OK</v>
          </cell>
        </row>
        <row r="1648">
          <cell r="C1648" t="str">
            <v>&lt;-- enter valid PB./Acc. # in this cell!</v>
          </cell>
          <cell r="F1648" t="str">
            <v>OK</v>
          </cell>
        </row>
        <row r="1649">
          <cell r="C1649" t="str">
            <v>&lt;-- enter valid PB./Acc. # in this cell!</v>
          </cell>
          <cell r="F1649" t="str">
            <v>OK</v>
          </cell>
        </row>
        <row r="1650">
          <cell r="C1650" t="str">
            <v>&lt;-- enter valid PB./Acc. # in this cell!</v>
          </cell>
          <cell r="F1650" t="str">
            <v>OK</v>
          </cell>
        </row>
        <row r="1651">
          <cell r="C1651" t="str">
            <v>&lt;-- enter valid PB./Acc. # in this cell!</v>
          </cell>
          <cell r="F1651" t="str">
            <v>OK</v>
          </cell>
        </row>
        <row r="1652">
          <cell r="C1652" t="str">
            <v>&lt;-- enter valid PB./Acc. # in this cell!</v>
          </cell>
          <cell r="F1652" t="str">
            <v>OK</v>
          </cell>
        </row>
        <row r="1653">
          <cell r="C1653" t="str">
            <v>&lt;-- enter valid PB./Acc. # in this cell!</v>
          </cell>
          <cell r="F1653" t="str">
            <v>OK</v>
          </cell>
        </row>
        <row r="1654">
          <cell r="C1654" t="str">
            <v>&lt;-- enter valid PB./Acc. # in this cell!</v>
          </cell>
          <cell r="F1654" t="str">
            <v>OK</v>
          </cell>
        </row>
        <row r="1655">
          <cell r="C1655" t="str">
            <v>&lt;-- enter valid PB./Acc. # in this cell!</v>
          </cell>
          <cell r="F1655" t="str">
            <v>OK</v>
          </cell>
        </row>
        <row r="1656">
          <cell r="C1656" t="str">
            <v>&lt;-- enter valid PB./Acc. # in this cell!</v>
          </cell>
          <cell r="F1656" t="str">
            <v>OK</v>
          </cell>
        </row>
        <row r="1657">
          <cell r="C1657" t="str">
            <v>&lt;-- enter valid PB./Acc. # in this cell!</v>
          </cell>
          <cell r="F1657" t="str">
            <v>OK</v>
          </cell>
        </row>
        <row r="1658">
          <cell r="C1658" t="str">
            <v>&lt;-- enter valid PB./Acc. # in this cell!</v>
          </cell>
          <cell r="F1658" t="str">
            <v>OK</v>
          </cell>
        </row>
        <row r="1659">
          <cell r="C1659" t="str">
            <v>&lt;-- enter valid PB./Acc. # in this cell!</v>
          </cell>
          <cell r="F1659" t="str">
            <v>OK</v>
          </cell>
        </row>
        <row r="1660">
          <cell r="C1660" t="str">
            <v>&lt;-- enter valid PB./Acc. # in this cell!</v>
          </cell>
          <cell r="F1660" t="str">
            <v>OK</v>
          </cell>
        </row>
        <row r="1661">
          <cell r="C1661" t="str">
            <v>&lt;-- enter valid PB./Acc. # in this cell!</v>
          </cell>
          <cell r="F1661" t="str">
            <v>OK</v>
          </cell>
        </row>
        <row r="1662">
          <cell r="C1662" t="str">
            <v>&lt;-- enter valid PB./Acc. # in this cell!</v>
          </cell>
          <cell r="F1662" t="str">
            <v>OK</v>
          </cell>
        </row>
        <row r="1663">
          <cell r="C1663" t="str">
            <v>&lt;-- enter valid PB./Acc. # in this cell!</v>
          </cell>
          <cell r="F1663" t="str">
            <v>OK</v>
          </cell>
        </row>
        <row r="1664">
          <cell r="C1664" t="str">
            <v>&lt;-- enter valid PB./Acc. # in this cell!</v>
          </cell>
          <cell r="F1664" t="str">
            <v>OK</v>
          </cell>
        </row>
        <row r="1665">
          <cell r="C1665" t="str">
            <v>&lt;-- enter valid PB./Acc. # in this cell!</v>
          </cell>
          <cell r="F1665" t="str">
            <v>OK</v>
          </cell>
        </row>
        <row r="1666">
          <cell r="C1666" t="str">
            <v>&lt;-- enter valid PB./Acc. # in this cell!</v>
          </cell>
          <cell r="F1666" t="str">
            <v>OK</v>
          </cell>
        </row>
        <row r="1667">
          <cell r="C1667" t="str">
            <v>&lt;-- enter valid PB./Acc. # in this cell!</v>
          </cell>
          <cell r="F1667" t="str">
            <v>OK</v>
          </cell>
        </row>
        <row r="1668">
          <cell r="C1668" t="str">
            <v>&lt;-- enter valid PB./Acc. # in this cell!</v>
          </cell>
          <cell r="F1668" t="str">
            <v>OK</v>
          </cell>
        </row>
        <row r="1669">
          <cell r="C1669" t="str">
            <v>&lt;-- enter valid PB./Acc. # in this cell!</v>
          </cell>
          <cell r="F1669" t="str">
            <v>OK</v>
          </cell>
        </row>
        <row r="1670">
          <cell r="C1670" t="str">
            <v>&lt;-- enter valid PB./Acc. # in this cell!</v>
          </cell>
          <cell r="F1670" t="str">
            <v>OK</v>
          </cell>
        </row>
        <row r="1671">
          <cell r="C1671" t="str">
            <v>&lt;-- enter valid PB./Acc. # in this cell!</v>
          </cell>
          <cell r="F1671" t="str">
            <v>OK</v>
          </cell>
        </row>
        <row r="1672">
          <cell r="C1672" t="str">
            <v>&lt;-- enter valid PB./Acc. # in this cell!</v>
          </cell>
          <cell r="F1672" t="str">
            <v>OK</v>
          </cell>
        </row>
        <row r="1673">
          <cell r="C1673" t="str">
            <v>&lt;-- enter valid PB./Acc. # in this cell!</v>
          </cell>
          <cell r="F1673" t="str">
            <v>OK</v>
          </cell>
        </row>
        <row r="1674">
          <cell r="C1674" t="str">
            <v>&lt;-- enter valid PB./Acc. # in this cell!</v>
          </cell>
          <cell r="F1674" t="str">
            <v>OK</v>
          </cell>
        </row>
        <row r="1675">
          <cell r="C1675" t="str">
            <v>&lt;-- enter valid PB./Acc. # in this cell!</v>
          </cell>
          <cell r="F1675" t="str">
            <v>OK</v>
          </cell>
        </row>
        <row r="1676">
          <cell r="C1676" t="str">
            <v>&lt;-- enter valid PB./Acc. # in this cell!</v>
          </cell>
          <cell r="F1676" t="str">
            <v>OK</v>
          </cell>
        </row>
        <row r="1677">
          <cell r="C1677" t="str">
            <v>&lt;-- enter valid PB./Acc. # in this cell!</v>
          </cell>
          <cell r="F1677" t="str">
            <v>OK</v>
          </cell>
        </row>
        <row r="1678">
          <cell r="C1678" t="str">
            <v>&lt;-- enter valid PB./Acc. # in this cell!</v>
          </cell>
          <cell r="F1678" t="str">
            <v>OK</v>
          </cell>
        </row>
        <row r="1679">
          <cell r="C1679" t="str">
            <v>&lt;-- enter valid PB./Acc. # in this cell!</v>
          </cell>
          <cell r="F1679" t="str">
            <v>OK</v>
          </cell>
        </row>
        <row r="1680">
          <cell r="C1680" t="str">
            <v>&lt;-- enter valid PB./Acc. # in this cell!</v>
          </cell>
          <cell r="F1680" t="str">
            <v>OK</v>
          </cell>
        </row>
        <row r="1681">
          <cell r="C1681" t="str">
            <v>&lt;-- enter valid PB./Acc. # in this cell!</v>
          </cell>
          <cell r="F1681" t="str">
            <v>OK</v>
          </cell>
        </row>
        <row r="1682">
          <cell r="C1682" t="str">
            <v>&lt;-- enter valid PB./Acc. # in this cell!</v>
          </cell>
          <cell r="F1682" t="str">
            <v>OK</v>
          </cell>
        </row>
        <row r="1683">
          <cell r="C1683" t="str">
            <v>&lt;-- enter valid PB./Acc. # in this cell!</v>
          </cell>
          <cell r="F1683" t="str">
            <v>OK</v>
          </cell>
        </row>
        <row r="1684">
          <cell r="C1684" t="str">
            <v>&lt;-- enter valid PB./Acc. # in this cell!</v>
          </cell>
          <cell r="F1684" t="str">
            <v>OK</v>
          </cell>
        </row>
        <row r="1685">
          <cell r="C1685" t="str">
            <v>&lt;-- enter valid PB./Acc. # in this cell!</v>
          </cell>
          <cell r="F1685" t="str">
            <v>OK</v>
          </cell>
        </row>
        <row r="1686">
          <cell r="C1686" t="str">
            <v>&lt;-- enter valid PB./Acc. # in this cell!</v>
          </cell>
          <cell r="F1686" t="str">
            <v>OK</v>
          </cell>
        </row>
        <row r="1687">
          <cell r="C1687" t="str">
            <v>&lt;-- enter valid PB./Acc. # in this cell!</v>
          </cell>
          <cell r="F1687" t="str">
            <v>OK</v>
          </cell>
        </row>
        <row r="1688">
          <cell r="C1688" t="str">
            <v>&lt;-- enter valid PB./Acc. # in this cell!</v>
          </cell>
          <cell r="F1688" t="str">
            <v>OK</v>
          </cell>
        </row>
        <row r="1689">
          <cell r="C1689" t="str">
            <v>&lt;-- enter valid PB./Acc. # in this cell!</v>
          </cell>
          <cell r="F1689" t="str">
            <v>OK</v>
          </cell>
        </row>
        <row r="1690">
          <cell r="C1690" t="str">
            <v>&lt;-- enter valid PB./Acc. # in this cell!</v>
          </cell>
          <cell r="F1690" t="str">
            <v>OK</v>
          </cell>
        </row>
        <row r="1691">
          <cell r="C1691" t="str">
            <v>&lt;-- enter valid PB./Acc. # in this cell!</v>
          </cell>
          <cell r="F1691" t="str">
            <v>OK</v>
          </cell>
        </row>
        <row r="1692">
          <cell r="C1692" t="str">
            <v>&lt;-- enter valid PB./Acc. # in this cell!</v>
          </cell>
          <cell r="F1692" t="str">
            <v>OK</v>
          </cell>
        </row>
        <row r="1693">
          <cell r="C1693" t="str">
            <v>&lt;-- enter valid PB./Acc. # in this cell!</v>
          </cell>
          <cell r="F1693" t="str">
            <v>OK</v>
          </cell>
        </row>
        <row r="1694">
          <cell r="C1694" t="str">
            <v>&lt;-- enter valid PB./Acc. # in this cell!</v>
          </cell>
          <cell r="F1694" t="str">
            <v>OK</v>
          </cell>
        </row>
        <row r="1695">
          <cell r="C1695" t="str">
            <v>&lt;-- enter valid PB./Acc. # in this cell!</v>
          </cell>
          <cell r="F1695" t="str">
            <v>OK</v>
          </cell>
        </row>
        <row r="1696">
          <cell r="C1696" t="str">
            <v>&lt;-- enter valid PB./Acc. # in this cell!</v>
          </cell>
          <cell r="F1696" t="str">
            <v>OK</v>
          </cell>
        </row>
        <row r="1697">
          <cell r="C1697" t="str">
            <v>&lt;-- enter valid PB./Acc. # in this cell!</v>
          </cell>
          <cell r="F1697" t="str">
            <v>OK</v>
          </cell>
        </row>
        <row r="1698">
          <cell r="C1698" t="str">
            <v>&lt;-- enter valid PB./Acc. # in this cell!</v>
          </cell>
          <cell r="F1698" t="str">
            <v>OK</v>
          </cell>
        </row>
        <row r="1699">
          <cell r="C1699" t="str">
            <v>&lt;-- enter valid PB./Acc. # in this cell!</v>
          </cell>
          <cell r="F1699" t="str">
            <v>OK</v>
          </cell>
        </row>
        <row r="1700">
          <cell r="C1700" t="str">
            <v>&lt;-- enter valid PB./Acc. # in this cell!</v>
          </cell>
          <cell r="F1700" t="str">
            <v>OK</v>
          </cell>
        </row>
        <row r="1701">
          <cell r="C1701" t="str">
            <v>&lt;-- enter valid PB./Acc. # in this cell!</v>
          </cell>
          <cell r="F1701" t="str">
            <v>OK</v>
          </cell>
        </row>
        <row r="1702">
          <cell r="C1702" t="str">
            <v>&lt;-- enter valid PB./Acc. # in this cell!</v>
          </cell>
          <cell r="F1702" t="str">
            <v>OK</v>
          </cell>
        </row>
        <row r="1703">
          <cell r="C1703" t="str">
            <v>&lt;-- enter valid PB./Acc. # in this cell!</v>
          </cell>
          <cell r="F1703" t="str">
            <v>OK</v>
          </cell>
        </row>
        <row r="1704">
          <cell r="C1704" t="str">
            <v>&lt;-- enter valid PB./Acc. # in this cell!</v>
          </cell>
          <cell r="F1704" t="str">
            <v>OK</v>
          </cell>
        </row>
        <row r="1705">
          <cell r="C1705" t="str">
            <v>&lt;-- enter valid PB./Acc. # in this cell!</v>
          </cell>
          <cell r="F1705" t="str">
            <v>OK</v>
          </cell>
        </row>
        <row r="1706">
          <cell r="C1706" t="str">
            <v>&lt;-- enter valid PB./Acc. # in this cell!</v>
          </cell>
          <cell r="F1706" t="str">
            <v>OK</v>
          </cell>
        </row>
        <row r="1707">
          <cell r="C1707" t="str">
            <v>&lt;-- enter valid PB./Acc. # in this cell!</v>
          </cell>
          <cell r="F1707" t="str">
            <v>OK</v>
          </cell>
        </row>
        <row r="1708">
          <cell r="C1708" t="str">
            <v>&lt;-- enter valid PB./Acc. # in this cell!</v>
          </cell>
          <cell r="F1708" t="str">
            <v>OK</v>
          </cell>
        </row>
        <row r="1709">
          <cell r="C1709" t="str">
            <v>&lt;-- enter valid PB./Acc. # in this cell!</v>
          </cell>
          <cell r="F1709" t="str">
            <v>OK</v>
          </cell>
        </row>
        <row r="1710">
          <cell r="C1710" t="str">
            <v>&lt;-- enter valid PB./Acc. # in this cell!</v>
          </cell>
          <cell r="F1710" t="str">
            <v>OK</v>
          </cell>
        </row>
        <row r="1711">
          <cell r="C1711" t="str">
            <v>&lt;-- enter valid PB./Acc. # in this cell!</v>
          </cell>
          <cell r="F1711" t="str">
            <v>OK</v>
          </cell>
        </row>
        <row r="1712">
          <cell r="C1712" t="str">
            <v>&lt;-- enter valid PB./Acc. # in this cell!</v>
          </cell>
          <cell r="F1712" t="str">
            <v>OK</v>
          </cell>
        </row>
        <row r="1713">
          <cell r="C1713" t="str">
            <v>&lt;-- enter valid PB./Acc. # in this cell!</v>
          </cell>
          <cell r="F1713" t="str">
            <v>OK</v>
          </cell>
        </row>
        <row r="1714">
          <cell r="C1714" t="str">
            <v>&lt;-- enter valid PB./Acc. # in this cell!</v>
          </cell>
          <cell r="F1714" t="str">
            <v>OK</v>
          </cell>
        </row>
        <row r="1715">
          <cell r="C1715" t="str">
            <v>&lt;-- enter valid PB./Acc. # in this cell!</v>
          </cell>
          <cell r="F1715" t="str">
            <v>OK</v>
          </cell>
        </row>
        <row r="1716">
          <cell r="C1716" t="str">
            <v>&lt;-- enter valid PB./Acc. # in this cell!</v>
          </cell>
          <cell r="F1716" t="str">
            <v>OK</v>
          </cell>
        </row>
        <row r="1717">
          <cell r="C1717" t="str">
            <v>&lt;-- enter valid PB./Acc. # in this cell!</v>
          </cell>
          <cell r="F1717" t="str">
            <v>OK</v>
          </cell>
        </row>
        <row r="1718">
          <cell r="C1718" t="str">
            <v>&lt;-- enter valid PB./Acc. # in this cell!</v>
          </cell>
          <cell r="F1718" t="str">
            <v>OK</v>
          </cell>
        </row>
        <row r="1719">
          <cell r="C1719" t="str">
            <v>&lt;-- enter valid PB./Acc. # in this cell!</v>
          </cell>
          <cell r="F1719" t="str">
            <v>OK</v>
          </cell>
        </row>
        <row r="1720">
          <cell r="C1720" t="str">
            <v>&lt;-- enter valid PB./Acc. # in this cell!</v>
          </cell>
          <cell r="F1720" t="str">
            <v>OK</v>
          </cell>
        </row>
        <row r="1721">
          <cell r="C1721" t="str">
            <v>&lt;-- enter valid PB./Acc. # in this cell!</v>
          </cell>
          <cell r="F1721" t="str">
            <v>OK</v>
          </cell>
        </row>
        <row r="1722">
          <cell r="C1722" t="str">
            <v>&lt;-- enter valid PB./Acc. # in this cell!</v>
          </cell>
          <cell r="F1722" t="str">
            <v>OK</v>
          </cell>
        </row>
        <row r="1723">
          <cell r="C1723" t="str">
            <v>&lt;-- enter valid PB./Acc. # in this cell!</v>
          </cell>
          <cell r="F1723" t="str">
            <v>OK</v>
          </cell>
        </row>
        <row r="1724">
          <cell r="C1724" t="str">
            <v>&lt;-- enter valid PB./Acc. # in this cell!</v>
          </cell>
          <cell r="F1724" t="str">
            <v>OK</v>
          </cell>
        </row>
        <row r="1725">
          <cell r="C1725" t="str">
            <v>&lt;-- enter valid PB./Acc. # in this cell!</v>
          </cell>
          <cell r="F1725" t="str">
            <v>OK</v>
          </cell>
        </row>
        <row r="1726">
          <cell r="C1726" t="str">
            <v>&lt;-- enter valid PB./Acc. # in this cell!</v>
          </cell>
          <cell r="F1726" t="str">
            <v>OK</v>
          </cell>
        </row>
        <row r="1727">
          <cell r="C1727" t="str">
            <v>&lt;-- enter valid PB./Acc. # in this cell!</v>
          </cell>
          <cell r="F1727" t="str">
            <v>OK</v>
          </cell>
        </row>
        <row r="1728">
          <cell r="C1728" t="str">
            <v>&lt;-- enter valid PB./Acc. # in this cell!</v>
          </cell>
          <cell r="F1728" t="str">
            <v>OK</v>
          </cell>
        </row>
        <row r="1729">
          <cell r="C1729" t="str">
            <v>&lt;-- enter valid PB./Acc. # in this cell!</v>
          </cell>
          <cell r="F1729" t="str">
            <v>OK</v>
          </cell>
        </row>
        <row r="1730">
          <cell r="C1730" t="str">
            <v>&lt;-- enter valid PB./Acc. # in this cell!</v>
          </cell>
          <cell r="F1730" t="str">
            <v>OK</v>
          </cell>
        </row>
        <row r="1731">
          <cell r="C1731" t="str">
            <v>&lt;-- enter valid PB./Acc. # in this cell!</v>
          </cell>
          <cell r="F1731" t="str">
            <v>OK</v>
          </cell>
        </row>
        <row r="1732">
          <cell r="C1732" t="str">
            <v>&lt;-- enter valid PB./Acc. # in this cell!</v>
          </cell>
          <cell r="F1732" t="str">
            <v>OK</v>
          </cell>
        </row>
        <row r="1733">
          <cell r="C1733" t="str">
            <v>&lt;-- enter valid PB./Acc. # in this cell!</v>
          </cell>
          <cell r="F1733" t="str">
            <v>OK</v>
          </cell>
        </row>
        <row r="1734">
          <cell r="C1734" t="str">
            <v>&lt;-- enter valid PB./Acc. # in this cell!</v>
          </cell>
          <cell r="F1734" t="str">
            <v>OK</v>
          </cell>
        </row>
        <row r="1735">
          <cell r="C1735" t="str">
            <v>&lt;-- enter valid PB./Acc. # in this cell!</v>
          </cell>
          <cell r="F1735" t="str">
            <v>OK</v>
          </cell>
        </row>
        <row r="1736">
          <cell r="C1736" t="str">
            <v>&lt;-- enter valid PB./Acc. # in this cell!</v>
          </cell>
          <cell r="F1736" t="str">
            <v>OK</v>
          </cell>
        </row>
        <row r="1737">
          <cell r="C1737" t="str">
            <v>&lt;-- enter valid PB./Acc. # in this cell!</v>
          </cell>
          <cell r="F1737" t="str">
            <v>OK</v>
          </cell>
        </row>
        <row r="1738">
          <cell r="C1738" t="str">
            <v>&lt;-- enter valid PB./Acc. # in this cell!</v>
          </cell>
          <cell r="F1738" t="str">
            <v>OK</v>
          </cell>
        </row>
        <row r="1739">
          <cell r="C1739" t="str">
            <v>&lt;-- enter valid PB./Acc. # in this cell!</v>
          </cell>
          <cell r="F1739" t="str">
            <v>OK</v>
          </cell>
        </row>
        <row r="1740">
          <cell r="C1740" t="str">
            <v>&lt;-- enter valid PB./Acc. # in this cell!</v>
          </cell>
          <cell r="F1740" t="str">
            <v>OK</v>
          </cell>
        </row>
        <row r="1741">
          <cell r="C1741" t="str">
            <v>&lt;-- enter valid PB./Acc. # in this cell!</v>
          </cell>
          <cell r="F1741" t="str">
            <v>OK</v>
          </cell>
        </row>
        <row r="1742">
          <cell r="C1742" t="str">
            <v>&lt;-- enter valid PB./Acc. # in this cell!</v>
          </cell>
          <cell r="F1742" t="str">
            <v>OK</v>
          </cell>
        </row>
        <row r="1743">
          <cell r="C1743" t="str">
            <v>&lt;-- enter valid PB./Acc. # in this cell!</v>
          </cell>
          <cell r="F1743" t="str">
            <v>OK</v>
          </cell>
        </row>
        <row r="1744">
          <cell r="C1744" t="str">
            <v>&lt;-- enter valid PB./Acc. # in this cell!</v>
          </cell>
          <cell r="F1744" t="str">
            <v>OK</v>
          </cell>
        </row>
        <row r="1745">
          <cell r="C1745" t="str">
            <v>&lt;-- enter valid PB./Acc. # in this cell!</v>
          </cell>
          <cell r="F1745" t="str">
            <v>OK</v>
          </cell>
        </row>
        <row r="1746">
          <cell r="C1746" t="str">
            <v>&lt;-- enter valid PB./Acc. # in this cell!</v>
          </cell>
          <cell r="F1746" t="str">
            <v>OK</v>
          </cell>
        </row>
        <row r="1747">
          <cell r="C1747" t="str">
            <v>&lt;-- enter valid PB./Acc. # in this cell!</v>
          </cell>
          <cell r="F1747" t="str">
            <v>OK</v>
          </cell>
        </row>
        <row r="1748">
          <cell r="C1748" t="str">
            <v>&lt;-- enter valid PB./Acc. # in this cell!</v>
          </cell>
          <cell r="F1748" t="str">
            <v>OK</v>
          </cell>
        </row>
        <row r="1749">
          <cell r="C1749" t="str">
            <v>&lt;-- enter valid PB./Acc. # in this cell!</v>
          </cell>
          <cell r="F1749" t="str">
            <v>OK</v>
          </cell>
        </row>
        <row r="1750">
          <cell r="C1750" t="str">
            <v>&lt;-- enter valid PB./Acc. # in this cell!</v>
          </cell>
          <cell r="F1750" t="str">
            <v>OK</v>
          </cell>
        </row>
        <row r="1751">
          <cell r="C1751" t="str">
            <v>&lt;-- enter valid PB./Acc. # in this cell!</v>
          </cell>
          <cell r="F1751" t="str">
            <v>OK</v>
          </cell>
        </row>
        <row r="1752">
          <cell r="C1752" t="str">
            <v>&lt;-- enter valid PB./Acc. # in this cell!</v>
          </cell>
          <cell r="F1752" t="str">
            <v>OK</v>
          </cell>
        </row>
        <row r="1753">
          <cell r="C1753" t="str">
            <v>&lt;-- enter valid PB./Acc. # in this cell!</v>
          </cell>
          <cell r="F1753" t="str">
            <v>OK</v>
          </cell>
        </row>
        <row r="1754">
          <cell r="C1754" t="str">
            <v>&lt;-- enter valid PB./Acc. # in this cell!</v>
          </cell>
          <cell r="F1754" t="str">
            <v>OK</v>
          </cell>
        </row>
        <row r="1755">
          <cell r="C1755" t="str">
            <v>&lt;-- enter valid PB./Acc. # in this cell!</v>
          </cell>
          <cell r="F1755" t="str">
            <v>OK</v>
          </cell>
        </row>
        <row r="1756">
          <cell r="C1756" t="str">
            <v>&lt;-- enter valid PB./Acc. # in this cell!</v>
          </cell>
          <cell r="F1756" t="str">
            <v>OK</v>
          </cell>
        </row>
        <row r="1757">
          <cell r="C1757" t="str">
            <v>&lt;-- enter valid PB./Acc. # in this cell!</v>
          </cell>
          <cell r="F1757" t="str">
            <v>OK</v>
          </cell>
        </row>
        <row r="1758">
          <cell r="C1758" t="str">
            <v>&lt;-- enter valid PB./Acc. # in this cell!</v>
          </cell>
          <cell r="F1758" t="str">
            <v>OK</v>
          </cell>
        </row>
        <row r="1759">
          <cell r="C1759" t="str">
            <v>&lt;-- enter valid PB./Acc. # in this cell!</v>
          </cell>
          <cell r="F1759" t="str">
            <v>OK</v>
          </cell>
        </row>
        <row r="1760">
          <cell r="C1760" t="str">
            <v>&lt;-- enter valid PB./Acc. # in this cell!</v>
          </cell>
          <cell r="F1760" t="str">
            <v>OK</v>
          </cell>
        </row>
        <row r="1761">
          <cell r="C1761" t="str">
            <v>&lt;-- enter valid PB./Acc. # in this cell!</v>
          </cell>
          <cell r="F1761" t="str">
            <v>OK</v>
          </cell>
        </row>
        <row r="1762">
          <cell r="C1762" t="str">
            <v>&lt;-- enter valid PB./Acc. # in this cell!</v>
          </cell>
          <cell r="F1762" t="str">
            <v>OK</v>
          </cell>
        </row>
        <row r="1763">
          <cell r="C1763" t="str">
            <v>&lt;-- enter valid PB./Acc. # in this cell!</v>
          </cell>
          <cell r="F1763" t="str">
            <v>OK</v>
          </cell>
        </row>
        <row r="1764">
          <cell r="C1764" t="str">
            <v>&lt;-- enter valid PB./Acc. # in this cell!</v>
          </cell>
          <cell r="F1764" t="str">
            <v>OK</v>
          </cell>
        </row>
        <row r="1765">
          <cell r="C1765" t="str">
            <v>&lt;-- enter valid PB./Acc. # in this cell!</v>
          </cell>
          <cell r="F1765" t="str">
            <v>OK</v>
          </cell>
        </row>
        <row r="1766">
          <cell r="C1766" t="str">
            <v>&lt;-- enter valid PB./Acc. # in this cell!</v>
          </cell>
          <cell r="F1766" t="str">
            <v>OK</v>
          </cell>
        </row>
        <row r="1767">
          <cell r="C1767" t="str">
            <v>&lt;-- enter valid PB./Acc. # in this cell!</v>
          </cell>
          <cell r="F1767" t="str">
            <v>OK</v>
          </cell>
        </row>
        <row r="1768">
          <cell r="C1768" t="str">
            <v>&lt;-- enter valid PB./Acc. # in this cell!</v>
          </cell>
          <cell r="F1768" t="str">
            <v>OK</v>
          </cell>
        </row>
        <row r="1769">
          <cell r="C1769" t="str">
            <v>&lt;-- enter valid PB./Acc. # in this cell!</v>
          </cell>
          <cell r="F1769" t="str">
            <v>OK</v>
          </cell>
        </row>
        <row r="1770">
          <cell r="C1770" t="str">
            <v>&lt;-- enter valid PB./Acc. # in this cell!</v>
          </cell>
          <cell r="F1770" t="str">
            <v>OK</v>
          </cell>
        </row>
        <row r="1771">
          <cell r="C1771" t="str">
            <v>&lt;-- enter valid PB./Acc. # in this cell!</v>
          </cell>
          <cell r="F1771" t="str">
            <v>OK</v>
          </cell>
        </row>
        <row r="1772">
          <cell r="C1772" t="str">
            <v>&lt;-- enter valid PB./Acc. # in this cell!</v>
          </cell>
          <cell r="F1772" t="str">
            <v>OK</v>
          </cell>
        </row>
        <row r="1773">
          <cell r="C1773" t="str">
            <v>&lt;-- enter valid PB./Acc. # in this cell!</v>
          </cell>
          <cell r="F1773" t="str">
            <v>OK</v>
          </cell>
        </row>
        <row r="1774">
          <cell r="C1774" t="str">
            <v>&lt;-- enter valid PB./Acc. # in this cell!</v>
          </cell>
          <cell r="F1774" t="str">
            <v>OK</v>
          </cell>
        </row>
        <row r="1775">
          <cell r="C1775" t="str">
            <v>&lt;-- enter valid PB./Acc. # in this cell!</v>
          </cell>
          <cell r="F1775" t="str">
            <v>OK</v>
          </cell>
        </row>
        <row r="1776">
          <cell r="C1776" t="str">
            <v>&lt;-- enter valid PB./Acc. # in this cell!</v>
          </cell>
          <cell r="F1776" t="str">
            <v>OK</v>
          </cell>
        </row>
        <row r="1777">
          <cell r="C1777" t="str">
            <v>&lt;-- enter valid PB./Acc. # in this cell!</v>
          </cell>
          <cell r="F1777" t="str">
            <v>OK</v>
          </cell>
        </row>
        <row r="1778">
          <cell r="C1778" t="str">
            <v>&lt;-- enter valid PB./Acc. # in this cell!</v>
          </cell>
          <cell r="F1778" t="str">
            <v>OK</v>
          </cell>
        </row>
        <row r="1779">
          <cell r="C1779" t="str">
            <v>&lt;-- enter valid PB./Acc. # in this cell!</v>
          </cell>
          <cell r="F1779" t="str">
            <v>OK</v>
          </cell>
        </row>
        <row r="1780">
          <cell r="C1780" t="str">
            <v>&lt;-- enter valid PB./Acc. # in this cell!</v>
          </cell>
          <cell r="F1780" t="str">
            <v>OK</v>
          </cell>
        </row>
        <row r="1781">
          <cell r="C1781" t="str">
            <v>&lt;-- enter valid PB./Acc. # in this cell!</v>
          </cell>
          <cell r="F1781" t="str">
            <v>OK</v>
          </cell>
        </row>
        <row r="1782">
          <cell r="C1782" t="str">
            <v>&lt;-- enter valid PB./Acc. # in this cell!</v>
          </cell>
          <cell r="F1782" t="str">
            <v>OK</v>
          </cell>
        </row>
        <row r="1783">
          <cell r="C1783" t="str">
            <v>&lt;-- enter valid PB./Acc. # in this cell!</v>
          </cell>
          <cell r="F1783" t="str">
            <v>OK</v>
          </cell>
        </row>
        <row r="1784">
          <cell r="C1784" t="str">
            <v>&lt;-- enter valid PB./Acc. # in this cell!</v>
          </cell>
          <cell r="F1784" t="str">
            <v>OK</v>
          </cell>
        </row>
        <row r="1785">
          <cell r="C1785" t="str">
            <v>&lt;-- enter valid PB./Acc. # in this cell!</v>
          </cell>
          <cell r="F1785" t="str">
            <v>OK</v>
          </cell>
        </row>
        <row r="1786">
          <cell r="C1786" t="str">
            <v>&lt;-- enter valid PB./Acc. # in this cell!</v>
          </cell>
          <cell r="F1786" t="str">
            <v>OK</v>
          </cell>
        </row>
        <row r="1787">
          <cell r="C1787" t="str">
            <v>&lt;-- enter valid PB./Acc. # in this cell!</v>
          </cell>
          <cell r="F1787" t="str">
            <v>OK</v>
          </cell>
        </row>
        <row r="1788">
          <cell r="C1788" t="str">
            <v>&lt;-- enter valid PB./Acc. # in this cell!</v>
          </cell>
          <cell r="F1788" t="str">
            <v>OK</v>
          </cell>
        </row>
        <row r="1789">
          <cell r="C1789" t="str">
            <v>&lt;-- enter valid PB./Acc. # in this cell!</v>
          </cell>
          <cell r="F1789" t="str">
            <v>OK</v>
          </cell>
        </row>
        <row r="1790">
          <cell r="C1790" t="str">
            <v>&lt;-- enter valid PB./Acc. # in this cell!</v>
          </cell>
          <cell r="F1790" t="str">
            <v>OK</v>
          </cell>
        </row>
        <row r="1791">
          <cell r="C1791" t="str">
            <v>&lt;-- enter valid PB./Acc. # in this cell!</v>
          </cell>
          <cell r="F1791" t="str">
            <v>OK</v>
          </cell>
        </row>
        <row r="1792">
          <cell r="C1792" t="str">
            <v>&lt;-- enter valid PB./Acc. # in this cell!</v>
          </cell>
          <cell r="F1792" t="str">
            <v>OK</v>
          </cell>
        </row>
        <row r="1793">
          <cell r="C1793" t="str">
            <v>&lt;-- enter valid PB./Acc. # in this cell!</v>
          </cell>
          <cell r="F1793" t="str">
            <v>OK</v>
          </cell>
        </row>
        <row r="1794">
          <cell r="C1794" t="str">
            <v>&lt;-- enter valid PB./Acc. # in this cell!</v>
          </cell>
          <cell r="F1794" t="str">
            <v>OK</v>
          </cell>
        </row>
        <row r="1795">
          <cell r="C1795" t="str">
            <v>&lt;-- enter valid PB./Acc. # in this cell!</v>
          </cell>
          <cell r="F1795" t="str">
            <v>OK</v>
          </cell>
        </row>
        <row r="1796">
          <cell r="C1796" t="str">
            <v>&lt;-- enter valid PB./Acc. # in this cell!</v>
          </cell>
          <cell r="F1796" t="str">
            <v>OK</v>
          </cell>
        </row>
        <row r="1797">
          <cell r="C1797" t="str">
            <v>&lt;-- enter valid PB./Acc. # in this cell!</v>
          </cell>
          <cell r="F1797" t="str">
            <v>OK</v>
          </cell>
        </row>
        <row r="1798">
          <cell r="C1798" t="str">
            <v>&lt;-- enter valid PB./Acc. # in this cell!</v>
          </cell>
          <cell r="F1798" t="str">
            <v>OK</v>
          </cell>
        </row>
        <row r="1799">
          <cell r="C1799" t="str">
            <v>&lt;-- enter valid PB./Acc. # in this cell!</v>
          </cell>
          <cell r="F1799" t="str">
            <v>OK</v>
          </cell>
        </row>
        <row r="1800">
          <cell r="A1800" t="str">
            <v>Total Balances of December 2015</v>
          </cell>
          <cell r="F1800" t="str">
            <v>OK</v>
          </cell>
          <cell r="G1800">
            <v>0</v>
          </cell>
          <cell r="H1800">
            <v>0</v>
          </cell>
          <cell r="I1800">
            <v>0</v>
          </cell>
          <cell r="J1800">
            <v>0</v>
          </cell>
          <cell r="K1800">
            <v>0</v>
          </cell>
          <cell r="L1800">
            <v>0</v>
          </cell>
          <cell r="M1800">
            <v>0</v>
          </cell>
          <cell r="N1800">
            <v>0</v>
          </cell>
          <cell r="O1800">
            <v>0</v>
          </cell>
          <cell r="P1800">
            <v>0</v>
          </cell>
          <cell r="Q1800">
            <v>0</v>
          </cell>
          <cell r="R1800">
            <v>0</v>
          </cell>
          <cell r="S1800">
            <v>0</v>
          </cell>
          <cell r="T1800">
            <v>0</v>
          </cell>
          <cell r="AQ1800">
            <v>0</v>
          </cell>
        </row>
        <row r="1801">
          <cell r="A1801">
            <v>42400</v>
          </cell>
        </row>
        <row r="1802">
          <cell r="C1802" t="str">
            <v>&lt;-- enter valid PB./Acc. # in this cell!</v>
          </cell>
          <cell r="F1802" t="str">
            <v>OK</v>
          </cell>
        </row>
        <row r="1803">
          <cell r="C1803" t="str">
            <v>&lt;-- enter valid PB./Acc. # in this cell!</v>
          </cell>
          <cell r="F1803" t="str">
            <v>OK</v>
          </cell>
        </row>
        <row r="1804">
          <cell r="C1804" t="str">
            <v>&lt;-- enter valid PB./Acc. # in this cell!</v>
          </cell>
          <cell r="F1804" t="str">
            <v>OK</v>
          </cell>
        </row>
        <row r="1805">
          <cell r="C1805" t="str">
            <v>&lt;-- enter valid PB./Acc. # in this cell!</v>
          </cell>
          <cell r="F1805" t="str">
            <v>OK</v>
          </cell>
        </row>
        <row r="1806">
          <cell r="C1806" t="str">
            <v>&lt;-- enter valid PB./Acc. # in this cell!</v>
          </cell>
          <cell r="F1806" t="str">
            <v>OK</v>
          </cell>
        </row>
        <row r="1807">
          <cell r="C1807" t="str">
            <v>&lt;-- enter valid PB./Acc. # in this cell!</v>
          </cell>
          <cell r="F1807" t="str">
            <v>OK</v>
          </cell>
        </row>
        <row r="1808">
          <cell r="C1808" t="str">
            <v>&lt;-- enter valid PB./Acc. # in this cell!</v>
          </cell>
          <cell r="F1808" t="str">
            <v>OK</v>
          </cell>
        </row>
        <row r="1809">
          <cell r="C1809" t="str">
            <v>&lt;-- enter valid PB./Acc. # in this cell!</v>
          </cell>
          <cell r="F1809" t="str">
            <v>OK</v>
          </cell>
        </row>
        <row r="1810">
          <cell r="C1810" t="str">
            <v>&lt;-- enter valid PB./Acc. # in this cell!</v>
          </cell>
          <cell r="F1810" t="str">
            <v>OK</v>
          </cell>
        </row>
        <row r="1811">
          <cell r="C1811" t="str">
            <v>&lt;-- enter valid PB./Acc. # in this cell!</v>
          </cell>
          <cell r="F1811" t="str">
            <v>OK</v>
          </cell>
        </row>
        <row r="1812">
          <cell r="C1812" t="str">
            <v>&lt;-- enter valid PB./Acc. # in this cell!</v>
          </cell>
          <cell r="F1812" t="str">
            <v>OK</v>
          </cell>
        </row>
        <row r="1813">
          <cell r="C1813" t="str">
            <v>&lt;-- enter valid PB./Acc. # in this cell!</v>
          </cell>
          <cell r="F1813" t="str">
            <v>OK</v>
          </cell>
        </row>
        <row r="1814">
          <cell r="C1814" t="str">
            <v>&lt;-- enter valid PB./Acc. # in this cell!</v>
          </cell>
          <cell r="F1814" t="str">
            <v>OK</v>
          </cell>
        </row>
        <row r="1815">
          <cell r="C1815" t="str">
            <v>&lt;-- enter valid PB./Acc. # in this cell!</v>
          </cell>
          <cell r="F1815" t="str">
            <v>OK</v>
          </cell>
        </row>
        <row r="1816">
          <cell r="C1816" t="str">
            <v>&lt;-- enter valid PB./Acc. # in this cell!</v>
          </cell>
          <cell r="F1816" t="str">
            <v>OK</v>
          </cell>
        </row>
        <row r="1817">
          <cell r="C1817" t="str">
            <v>&lt;-- enter valid PB./Acc. # in this cell!</v>
          </cell>
          <cell r="F1817" t="str">
            <v>OK</v>
          </cell>
        </row>
        <row r="1818">
          <cell r="C1818" t="str">
            <v>&lt;-- enter valid PB./Acc. # in this cell!</v>
          </cell>
          <cell r="F1818" t="str">
            <v>OK</v>
          </cell>
        </row>
        <row r="1819">
          <cell r="C1819" t="str">
            <v>&lt;-- enter valid PB./Acc. # in this cell!</v>
          </cell>
          <cell r="F1819" t="str">
            <v>OK</v>
          </cell>
        </row>
        <row r="1820">
          <cell r="C1820" t="str">
            <v>&lt;-- enter valid PB./Acc. # in this cell!</v>
          </cell>
          <cell r="F1820" t="str">
            <v>OK</v>
          </cell>
        </row>
        <row r="1821">
          <cell r="C1821" t="str">
            <v>&lt;-- enter valid PB./Acc. # in this cell!</v>
          </cell>
          <cell r="F1821" t="str">
            <v>OK</v>
          </cell>
        </row>
        <row r="1822">
          <cell r="C1822" t="str">
            <v>&lt;-- enter valid PB./Acc. # in this cell!</v>
          </cell>
          <cell r="F1822" t="str">
            <v>OK</v>
          </cell>
        </row>
        <row r="1823">
          <cell r="C1823" t="str">
            <v>&lt;-- enter valid PB./Acc. # in this cell!</v>
          </cell>
          <cell r="F1823" t="str">
            <v>OK</v>
          </cell>
        </row>
        <row r="1824">
          <cell r="C1824" t="str">
            <v>&lt;-- enter valid PB./Acc. # in this cell!</v>
          </cell>
          <cell r="F1824" t="str">
            <v>OK</v>
          </cell>
        </row>
        <row r="1825">
          <cell r="C1825" t="str">
            <v>&lt;-- enter valid PB./Acc. # in this cell!</v>
          </cell>
          <cell r="F1825" t="str">
            <v>OK</v>
          </cell>
        </row>
        <row r="1826">
          <cell r="C1826" t="str">
            <v>&lt;-- enter valid PB./Acc. # in this cell!</v>
          </cell>
          <cell r="F1826" t="str">
            <v>OK</v>
          </cell>
        </row>
        <row r="1827">
          <cell r="C1827" t="str">
            <v>&lt;-- enter valid PB./Acc. # in this cell!</v>
          </cell>
          <cell r="F1827" t="str">
            <v>OK</v>
          </cell>
        </row>
        <row r="1828">
          <cell r="C1828" t="str">
            <v>&lt;-- enter valid PB./Acc. # in this cell!</v>
          </cell>
          <cell r="F1828" t="str">
            <v>OK</v>
          </cell>
        </row>
        <row r="1829">
          <cell r="C1829" t="str">
            <v>&lt;-- enter valid PB./Acc. # in this cell!</v>
          </cell>
          <cell r="F1829" t="str">
            <v>OK</v>
          </cell>
        </row>
        <row r="1830">
          <cell r="C1830" t="str">
            <v>&lt;-- enter valid PB./Acc. # in this cell!</v>
          </cell>
          <cell r="F1830" t="str">
            <v>OK</v>
          </cell>
        </row>
        <row r="1831">
          <cell r="C1831" t="str">
            <v>&lt;-- enter valid PB./Acc. # in this cell!</v>
          </cell>
          <cell r="F1831" t="str">
            <v>OK</v>
          </cell>
        </row>
        <row r="1832">
          <cell r="C1832" t="str">
            <v>&lt;-- enter valid PB./Acc. # in this cell!</v>
          </cell>
          <cell r="F1832" t="str">
            <v>OK</v>
          </cell>
        </row>
        <row r="1833">
          <cell r="C1833" t="str">
            <v>&lt;-- enter valid PB./Acc. # in this cell!</v>
          </cell>
          <cell r="F1833" t="str">
            <v>OK</v>
          </cell>
        </row>
        <row r="1834">
          <cell r="C1834" t="str">
            <v>&lt;-- enter valid PB./Acc. # in this cell!</v>
          </cell>
          <cell r="F1834" t="str">
            <v>OK</v>
          </cell>
        </row>
        <row r="1835">
          <cell r="C1835" t="str">
            <v>&lt;-- enter valid PB./Acc. # in this cell!</v>
          </cell>
          <cell r="F1835" t="str">
            <v>OK</v>
          </cell>
        </row>
        <row r="1836">
          <cell r="C1836" t="str">
            <v>&lt;-- enter valid PB./Acc. # in this cell!</v>
          </cell>
          <cell r="F1836" t="str">
            <v>OK</v>
          </cell>
        </row>
        <row r="1837">
          <cell r="C1837" t="str">
            <v>&lt;-- enter valid PB./Acc. # in this cell!</v>
          </cell>
          <cell r="F1837" t="str">
            <v>OK</v>
          </cell>
        </row>
        <row r="1838">
          <cell r="C1838" t="str">
            <v>&lt;-- enter valid PB./Acc. # in this cell!</v>
          </cell>
          <cell r="F1838" t="str">
            <v>OK</v>
          </cell>
        </row>
        <row r="1839">
          <cell r="C1839" t="str">
            <v>&lt;-- enter valid PB./Acc. # in this cell!</v>
          </cell>
          <cell r="F1839" t="str">
            <v>OK</v>
          </cell>
        </row>
        <row r="1840">
          <cell r="C1840" t="str">
            <v>&lt;-- enter valid PB./Acc. # in this cell!</v>
          </cell>
          <cell r="F1840" t="str">
            <v>OK</v>
          </cell>
        </row>
        <row r="1841">
          <cell r="C1841" t="str">
            <v>&lt;-- enter valid PB./Acc. # in this cell!</v>
          </cell>
          <cell r="F1841" t="str">
            <v>OK</v>
          </cell>
        </row>
        <row r="1842">
          <cell r="C1842" t="str">
            <v>&lt;-- enter valid PB./Acc. # in this cell!</v>
          </cell>
          <cell r="F1842" t="str">
            <v>OK</v>
          </cell>
        </row>
        <row r="1843">
          <cell r="C1843" t="str">
            <v>&lt;-- enter valid PB./Acc. # in this cell!</v>
          </cell>
          <cell r="F1843" t="str">
            <v>OK</v>
          </cell>
        </row>
        <row r="1844">
          <cell r="C1844" t="str">
            <v>&lt;-- enter valid PB./Acc. # in this cell!</v>
          </cell>
          <cell r="F1844" t="str">
            <v>OK</v>
          </cell>
        </row>
        <row r="1845">
          <cell r="C1845" t="str">
            <v>&lt;-- enter valid PB./Acc. # in this cell!</v>
          </cell>
          <cell r="F1845" t="str">
            <v>OK</v>
          </cell>
        </row>
        <row r="1846">
          <cell r="C1846" t="str">
            <v>&lt;-- enter valid PB./Acc. # in this cell!</v>
          </cell>
          <cell r="F1846" t="str">
            <v>OK</v>
          </cell>
        </row>
        <row r="1847">
          <cell r="C1847" t="str">
            <v>&lt;-- enter valid PB./Acc. # in this cell!</v>
          </cell>
          <cell r="F1847" t="str">
            <v>OK</v>
          </cell>
        </row>
        <row r="1848">
          <cell r="C1848" t="str">
            <v>&lt;-- enter valid PB./Acc. # in this cell!</v>
          </cell>
          <cell r="F1848" t="str">
            <v>OK</v>
          </cell>
        </row>
        <row r="1849">
          <cell r="C1849" t="str">
            <v>&lt;-- enter valid PB./Acc. # in this cell!</v>
          </cell>
          <cell r="F1849" t="str">
            <v>OK</v>
          </cell>
        </row>
        <row r="1850">
          <cell r="C1850" t="str">
            <v>&lt;-- enter valid PB./Acc. # in this cell!</v>
          </cell>
          <cell r="F1850" t="str">
            <v>OK</v>
          </cell>
        </row>
        <row r="1851">
          <cell r="C1851" t="str">
            <v>&lt;-- enter valid PB./Acc. # in this cell!</v>
          </cell>
          <cell r="F1851" t="str">
            <v>OK</v>
          </cell>
        </row>
        <row r="1852">
          <cell r="C1852" t="str">
            <v>&lt;-- enter valid PB./Acc. # in this cell!</v>
          </cell>
          <cell r="F1852" t="str">
            <v>OK</v>
          </cell>
        </row>
        <row r="1853">
          <cell r="C1853" t="str">
            <v>&lt;-- enter valid PB./Acc. # in this cell!</v>
          </cell>
          <cell r="F1853" t="str">
            <v>OK</v>
          </cell>
        </row>
        <row r="1854">
          <cell r="C1854" t="str">
            <v>&lt;-- enter valid PB./Acc. # in this cell!</v>
          </cell>
          <cell r="F1854" t="str">
            <v>OK</v>
          </cell>
        </row>
        <row r="1855">
          <cell r="C1855" t="str">
            <v>&lt;-- enter valid PB./Acc. # in this cell!</v>
          </cell>
          <cell r="F1855" t="str">
            <v>OK</v>
          </cell>
        </row>
        <row r="1856">
          <cell r="C1856" t="str">
            <v>&lt;-- enter valid PB./Acc. # in this cell!</v>
          </cell>
          <cell r="F1856" t="str">
            <v>OK</v>
          </cell>
        </row>
        <row r="1857">
          <cell r="C1857" t="str">
            <v>&lt;-- enter valid PB./Acc. # in this cell!</v>
          </cell>
          <cell r="F1857" t="str">
            <v>OK</v>
          </cell>
        </row>
        <row r="1858">
          <cell r="C1858" t="str">
            <v>&lt;-- enter valid PB./Acc. # in this cell!</v>
          </cell>
          <cell r="F1858" t="str">
            <v>OK</v>
          </cell>
        </row>
        <row r="1859">
          <cell r="C1859" t="str">
            <v>&lt;-- enter valid PB./Acc. # in this cell!</v>
          </cell>
          <cell r="F1859" t="str">
            <v>OK</v>
          </cell>
        </row>
        <row r="1860">
          <cell r="C1860" t="str">
            <v>&lt;-- enter valid PB./Acc. # in this cell!</v>
          </cell>
          <cell r="F1860" t="str">
            <v>OK</v>
          </cell>
        </row>
        <row r="1861">
          <cell r="C1861" t="str">
            <v>&lt;-- enter valid PB./Acc. # in this cell!</v>
          </cell>
          <cell r="F1861" t="str">
            <v>OK</v>
          </cell>
        </row>
        <row r="1862">
          <cell r="C1862" t="str">
            <v>&lt;-- enter valid PB./Acc. # in this cell!</v>
          </cell>
          <cell r="F1862" t="str">
            <v>OK</v>
          </cell>
        </row>
        <row r="1863">
          <cell r="C1863" t="str">
            <v>&lt;-- enter valid PB./Acc. # in this cell!</v>
          </cell>
          <cell r="F1863" t="str">
            <v>OK</v>
          </cell>
        </row>
        <row r="1864">
          <cell r="C1864" t="str">
            <v>&lt;-- enter valid PB./Acc. # in this cell!</v>
          </cell>
          <cell r="F1864" t="str">
            <v>OK</v>
          </cell>
        </row>
        <row r="1865">
          <cell r="C1865" t="str">
            <v>&lt;-- enter valid PB./Acc. # in this cell!</v>
          </cell>
          <cell r="F1865" t="str">
            <v>OK</v>
          </cell>
        </row>
        <row r="1866">
          <cell r="C1866" t="str">
            <v>&lt;-- enter valid PB./Acc. # in this cell!</v>
          </cell>
          <cell r="F1866" t="str">
            <v>OK</v>
          </cell>
        </row>
        <row r="1867">
          <cell r="C1867" t="str">
            <v>&lt;-- enter valid PB./Acc. # in this cell!</v>
          </cell>
          <cell r="F1867" t="str">
            <v>OK</v>
          </cell>
        </row>
        <row r="1868">
          <cell r="C1868" t="str">
            <v>&lt;-- enter valid PB./Acc. # in this cell!</v>
          </cell>
          <cell r="F1868" t="str">
            <v>OK</v>
          </cell>
        </row>
        <row r="1869">
          <cell r="C1869" t="str">
            <v>&lt;-- enter valid PB./Acc. # in this cell!</v>
          </cell>
          <cell r="F1869" t="str">
            <v>OK</v>
          </cell>
        </row>
        <row r="1870">
          <cell r="C1870" t="str">
            <v>&lt;-- enter valid PB./Acc. # in this cell!</v>
          </cell>
          <cell r="F1870" t="str">
            <v>OK</v>
          </cell>
        </row>
        <row r="1871">
          <cell r="C1871" t="str">
            <v>&lt;-- enter valid PB./Acc. # in this cell!</v>
          </cell>
          <cell r="F1871" t="str">
            <v>OK</v>
          </cell>
        </row>
        <row r="1872">
          <cell r="C1872" t="str">
            <v>&lt;-- enter valid PB./Acc. # in this cell!</v>
          </cell>
          <cell r="F1872" t="str">
            <v>OK</v>
          </cell>
        </row>
        <row r="1873">
          <cell r="C1873" t="str">
            <v>&lt;-- enter valid PB./Acc. # in this cell!</v>
          </cell>
          <cell r="F1873" t="str">
            <v>OK</v>
          </cell>
        </row>
        <row r="1874">
          <cell r="C1874" t="str">
            <v>&lt;-- enter valid PB./Acc. # in this cell!</v>
          </cell>
          <cell r="F1874" t="str">
            <v>OK</v>
          </cell>
        </row>
        <row r="1875">
          <cell r="C1875" t="str">
            <v>&lt;-- enter valid PB./Acc. # in this cell!</v>
          </cell>
          <cell r="F1875" t="str">
            <v>OK</v>
          </cell>
        </row>
        <row r="1876">
          <cell r="C1876" t="str">
            <v>&lt;-- enter valid PB./Acc. # in this cell!</v>
          </cell>
          <cell r="F1876" t="str">
            <v>OK</v>
          </cell>
        </row>
        <row r="1877">
          <cell r="C1877" t="str">
            <v>&lt;-- enter valid PB./Acc. # in this cell!</v>
          </cell>
          <cell r="F1877" t="str">
            <v>OK</v>
          </cell>
        </row>
        <row r="1878">
          <cell r="C1878" t="str">
            <v>&lt;-- enter valid PB./Acc. # in this cell!</v>
          </cell>
          <cell r="F1878" t="str">
            <v>OK</v>
          </cell>
        </row>
        <row r="1879">
          <cell r="C1879" t="str">
            <v>&lt;-- enter valid PB./Acc. # in this cell!</v>
          </cell>
          <cell r="F1879" t="str">
            <v>OK</v>
          </cell>
        </row>
        <row r="1880">
          <cell r="C1880" t="str">
            <v>&lt;-- enter valid PB./Acc. # in this cell!</v>
          </cell>
          <cell r="F1880" t="str">
            <v>OK</v>
          </cell>
        </row>
        <row r="1881">
          <cell r="C1881" t="str">
            <v>&lt;-- enter valid PB./Acc. # in this cell!</v>
          </cell>
          <cell r="F1881" t="str">
            <v>OK</v>
          </cell>
        </row>
        <row r="1882">
          <cell r="C1882" t="str">
            <v>&lt;-- enter valid PB./Acc. # in this cell!</v>
          </cell>
          <cell r="F1882" t="str">
            <v>OK</v>
          </cell>
        </row>
        <row r="1883">
          <cell r="C1883" t="str">
            <v>&lt;-- enter valid PB./Acc. # in this cell!</v>
          </cell>
          <cell r="F1883" t="str">
            <v>OK</v>
          </cell>
        </row>
        <row r="1884">
          <cell r="C1884" t="str">
            <v>&lt;-- enter valid PB./Acc. # in this cell!</v>
          </cell>
          <cell r="F1884" t="str">
            <v>OK</v>
          </cell>
        </row>
        <row r="1885">
          <cell r="C1885" t="str">
            <v>&lt;-- enter valid PB./Acc. # in this cell!</v>
          </cell>
          <cell r="F1885" t="str">
            <v>OK</v>
          </cell>
        </row>
        <row r="1886">
          <cell r="C1886" t="str">
            <v>&lt;-- enter valid PB./Acc. # in this cell!</v>
          </cell>
          <cell r="F1886" t="str">
            <v>OK</v>
          </cell>
        </row>
        <row r="1887">
          <cell r="C1887" t="str">
            <v>&lt;-- enter valid PB./Acc. # in this cell!</v>
          </cell>
          <cell r="F1887" t="str">
            <v>OK</v>
          </cell>
        </row>
        <row r="1888">
          <cell r="C1888" t="str">
            <v>&lt;-- enter valid PB./Acc. # in this cell!</v>
          </cell>
          <cell r="F1888" t="str">
            <v>OK</v>
          </cell>
        </row>
        <row r="1889">
          <cell r="C1889" t="str">
            <v>&lt;-- enter valid PB./Acc. # in this cell!</v>
          </cell>
          <cell r="F1889" t="str">
            <v>OK</v>
          </cell>
        </row>
        <row r="1890">
          <cell r="C1890" t="str">
            <v>&lt;-- enter valid PB./Acc. # in this cell!</v>
          </cell>
          <cell r="F1890" t="str">
            <v>OK</v>
          </cell>
        </row>
        <row r="1891">
          <cell r="C1891" t="str">
            <v>&lt;-- enter valid PB./Acc. # in this cell!</v>
          </cell>
          <cell r="F1891" t="str">
            <v>OK</v>
          </cell>
        </row>
        <row r="1892">
          <cell r="C1892" t="str">
            <v>&lt;-- enter valid PB./Acc. # in this cell!</v>
          </cell>
          <cell r="F1892" t="str">
            <v>OK</v>
          </cell>
        </row>
        <row r="1893">
          <cell r="C1893" t="str">
            <v>&lt;-- enter valid PB./Acc. # in this cell!</v>
          </cell>
          <cell r="F1893" t="str">
            <v>OK</v>
          </cell>
        </row>
        <row r="1894">
          <cell r="C1894" t="str">
            <v>&lt;-- enter valid PB./Acc. # in this cell!</v>
          </cell>
          <cell r="F1894" t="str">
            <v>OK</v>
          </cell>
        </row>
        <row r="1895">
          <cell r="C1895" t="str">
            <v>&lt;-- enter valid PB./Acc. # in this cell!</v>
          </cell>
          <cell r="F1895" t="str">
            <v>OK</v>
          </cell>
        </row>
        <row r="1896">
          <cell r="C1896" t="str">
            <v>&lt;-- enter valid PB./Acc. # in this cell!</v>
          </cell>
          <cell r="F1896" t="str">
            <v>OK</v>
          </cell>
        </row>
        <row r="1897">
          <cell r="C1897" t="str">
            <v>&lt;-- enter valid PB./Acc. # in this cell!</v>
          </cell>
          <cell r="F1897" t="str">
            <v>OK</v>
          </cell>
        </row>
        <row r="1898">
          <cell r="C1898" t="str">
            <v>&lt;-- enter valid PB./Acc. # in this cell!</v>
          </cell>
          <cell r="F1898" t="str">
            <v>OK</v>
          </cell>
        </row>
        <row r="1899">
          <cell r="C1899" t="str">
            <v>&lt;-- enter valid PB./Acc. # in this cell!</v>
          </cell>
          <cell r="F1899" t="str">
            <v>OK</v>
          </cell>
        </row>
        <row r="1900">
          <cell r="C1900" t="str">
            <v>&lt;-- enter valid PB./Acc. # in this cell!</v>
          </cell>
          <cell r="F1900" t="str">
            <v>OK</v>
          </cell>
        </row>
        <row r="1901">
          <cell r="C1901" t="str">
            <v>&lt;-- enter valid PB./Acc. # in this cell!</v>
          </cell>
          <cell r="F1901" t="str">
            <v>OK</v>
          </cell>
        </row>
        <row r="1902">
          <cell r="C1902" t="str">
            <v>&lt;-- enter valid PB./Acc. # in this cell!</v>
          </cell>
          <cell r="F1902" t="str">
            <v>OK</v>
          </cell>
        </row>
        <row r="1903">
          <cell r="C1903" t="str">
            <v>&lt;-- enter valid PB./Acc. # in this cell!</v>
          </cell>
          <cell r="F1903" t="str">
            <v>OK</v>
          </cell>
        </row>
        <row r="1904">
          <cell r="C1904" t="str">
            <v>&lt;-- enter valid PB./Acc. # in this cell!</v>
          </cell>
          <cell r="F1904" t="str">
            <v>OK</v>
          </cell>
        </row>
        <row r="1905">
          <cell r="C1905" t="str">
            <v>&lt;-- enter valid PB./Acc. # in this cell!</v>
          </cell>
          <cell r="F1905" t="str">
            <v>OK</v>
          </cell>
        </row>
        <row r="1906">
          <cell r="C1906" t="str">
            <v>&lt;-- enter valid PB./Acc. # in this cell!</v>
          </cell>
          <cell r="F1906" t="str">
            <v>OK</v>
          </cell>
        </row>
        <row r="1907">
          <cell r="C1907" t="str">
            <v>&lt;-- enter valid PB./Acc. # in this cell!</v>
          </cell>
          <cell r="F1907" t="str">
            <v>OK</v>
          </cell>
        </row>
        <row r="1908">
          <cell r="C1908" t="str">
            <v>&lt;-- enter valid PB./Acc. # in this cell!</v>
          </cell>
          <cell r="F1908" t="str">
            <v>OK</v>
          </cell>
        </row>
        <row r="1909">
          <cell r="C1909" t="str">
            <v>&lt;-- enter valid PB./Acc. # in this cell!</v>
          </cell>
          <cell r="F1909" t="str">
            <v>OK</v>
          </cell>
        </row>
        <row r="1910">
          <cell r="C1910" t="str">
            <v>&lt;-- enter valid PB./Acc. # in this cell!</v>
          </cell>
          <cell r="F1910" t="str">
            <v>OK</v>
          </cell>
        </row>
        <row r="1911">
          <cell r="C1911" t="str">
            <v>&lt;-- enter valid PB./Acc. # in this cell!</v>
          </cell>
          <cell r="F1911" t="str">
            <v>OK</v>
          </cell>
        </row>
        <row r="1912">
          <cell r="C1912" t="str">
            <v>&lt;-- enter valid PB./Acc. # in this cell!</v>
          </cell>
          <cell r="F1912" t="str">
            <v>OK</v>
          </cell>
        </row>
        <row r="1913">
          <cell r="C1913" t="str">
            <v>&lt;-- enter valid PB./Acc. # in this cell!</v>
          </cell>
          <cell r="F1913" t="str">
            <v>OK</v>
          </cell>
        </row>
        <row r="1914">
          <cell r="C1914" t="str">
            <v>&lt;-- enter valid PB./Acc. # in this cell!</v>
          </cell>
          <cell r="F1914" t="str">
            <v>OK</v>
          </cell>
        </row>
        <row r="1915">
          <cell r="C1915" t="str">
            <v>&lt;-- enter valid PB./Acc. # in this cell!</v>
          </cell>
          <cell r="F1915" t="str">
            <v>OK</v>
          </cell>
        </row>
        <row r="1916">
          <cell r="C1916" t="str">
            <v>&lt;-- enter valid PB./Acc. # in this cell!</v>
          </cell>
          <cell r="F1916" t="str">
            <v>OK</v>
          </cell>
        </row>
        <row r="1917">
          <cell r="C1917" t="str">
            <v>&lt;-- enter valid PB./Acc. # in this cell!</v>
          </cell>
          <cell r="F1917" t="str">
            <v>OK</v>
          </cell>
        </row>
        <row r="1918">
          <cell r="C1918" t="str">
            <v>&lt;-- enter valid PB./Acc. # in this cell!</v>
          </cell>
          <cell r="F1918" t="str">
            <v>OK</v>
          </cell>
        </row>
        <row r="1919">
          <cell r="C1919" t="str">
            <v>&lt;-- enter valid PB./Acc. # in this cell!</v>
          </cell>
          <cell r="F1919" t="str">
            <v>OK</v>
          </cell>
        </row>
        <row r="1920">
          <cell r="C1920" t="str">
            <v>&lt;-- enter valid PB./Acc. # in this cell!</v>
          </cell>
          <cell r="F1920" t="str">
            <v>OK</v>
          </cell>
        </row>
        <row r="1921">
          <cell r="C1921" t="str">
            <v>&lt;-- enter valid PB./Acc. # in this cell!</v>
          </cell>
          <cell r="F1921" t="str">
            <v>OK</v>
          </cell>
        </row>
        <row r="1922">
          <cell r="C1922" t="str">
            <v>&lt;-- enter valid PB./Acc. # in this cell!</v>
          </cell>
          <cell r="F1922" t="str">
            <v>OK</v>
          </cell>
        </row>
        <row r="1923">
          <cell r="C1923" t="str">
            <v>&lt;-- enter valid PB./Acc. # in this cell!</v>
          </cell>
          <cell r="F1923" t="str">
            <v>OK</v>
          </cell>
        </row>
        <row r="1924">
          <cell r="C1924" t="str">
            <v>&lt;-- enter valid PB./Acc. # in this cell!</v>
          </cell>
          <cell r="F1924" t="str">
            <v>OK</v>
          </cell>
        </row>
        <row r="1925">
          <cell r="C1925" t="str">
            <v>&lt;-- enter valid PB./Acc. # in this cell!</v>
          </cell>
          <cell r="F1925" t="str">
            <v>OK</v>
          </cell>
        </row>
        <row r="1926">
          <cell r="C1926" t="str">
            <v>&lt;-- enter valid PB./Acc. # in this cell!</v>
          </cell>
          <cell r="F1926" t="str">
            <v>OK</v>
          </cell>
        </row>
        <row r="1927">
          <cell r="C1927" t="str">
            <v>&lt;-- enter valid PB./Acc. # in this cell!</v>
          </cell>
          <cell r="F1927" t="str">
            <v>OK</v>
          </cell>
        </row>
        <row r="1928">
          <cell r="C1928" t="str">
            <v>&lt;-- enter valid PB./Acc. # in this cell!</v>
          </cell>
          <cell r="F1928" t="str">
            <v>OK</v>
          </cell>
        </row>
        <row r="1929">
          <cell r="C1929" t="str">
            <v>&lt;-- enter valid PB./Acc. # in this cell!</v>
          </cell>
          <cell r="F1929" t="str">
            <v>OK</v>
          </cell>
        </row>
        <row r="1930">
          <cell r="C1930" t="str">
            <v>&lt;-- enter valid PB./Acc. # in this cell!</v>
          </cell>
          <cell r="F1930" t="str">
            <v>OK</v>
          </cell>
        </row>
        <row r="1931">
          <cell r="C1931" t="str">
            <v>&lt;-- enter valid PB./Acc. # in this cell!</v>
          </cell>
          <cell r="F1931" t="str">
            <v>OK</v>
          </cell>
        </row>
        <row r="1932">
          <cell r="C1932" t="str">
            <v>&lt;-- enter valid PB./Acc. # in this cell!</v>
          </cell>
          <cell r="F1932" t="str">
            <v>OK</v>
          </cell>
        </row>
        <row r="1933">
          <cell r="C1933" t="str">
            <v>&lt;-- enter valid PB./Acc. # in this cell!</v>
          </cell>
          <cell r="F1933" t="str">
            <v>OK</v>
          </cell>
        </row>
        <row r="1934">
          <cell r="C1934" t="str">
            <v>&lt;-- enter valid PB./Acc. # in this cell!</v>
          </cell>
          <cell r="F1934" t="str">
            <v>OK</v>
          </cell>
        </row>
        <row r="1935">
          <cell r="C1935" t="str">
            <v>&lt;-- enter valid PB./Acc. # in this cell!</v>
          </cell>
          <cell r="F1935" t="str">
            <v>OK</v>
          </cell>
        </row>
        <row r="1936">
          <cell r="C1936" t="str">
            <v>&lt;-- enter valid PB./Acc. # in this cell!</v>
          </cell>
          <cell r="F1936" t="str">
            <v>OK</v>
          </cell>
        </row>
        <row r="1937">
          <cell r="C1937" t="str">
            <v>&lt;-- enter valid PB./Acc. # in this cell!</v>
          </cell>
          <cell r="F1937" t="str">
            <v>OK</v>
          </cell>
        </row>
        <row r="1938">
          <cell r="C1938" t="str">
            <v>&lt;-- enter valid PB./Acc. # in this cell!</v>
          </cell>
          <cell r="F1938" t="str">
            <v>OK</v>
          </cell>
        </row>
        <row r="1939">
          <cell r="C1939" t="str">
            <v>&lt;-- enter valid PB./Acc. # in this cell!</v>
          </cell>
          <cell r="F1939" t="str">
            <v>OK</v>
          </cell>
        </row>
        <row r="1940">
          <cell r="C1940" t="str">
            <v>&lt;-- enter valid PB./Acc. # in this cell!</v>
          </cell>
          <cell r="F1940" t="str">
            <v>OK</v>
          </cell>
        </row>
        <row r="1941">
          <cell r="C1941" t="str">
            <v>&lt;-- enter valid PB./Acc. # in this cell!</v>
          </cell>
          <cell r="F1941" t="str">
            <v>OK</v>
          </cell>
        </row>
        <row r="1942">
          <cell r="C1942" t="str">
            <v>&lt;-- enter valid PB./Acc. # in this cell!</v>
          </cell>
          <cell r="F1942" t="str">
            <v>OK</v>
          </cell>
        </row>
        <row r="1943">
          <cell r="C1943" t="str">
            <v>&lt;-- enter valid PB./Acc. # in this cell!</v>
          </cell>
          <cell r="F1943" t="str">
            <v>OK</v>
          </cell>
        </row>
        <row r="1944">
          <cell r="C1944" t="str">
            <v>&lt;-- enter valid PB./Acc. # in this cell!</v>
          </cell>
          <cell r="F1944" t="str">
            <v>OK</v>
          </cell>
        </row>
        <row r="1945">
          <cell r="C1945" t="str">
            <v>&lt;-- enter valid PB./Acc. # in this cell!</v>
          </cell>
          <cell r="F1945" t="str">
            <v>OK</v>
          </cell>
        </row>
        <row r="1946">
          <cell r="C1946" t="str">
            <v>&lt;-- enter valid PB./Acc. # in this cell!</v>
          </cell>
          <cell r="F1946" t="str">
            <v>OK</v>
          </cell>
        </row>
        <row r="1947">
          <cell r="C1947" t="str">
            <v>&lt;-- enter valid PB./Acc. # in this cell!</v>
          </cell>
          <cell r="F1947" t="str">
            <v>OK</v>
          </cell>
        </row>
        <row r="1948">
          <cell r="C1948" t="str">
            <v>&lt;-- enter valid PB./Acc. # in this cell!</v>
          </cell>
          <cell r="F1948" t="str">
            <v>OK</v>
          </cell>
        </row>
        <row r="1949">
          <cell r="C1949" t="str">
            <v>&lt;-- enter valid PB./Acc. # in this cell!</v>
          </cell>
          <cell r="F1949" t="str">
            <v>OK</v>
          </cell>
        </row>
        <row r="1950">
          <cell r="C1950" t="str">
            <v>&lt;-- enter valid PB./Acc. # in this cell!</v>
          </cell>
          <cell r="F1950" t="str">
            <v>OK</v>
          </cell>
        </row>
        <row r="1951">
          <cell r="C1951" t="str">
            <v>&lt;-- enter valid PB./Acc. # in this cell!</v>
          </cell>
          <cell r="F1951" t="str">
            <v>OK</v>
          </cell>
        </row>
        <row r="1952">
          <cell r="C1952" t="str">
            <v>&lt;-- enter valid PB./Acc. # in this cell!</v>
          </cell>
          <cell r="F1952" t="str">
            <v>OK</v>
          </cell>
        </row>
        <row r="1953">
          <cell r="C1953" t="str">
            <v>&lt;-- enter valid PB./Acc. # in this cell!</v>
          </cell>
          <cell r="F1953" t="str">
            <v>OK</v>
          </cell>
        </row>
        <row r="1954">
          <cell r="C1954" t="str">
            <v>&lt;-- enter valid PB./Acc. # in this cell!</v>
          </cell>
          <cell r="F1954" t="str">
            <v>OK</v>
          </cell>
        </row>
        <row r="1955">
          <cell r="C1955" t="str">
            <v>&lt;-- enter valid PB./Acc. # in this cell!</v>
          </cell>
          <cell r="F1955" t="str">
            <v>OK</v>
          </cell>
        </row>
        <row r="1956">
          <cell r="C1956" t="str">
            <v>&lt;-- enter valid PB./Acc. # in this cell!</v>
          </cell>
          <cell r="F1956" t="str">
            <v>OK</v>
          </cell>
        </row>
        <row r="1957">
          <cell r="C1957" t="str">
            <v>&lt;-- enter valid PB./Acc. # in this cell!</v>
          </cell>
          <cell r="F1957" t="str">
            <v>OK</v>
          </cell>
        </row>
        <row r="1958">
          <cell r="C1958" t="str">
            <v>&lt;-- enter valid PB./Acc. # in this cell!</v>
          </cell>
          <cell r="F1958" t="str">
            <v>OK</v>
          </cell>
        </row>
        <row r="1959">
          <cell r="C1959" t="str">
            <v>&lt;-- enter valid PB./Acc. # in this cell!</v>
          </cell>
          <cell r="F1959" t="str">
            <v>OK</v>
          </cell>
        </row>
        <row r="1960">
          <cell r="C1960" t="str">
            <v>&lt;-- enter valid PB./Acc. # in this cell!</v>
          </cell>
          <cell r="F1960" t="str">
            <v>OK</v>
          </cell>
        </row>
        <row r="1961">
          <cell r="C1961" t="str">
            <v>&lt;-- enter valid PB./Acc. # in this cell!</v>
          </cell>
          <cell r="F1961" t="str">
            <v>OK</v>
          </cell>
        </row>
        <row r="1962">
          <cell r="C1962" t="str">
            <v>&lt;-- enter valid PB./Acc. # in this cell!</v>
          </cell>
          <cell r="F1962" t="str">
            <v>OK</v>
          </cell>
        </row>
        <row r="1963">
          <cell r="C1963" t="str">
            <v>&lt;-- enter valid PB./Acc. # in this cell!</v>
          </cell>
          <cell r="F1963" t="str">
            <v>OK</v>
          </cell>
        </row>
        <row r="1964">
          <cell r="C1964" t="str">
            <v>&lt;-- enter valid PB./Acc. # in this cell!</v>
          </cell>
          <cell r="F1964" t="str">
            <v>OK</v>
          </cell>
        </row>
        <row r="1965">
          <cell r="C1965" t="str">
            <v>&lt;-- enter valid PB./Acc. # in this cell!</v>
          </cell>
          <cell r="F1965" t="str">
            <v>OK</v>
          </cell>
        </row>
        <row r="1966">
          <cell r="C1966" t="str">
            <v>&lt;-- enter valid PB./Acc. # in this cell!</v>
          </cell>
          <cell r="F1966" t="str">
            <v>OK</v>
          </cell>
        </row>
        <row r="1967">
          <cell r="C1967" t="str">
            <v>&lt;-- enter valid PB./Acc. # in this cell!</v>
          </cell>
          <cell r="F1967" t="str">
            <v>OK</v>
          </cell>
        </row>
        <row r="1968">
          <cell r="C1968" t="str">
            <v>&lt;-- enter valid PB./Acc. # in this cell!</v>
          </cell>
          <cell r="F1968" t="str">
            <v>OK</v>
          </cell>
        </row>
        <row r="1969">
          <cell r="C1969" t="str">
            <v>&lt;-- enter valid PB./Acc. # in this cell!</v>
          </cell>
          <cell r="F1969" t="str">
            <v>OK</v>
          </cell>
        </row>
        <row r="1970">
          <cell r="C1970" t="str">
            <v>&lt;-- enter valid PB./Acc. # in this cell!</v>
          </cell>
          <cell r="F1970" t="str">
            <v>OK</v>
          </cell>
        </row>
        <row r="1971">
          <cell r="C1971" t="str">
            <v>&lt;-- enter valid PB./Acc. # in this cell!</v>
          </cell>
          <cell r="F1971" t="str">
            <v>OK</v>
          </cell>
        </row>
        <row r="1972">
          <cell r="C1972" t="str">
            <v>&lt;-- enter valid PB./Acc. # in this cell!</v>
          </cell>
          <cell r="F1972" t="str">
            <v>OK</v>
          </cell>
        </row>
        <row r="1973">
          <cell r="C1973" t="str">
            <v>&lt;-- enter valid PB./Acc. # in this cell!</v>
          </cell>
          <cell r="F1973" t="str">
            <v>OK</v>
          </cell>
        </row>
        <row r="1974">
          <cell r="C1974" t="str">
            <v>&lt;-- enter valid PB./Acc. # in this cell!</v>
          </cell>
          <cell r="F1974" t="str">
            <v>OK</v>
          </cell>
        </row>
        <row r="1975">
          <cell r="C1975" t="str">
            <v>&lt;-- enter valid PB./Acc. # in this cell!</v>
          </cell>
          <cell r="F1975" t="str">
            <v>OK</v>
          </cell>
        </row>
        <row r="1976">
          <cell r="C1976" t="str">
            <v>&lt;-- enter valid PB./Acc. # in this cell!</v>
          </cell>
          <cell r="F1976" t="str">
            <v>OK</v>
          </cell>
        </row>
        <row r="1977">
          <cell r="C1977" t="str">
            <v>&lt;-- enter valid PB./Acc. # in this cell!</v>
          </cell>
          <cell r="F1977" t="str">
            <v>OK</v>
          </cell>
        </row>
        <row r="1978">
          <cell r="C1978" t="str">
            <v>&lt;-- enter valid PB./Acc. # in this cell!</v>
          </cell>
          <cell r="F1978" t="str">
            <v>OK</v>
          </cell>
        </row>
        <row r="1979">
          <cell r="C1979" t="str">
            <v>&lt;-- enter valid PB./Acc. # in this cell!</v>
          </cell>
          <cell r="F1979" t="str">
            <v>OK</v>
          </cell>
        </row>
        <row r="1980">
          <cell r="C1980" t="str">
            <v>&lt;-- enter valid PB./Acc. # in this cell!</v>
          </cell>
          <cell r="F1980" t="str">
            <v>OK</v>
          </cell>
        </row>
        <row r="1981">
          <cell r="C1981" t="str">
            <v>&lt;-- enter valid PB./Acc. # in this cell!</v>
          </cell>
          <cell r="F1981" t="str">
            <v>OK</v>
          </cell>
        </row>
        <row r="1982">
          <cell r="C1982" t="str">
            <v>&lt;-- enter valid PB./Acc. # in this cell!</v>
          </cell>
          <cell r="F1982" t="str">
            <v>OK</v>
          </cell>
        </row>
        <row r="1983">
          <cell r="C1983" t="str">
            <v>&lt;-- enter valid PB./Acc. # in this cell!</v>
          </cell>
          <cell r="F1983" t="str">
            <v>OK</v>
          </cell>
        </row>
        <row r="1984">
          <cell r="C1984" t="str">
            <v>&lt;-- enter valid PB./Acc. # in this cell!</v>
          </cell>
          <cell r="F1984" t="str">
            <v>OK</v>
          </cell>
        </row>
        <row r="1985">
          <cell r="C1985" t="str">
            <v>&lt;-- enter valid PB./Acc. # in this cell!</v>
          </cell>
          <cell r="F1985" t="str">
            <v>OK</v>
          </cell>
        </row>
        <row r="1986">
          <cell r="C1986" t="str">
            <v>&lt;-- enter valid PB./Acc. # in this cell!</v>
          </cell>
          <cell r="F1986" t="str">
            <v>OK</v>
          </cell>
        </row>
        <row r="1987">
          <cell r="C1987" t="str">
            <v>&lt;-- enter valid PB./Acc. # in this cell!</v>
          </cell>
          <cell r="F1987" t="str">
            <v>OK</v>
          </cell>
        </row>
        <row r="1988">
          <cell r="C1988" t="str">
            <v>&lt;-- enter valid PB./Acc. # in this cell!</v>
          </cell>
          <cell r="F1988" t="str">
            <v>OK</v>
          </cell>
        </row>
        <row r="1989">
          <cell r="C1989" t="str">
            <v>&lt;-- enter valid PB./Acc. # in this cell!</v>
          </cell>
          <cell r="F1989" t="str">
            <v>OK</v>
          </cell>
        </row>
        <row r="1990">
          <cell r="C1990" t="str">
            <v>&lt;-- enter valid PB./Acc. # in this cell!</v>
          </cell>
          <cell r="F1990" t="str">
            <v>OK</v>
          </cell>
        </row>
        <row r="1991">
          <cell r="C1991" t="str">
            <v>&lt;-- enter valid PB./Acc. # in this cell!</v>
          </cell>
          <cell r="F1991" t="str">
            <v>OK</v>
          </cell>
        </row>
        <row r="1992">
          <cell r="C1992" t="str">
            <v>&lt;-- enter valid PB./Acc. # in this cell!</v>
          </cell>
          <cell r="F1992" t="str">
            <v>OK</v>
          </cell>
        </row>
        <row r="1993">
          <cell r="C1993" t="str">
            <v>&lt;-- enter valid PB./Acc. # in this cell!</v>
          </cell>
          <cell r="F1993" t="str">
            <v>OK</v>
          </cell>
        </row>
        <row r="1994">
          <cell r="C1994" t="str">
            <v>&lt;-- enter valid PB./Acc. # in this cell!</v>
          </cell>
          <cell r="F1994" t="str">
            <v>OK</v>
          </cell>
        </row>
        <row r="1995">
          <cell r="C1995" t="str">
            <v>&lt;-- enter valid PB./Acc. # in this cell!</v>
          </cell>
          <cell r="F1995" t="str">
            <v>OK</v>
          </cell>
        </row>
        <row r="1996">
          <cell r="C1996" t="str">
            <v>&lt;-- enter valid PB./Acc. # in this cell!</v>
          </cell>
          <cell r="F1996" t="str">
            <v>OK</v>
          </cell>
        </row>
        <row r="1997">
          <cell r="C1997" t="str">
            <v>&lt;-- enter valid PB./Acc. # in this cell!</v>
          </cell>
          <cell r="F1997" t="str">
            <v>OK</v>
          </cell>
        </row>
        <row r="1998">
          <cell r="C1998" t="str">
            <v>&lt;-- enter valid PB./Acc. # in this cell!</v>
          </cell>
          <cell r="F1998" t="str">
            <v>OK</v>
          </cell>
        </row>
        <row r="1999">
          <cell r="C1999" t="str">
            <v>&lt;-- enter valid PB./Acc. # in this cell!</v>
          </cell>
          <cell r="F1999" t="str">
            <v>OK</v>
          </cell>
        </row>
        <row r="2000">
          <cell r="C2000" t="str">
            <v>&lt;-- enter valid PB./Acc. # in this cell!</v>
          </cell>
          <cell r="F2000" t="str">
            <v>OK</v>
          </cell>
        </row>
        <row r="2001">
          <cell r="C2001" t="str">
            <v>&lt;-- enter valid PB./Acc. # in this cell!</v>
          </cell>
          <cell r="F2001" t="str">
            <v>OK</v>
          </cell>
        </row>
        <row r="2002">
          <cell r="C2002" t="str">
            <v>&lt;-- enter valid PB./Acc. # in this cell!</v>
          </cell>
          <cell r="F2002" t="str">
            <v>OK</v>
          </cell>
        </row>
        <row r="2003">
          <cell r="C2003" t="str">
            <v>&lt;-- enter valid PB./Acc. # in this cell!</v>
          </cell>
          <cell r="F2003" t="str">
            <v>OK</v>
          </cell>
        </row>
        <row r="2004">
          <cell r="C2004" t="str">
            <v>&lt;-- enter valid PB./Acc. # in this cell!</v>
          </cell>
          <cell r="F2004" t="str">
            <v>OK</v>
          </cell>
        </row>
        <row r="2005">
          <cell r="C2005" t="str">
            <v>&lt;-- enter valid PB./Acc. # in this cell!</v>
          </cell>
          <cell r="F2005" t="str">
            <v>OK</v>
          </cell>
        </row>
        <row r="2006">
          <cell r="C2006" t="str">
            <v>&lt;-- enter valid PB./Acc. # in this cell!</v>
          </cell>
          <cell r="F2006" t="str">
            <v>OK</v>
          </cell>
        </row>
        <row r="2007">
          <cell r="C2007" t="str">
            <v>&lt;-- enter valid PB./Acc. # in this cell!</v>
          </cell>
          <cell r="F2007" t="str">
            <v>OK</v>
          </cell>
        </row>
        <row r="2008">
          <cell r="C2008" t="str">
            <v>&lt;-- enter valid PB./Acc. # in this cell!</v>
          </cell>
          <cell r="F2008" t="str">
            <v>OK</v>
          </cell>
        </row>
        <row r="2009">
          <cell r="C2009" t="str">
            <v>&lt;-- enter valid PB./Acc. # in this cell!</v>
          </cell>
          <cell r="F2009" t="str">
            <v>OK</v>
          </cell>
        </row>
        <row r="2010">
          <cell r="C2010" t="str">
            <v>&lt;-- enter valid PB./Acc. # in this cell!</v>
          </cell>
          <cell r="F2010" t="str">
            <v>OK</v>
          </cell>
        </row>
        <row r="2011">
          <cell r="C2011" t="str">
            <v>&lt;-- enter valid PB./Acc. # in this cell!</v>
          </cell>
          <cell r="F2011" t="str">
            <v>OK</v>
          </cell>
        </row>
        <row r="2012">
          <cell r="C2012" t="str">
            <v>&lt;-- enter valid PB./Acc. # in this cell!</v>
          </cell>
          <cell r="F2012" t="str">
            <v>OK</v>
          </cell>
        </row>
        <row r="2013">
          <cell r="C2013" t="str">
            <v>&lt;-- enter valid PB./Acc. # in this cell!</v>
          </cell>
          <cell r="F2013" t="str">
            <v>OK</v>
          </cell>
        </row>
        <row r="2014">
          <cell r="C2014" t="str">
            <v>&lt;-- enter valid PB./Acc. # in this cell!</v>
          </cell>
          <cell r="F2014" t="str">
            <v>OK</v>
          </cell>
        </row>
        <row r="2015">
          <cell r="C2015" t="str">
            <v>&lt;-- enter valid PB./Acc. # in this cell!</v>
          </cell>
          <cell r="F2015" t="str">
            <v>OK</v>
          </cell>
        </row>
        <row r="2016">
          <cell r="C2016" t="str">
            <v>&lt;-- enter valid PB./Acc. # in this cell!</v>
          </cell>
          <cell r="F2016" t="str">
            <v>OK</v>
          </cell>
        </row>
        <row r="2017">
          <cell r="C2017" t="str">
            <v>&lt;-- enter valid PB./Acc. # in this cell!</v>
          </cell>
          <cell r="F2017" t="str">
            <v>OK</v>
          </cell>
        </row>
        <row r="2018">
          <cell r="C2018" t="str">
            <v>&lt;-- enter valid PB./Acc. # in this cell!</v>
          </cell>
          <cell r="F2018" t="str">
            <v>OK</v>
          </cell>
        </row>
        <row r="2019">
          <cell r="C2019" t="str">
            <v>&lt;-- enter valid PB./Acc. # in this cell!</v>
          </cell>
          <cell r="F2019" t="str">
            <v>OK</v>
          </cell>
        </row>
        <row r="2020">
          <cell r="C2020" t="str">
            <v>&lt;-- enter valid PB./Acc. # in this cell!</v>
          </cell>
          <cell r="F2020" t="str">
            <v>OK</v>
          </cell>
        </row>
        <row r="2021">
          <cell r="C2021" t="str">
            <v>&lt;-- enter valid PB./Acc. # in this cell!</v>
          </cell>
          <cell r="F2021" t="str">
            <v>OK</v>
          </cell>
        </row>
        <row r="2022">
          <cell r="C2022" t="str">
            <v>&lt;-- enter valid PB./Acc. # in this cell!</v>
          </cell>
          <cell r="F2022" t="str">
            <v>OK</v>
          </cell>
        </row>
        <row r="2023">
          <cell r="C2023" t="str">
            <v>&lt;-- enter valid PB./Acc. # in this cell!</v>
          </cell>
          <cell r="F2023" t="str">
            <v>OK</v>
          </cell>
        </row>
        <row r="2024">
          <cell r="C2024" t="str">
            <v>&lt;-- enter valid PB./Acc. # in this cell!</v>
          </cell>
          <cell r="F2024" t="str">
            <v>OK</v>
          </cell>
        </row>
        <row r="2025">
          <cell r="C2025" t="str">
            <v>&lt;-- enter valid PB./Acc. # in this cell!</v>
          </cell>
          <cell r="F2025" t="str">
            <v>OK</v>
          </cell>
        </row>
        <row r="2026">
          <cell r="C2026" t="str">
            <v>&lt;-- enter valid PB./Acc. # in this cell!</v>
          </cell>
          <cell r="F2026" t="str">
            <v>OK</v>
          </cell>
        </row>
        <row r="2027">
          <cell r="C2027" t="str">
            <v>&lt;-- enter valid PB./Acc. # in this cell!</v>
          </cell>
          <cell r="F2027" t="str">
            <v>OK</v>
          </cell>
        </row>
        <row r="2028">
          <cell r="C2028" t="str">
            <v>&lt;-- enter valid PB./Acc. # in this cell!</v>
          </cell>
          <cell r="F2028" t="str">
            <v>OK</v>
          </cell>
        </row>
        <row r="2029">
          <cell r="C2029" t="str">
            <v>&lt;-- enter valid PB./Acc. # in this cell!</v>
          </cell>
          <cell r="F2029" t="str">
            <v>OK</v>
          </cell>
        </row>
        <row r="2030">
          <cell r="C2030" t="str">
            <v>&lt;-- enter valid PB./Acc. # in this cell!</v>
          </cell>
          <cell r="F2030" t="str">
            <v>OK</v>
          </cell>
        </row>
        <row r="2031">
          <cell r="C2031" t="str">
            <v>&lt;-- enter valid PB./Acc. # in this cell!</v>
          </cell>
          <cell r="F2031" t="str">
            <v>OK</v>
          </cell>
        </row>
        <row r="2032">
          <cell r="C2032" t="str">
            <v>&lt;-- enter valid PB./Acc. # in this cell!</v>
          </cell>
          <cell r="F2032" t="str">
            <v>OK</v>
          </cell>
        </row>
        <row r="2033">
          <cell r="C2033" t="str">
            <v>&lt;-- enter valid PB./Acc. # in this cell!</v>
          </cell>
          <cell r="F2033" t="str">
            <v>OK</v>
          </cell>
        </row>
        <row r="2034">
          <cell r="C2034" t="str">
            <v>&lt;-- enter valid PB./Acc. # in this cell!</v>
          </cell>
          <cell r="F2034" t="str">
            <v>OK</v>
          </cell>
        </row>
        <row r="2035">
          <cell r="C2035" t="str">
            <v>&lt;-- enter valid PB./Acc. # in this cell!</v>
          </cell>
          <cell r="F2035" t="str">
            <v>OK</v>
          </cell>
        </row>
        <row r="2036">
          <cell r="C2036" t="str">
            <v>&lt;-- enter valid PB./Acc. # in this cell!</v>
          </cell>
          <cell r="F2036" t="str">
            <v>OK</v>
          </cell>
        </row>
        <row r="2037">
          <cell r="C2037" t="str">
            <v>&lt;-- enter valid PB./Acc. # in this cell!</v>
          </cell>
          <cell r="F2037" t="str">
            <v>OK</v>
          </cell>
        </row>
        <row r="2038">
          <cell r="C2038" t="str">
            <v>&lt;-- enter valid PB./Acc. # in this cell!</v>
          </cell>
          <cell r="F2038" t="str">
            <v>OK</v>
          </cell>
        </row>
        <row r="2039">
          <cell r="C2039" t="str">
            <v>&lt;-- enter valid PB./Acc. # in this cell!</v>
          </cell>
          <cell r="F2039" t="str">
            <v>OK</v>
          </cell>
        </row>
        <row r="2040">
          <cell r="C2040" t="str">
            <v>&lt;-- enter valid PB./Acc. # in this cell!</v>
          </cell>
          <cell r="F2040" t="str">
            <v>OK</v>
          </cell>
        </row>
        <row r="2041">
          <cell r="C2041" t="str">
            <v>&lt;-- enter valid PB./Acc. # in this cell!</v>
          </cell>
          <cell r="F2041" t="str">
            <v>OK</v>
          </cell>
        </row>
        <row r="2042">
          <cell r="C2042" t="str">
            <v>&lt;-- enter valid PB./Acc. # in this cell!</v>
          </cell>
          <cell r="F2042" t="str">
            <v>OK</v>
          </cell>
        </row>
        <row r="2043">
          <cell r="C2043" t="str">
            <v>&lt;-- enter valid PB./Acc. # in this cell!</v>
          </cell>
          <cell r="F2043" t="str">
            <v>OK</v>
          </cell>
        </row>
        <row r="2044">
          <cell r="C2044" t="str">
            <v>&lt;-- enter valid PB./Acc. # in this cell!</v>
          </cell>
          <cell r="F2044" t="str">
            <v>OK</v>
          </cell>
        </row>
        <row r="2045">
          <cell r="C2045" t="str">
            <v>&lt;-- enter valid PB./Acc. # in this cell!</v>
          </cell>
          <cell r="F2045" t="str">
            <v>OK</v>
          </cell>
        </row>
        <row r="2046">
          <cell r="C2046" t="str">
            <v>&lt;-- enter valid PB./Acc. # in this cell!</v>
          </cell>
          <cell r="F2046" t="str">
            <v>OK</v>
          </cell>
        </row>
        <row r="2047">
          <cell r="C2047" t="str">
            <v>&lt;-- enter valid PB./Acc. # in this cell!</v>
          </cell>
          <cell r="F2047" t="str">
            <v>OK</v>
          </cell>
        </row>
        <row r="2048">
          <cell r="C2048" t="str">
            <v>&lt;-- enter valid PB./Acc. # in this cell!</v>
          </cell>
          <cell r="F2048" t="str">
            <v>OK</v>
          </cell>
        </row>
        <row r="2049">
          <cell r="C2049" t="str">
            <v>&lt;-- enter valid PB./Acc. # in this cell!</v>
          </cell>
          <cell r="F2049" t="str">
            <v>OK</v>
          </cell>
        </row>
        <row r="2050">
          <cell r="C2050" t="str">
            <v>&lt;-- enter valid PB./Acc. # in this cell!</v>
          </cell>
          <cell r="F2050" t="str">
            <v>OK</v>
          </cell>
        </row>
        <row r="2051">
          <cell r="C2051" t="str">
            <v>&lt;-- enter valid PB./Acc. # in this cell!</v>
          </cell>
          <cell r="F2051" t="str">
            <v>OK</v>
          </cell>
        </row>
        <row r="2052">
          <cell r="C2052" t="str">
            <v>&lt;-- enter valid PB./Acc. # in this cell!</v>
          </cell>
          <cell r="F2052" t="str">
            <v>OK</v>
          </cell>
        </row>
        <row r="2053">
          <cell r="C2053" t="str">
            <v>&lt;-- enter valid PB./Acc. # in this cell!</v>
          </cell>
          <cell r="F2053" t="str">
            <v>OK</v>
          </cell>
        </row>
        <row r="2054">
          <cell r="C2054" t="str">
            <v>&lt;-- enter valid PB./Acc. # in this cell!</v>
          </cell>
          <cell r="F2054" t="str">
            <v>OK</v>
          </cell>
        </row>
        <row r="2055">
          <cell r="C2055" t="str">
            <v>&lt;-- enter valid PB./Acc. # in this cell!</v>
          </cell>
          <cell r="F2055" t="str">
            <v>OK</v>
          </cell>
        </row>
        <row r="2056">
          <cell r="C2056" t="str">
            <v>&lt;-- enter valid PB./Acc. # in this cell!</v>
          </cell>
          <cell r="F2056" t="str">
            <v>OK</v>
          </cell>
        </row>
        <row r="2057">
          <cell r="C2057" t="str">
            <v>&lt;-- enter valid PB./Acc. # in this cell!</v>
          </cell>
          <cell r="F2057" t="str">
            <v>OK</v>
          </cell>
        </row>
        <row r="2058">
          <cell r="C2058" t="str">
            <v>&lt;-- enter valid PB./Acc. # in this cell!</v>
          </cell>
          <cell r="F2058" t="str">
            <v>OK</v>
          </cell>
        </row>
        <row r="2059">
          <cell r="C2059" t="str">
            <v>&lt;-- enter valid PB./Acc. # in this cell!</v>
          </cell>
          <cell r="F2059" t="str">
            <v>OK</v>
          </cell>
        </row>
        <row r="2060">
          <cell r="C2060" t="str">
            <v>&lt;-- enter valid PB./Acc. # in this cell!</v>
          </cell>
          <cell r="F2060" t="str">
            <v>OK</v>
          </cell>
        </row>
        <row r="2061">
          <cell r="C2061" t="str">
            <v>&lt;-- enter valid PB./Acc. # in this cell!</v>
          </cell>
          <cell r="F2061" t="str">
            <v>OK</v>
          </cell>
        </row>
        <row r="2062">
          <cell r="C2062" t="str">
            <v>&lt;-- enter valid PB./Acc. # in this cell!</v>
          </cell>
          <cell r="F2062" t="str">
            <v>OK</v>
          </cell>
        </row>
        <row r="2063">
          <cell r="C2063" t="str">
            <v>&lt;-- enter valid PB./Acc. # in this cell!</v>
          </cell>
          <cell r="F2063" t="str">
            <v>OK</v>
          </cell>
        </row>
        <row r="2064">
          <cell r="C2064" t="str">
            <v>&lt;-- enter valid PB./Acc. # in this cell!</v>
          </cell>
          <cell r="F2064" t="str">
            <v>OK</v>
          </cell>
        </row>
        <row r="2065">
          <cell r="C2065" t="str">
            <v>&lt;-- enter valid PB./Acc. # in this cell!</v>
          </cell>
          <cell r="F2065" t="str">
            <v>OK</v>
          </cell>
        </row>
        <row r="2066">
          <cell r="C2066" t="str">
            <v>&lt;-- enter valid PB./Acc. # in this cell!</v>
          </cell>
          <cell r="F2066" t="str">
            <v>OK</v>
          </cell>
        </row>
        <row r="2067">
          <cell r="C2067" t="str">
            <v>&lt;-- enter valid PB./Acc. # in this cell!</v>
          </cell>
          <cell r="F2067" t="str">
            <v>OK</v>
          </cell>
        </row>
        <row r="2068">
          <cell r="C2068" t="str">
            <v>&lt;-- enter valid PB./Acc. # in this cell!</v>
          </cell>
          <cell r="F2068" t="str">
            <v>OK</v>
          </cell>
        </row>
        <row r="2069">
          <cell r="C2069" t="str">
            <v>&lt;-- enter valid PB./Acc. # in this cell!</v>
          </cell>
          <cell r="F2069" t="str">
            <v>OK</v>
          </cell>
        </row>
        <row r="2070">
          <cell r="C2070" t="str">
            <v>&lt;-- enter valid PB./Acc. # in this cell!</v>
          </cell>
          <cell r="F2070" t="str">
            <v>OK</v>
          </cell>
        </row>
        <row r="2071">
          <cell r="C2071" t="str">
            <v>&lt;-- enter valid PB./Acc. # in this cell!</v>
          </cell>
          <cell r="F2071" t="str">
            <v>OK</v>
          </cell>
        </row>
        <row r="2072">
          <cell r="C2072" t="str">
            <v>&lt;-- enter valid PB./Acc. # in this cell!</v>
          </cell>
          <cell r="F2072" t="str">
            <v>OK</v>
          </cell>
        </row>
        <row r="2073">
          <cell r="C2073" t="str">
            <v>&lt;-- enter valid PB./Acc. # in this cell!</v>
          </cell>
          <cell r="F2073" t="str">
            <v>OK</v>
          </cell>
        </row>
        <row r="2074">
          <cell r="C2074" t="str">
            <v>&lt;-- enter valid PB./Acc. # in this cell!</v>
          </cell>
          <cell r="F2074" t="str">
            <v>OK</v>
          </cell>
        </row>
        <row r="2075">
          <cell r="C2075" t="str">
            <v>&lt;-- enter valid PB./Acc. # in this cell!</v>
          </cell>
          <cell r="F2075" t="str">
            <v>OK</v>
          </cell>
        </row>
        <row r="2076">
          <cell r="C2076" t="str">
            <v>&lt;-- enter valid PB./Acc. # in this cell!</v>
          </cell>
          <cell r="F2076" t="str">
            <v>OK</v>
          </cell>
        </row>
        <row r="2077">
          <cell r="C2077" t="str">
            <v>&lt;-- enter valid PB./Acc. # in this cell!</v>
          </cell>
          <cell r="F2077" t="str">
            <v>OK</v>
          </cell>
        </row>
        <row r="2078">
          <cell r="C2078" t="str">
            <v>&lt;-- enter valid PB./Acc. # in this cell!</v>
          </cell>
          <cell r="F2078" t="str">
            <v>OK</v>
          </cell>
        </row>
        <row r="2079">
          <cell r="C2079" t="str">
            <v>&lt;-- enter valid PB./Acc. # in this cell!</v>
          </cell>
          <cell r="F2079" t="str">
            <v>OK</v>
          </cell>
        </row>
        <row r="2080">
          <cell r="C2080" t="str">
            <v>&lt;-- enter valid PB./Acc. # in this cell!</v>
          </cell>
          <cell r="F2080" t="str">
            <v>OK</v>
          </cell>
        </row>
        <row r="2081">
          <cell r="C2081" t="str">
            <v>&lt;-- enter valid PB./Acc. # in this cell!</v>
          </cell>
          <cell r="F2081" t="str">
            <v>OK</v>
          </cell>
        </row>
        <row r="2082">
          <cell r="C2082" t="str">
            <v>&lt;-- enter valid PB./Acc. # in this cell!</v>
          </cell>
          <cell r="F2082" t="str">
            <v>OK</v>
          </cell>
        </row>
        <row r="2083">
          <cell r="C2083" t="str">
            <v>&lt;-- enter valid PB./Acc. # in this cell!</v>
          </cell>
          <cell r="F2083" t="str">
            <v>OK</v>
          </cell>
        </row>
        <row r="2084">
          <cell r="C2084" t="str">
            <v>&lt;-- enter valid PB./Acc. # in this cell!</v>
          </cell>
          <cell r="F2084" t="str">
            <v>OK</v>
          </cell>
        </row>
        <row r="2085">
          <cell r="C2085" t="str">
            <v>&lt;-- enter valid PB./Acc. # in this cell!</v>
          </cell>
          <cell r="F2085" t="str">
            <v>OK</v>
          </cell>
        </row>
        <row r="2086">
          <cell r="C2086" t="str">
            <v>&lt;-- enter valid PB./Acc. # in this cell!</v>
          </cell>
          <cell r="F2086" t="str">
            <v>OK</v>
          </cell>
        </row>
        <row r="2087">
          <cell r="C2087" t="str">
            <v>&lt;-- enter valid PB./Acc. # in this cell!</v>
          </cell>
          <cell r="F2087" t="str">
            <v>OK</v>
          </cell>
        </row>
        <row r="2088">
          <cell r="C2088" t="str">
            <v>&lt;-- enter valid PB./Acc. # in this cell!</v>
          </cell>
          <cell r="F2088" t="str">
            <v>OK</v>
          </cell>
        </row>
        <row r="2089">
          <cell r="C2089" t="str">
            <v>&lt;-- enter valid PB./Acc. # in this cell!</v>
          </cell>
          <cell r="F2089" t="str">
            <v>OK</v>
          </cell>
        </row>
        <row r="2090">
          <cell r="C2090" t="str">
            <v>&lt;-- enter valid PB./Acc. # in this cell!</v>
          </cell>
          <cell r="F2090" t="str">
            <v>OK</v>
          </cell>
        </row>
        <row r="2091">
          <cell r="C2091" t="str">
            <v>&lt;-- enter valid PB./Acc. # in this cell!</v>
          </cell>
          <cell r="F2091" t="str">
            <v>OK</v>
          </cell>
        </row>
        <row r="2092">
          <cell r="C2092" t="str">
            <v>&lt;-- enter valid PB./Acc. # in this cell!</v>
          </cell>
          <cell r="F2092" t="str">
            <v>OK</v>
          </cell>
        </row>
        <row r="2093">
          <cell r="C2093" t="str">
            <v>&lt;-- enter valid PB./Acc. # in this cell!</v>
          </cell>
          <cell r="F2093" t="str">
            <v>OK</v>
          </cell>
        </row>
        <row r="2094">
          <cell r="C2094" t="str">
            <v>&lt;-- enter valid PB./Acc. # in this cell!</v>
          </cell>
          <cell r="F2094" t="str">
            <v>OK</v>
          </cell>
        </row>
        <row r="2095">
          <cell r="C2095" t="str">
            <v>&lt;-- enter valid PB./Acc. # in this cell!</v>
          </cell>
          <cell r="F2095" t="str">
            <v>OK</v>
          </cell>
        </row>
        <row r="2096">
          <cell r="C2096" t="str">
            <v>&lt;-- enter valid PB./Acc. # in this cell!</v>
          </cell>
          <cell r="F2096" t="str">
            <v>OK</v>
          </cell>
        </row>
        <row r="2097">
          <cell r="C2097" t="str">
            <v>&lt;-- enter valid PB./Acc. # in this cell!</v>
          </cell>
          <cell r="F2097" t="str">
            <v>OK</v>
          </cell>
        </row>
        <row r="2098">
          <cell r="C2098" t="str">
            <v>&lt;-- enter valid PB./Acc. # in this cell!</v>
          </cell>
          <cell r="F2098" t="str">
            <v>OK</v>
          </cell>
        </row>
        <row r="2099">
          <cell r="C2099" t="str">
            <v>&lt;-- enter valid PB./Acc. # in this cell!</v>
          </cell>
          <cell r="F2099" t="str">
            <v>OK</v>
          </cell>
        </row>
        <row r="2100">
          <cell r="A2100" t="str">
            <v>Total Balances of January 2016</v>
          </cell>
          <cell r="F2100" t="str">
            <v>OK</v>
          </cell>
          <cell r="G2100">
            <v>0</v>
          </cell>
          <cell r="H2100">
            <v>0</v>
          </cell>
          <cell r="I2100">
            <v>0</v>
          </cell>
          <cell r="J2100">
            <v>0</v>
          </cell>
          <cell r="K2100">
            <v>0</v>
          </cell>
          <cell r="L2100">
            <v>0</v>
          </cell>
          <cell r="M2100">
            <v>0</v>
          </cell>
          <cell r="N2100">
            <v>0</v>
          </cell>
          <cell r="O2100">
            <v>0</v>
          </cell>
          <cell r="P2100">
            <v>0</v>
          </cell>
          <cell r="Q2100">
            <v>0</v>
          </cell>
          <cell r="R2100">
            <v>0</v>
          </cell>
          <cell r="S2100">
            <v>0</v>
          </cell>
          <cell r="T2100">
            <v>0</v>
          </cell>
          <cell r="AQ2100">
            <v>0</v>
          </cell>
        </row>
        <row r="2101">
          <cell r="A2101">
            <v>42429</v>
          </cell>
        </row>
        <row r="2102">
          <cell r="C2102" t="str">
            <v>&lt;-- enter valid PB./Acc. # in this cell!</v>
          </cell>
          <cell r="F2102" t="str">
            <v>OK</v>
          </cell>
        </row>
        <row r="2103">
          <cell r="C2103" t="str">
            <v>&lt;-- enter valid PB./Acc. # in this cell!</v>
          </cell>
          <cell r="F2103" t="str">
            <v>OK</v>
          </cell>
        </row>
        <row r="2104">
          <cell r="C2104" t="str">
            <v>&lt;-- enter valid PB./Acc. # in this cell!</v>
          </cell>
          <cell r="F2104" t="str">
            <v>OK</v>
          </cell>
        </row>
        <row r="2105">
          <cell r="C2105" t="str">
            <v>&lt;-- enter valid PB./Acc. # in this cell!</v>
          </cell>
          <cell r="F2105" t="str">
            <v>OK</v>
          </cell>
        </row>
        <row r="2106">
          <cell r="C2106" t="str">
            <v>&lt;-- enter valid PB./Acc. # in this cell!</v>
          </cell>
          <cell r="F2106" t="str">
            <v>OK</v>
          </cell>
        </row>
        <row r="2107">
          <cell r="C2107" t="str">
            <v>&lt;-- enter valid PB./Acc. # in this cell!</v>
          </cell>
          <cell r="F2107" t="str">
            <v>OK</v>
          </cell>
        </row>
        <row r="2108">
          <cell r="C2108" t="str">
            <v>&lt;-- enter valid PB./Acc. # in this cell!</v>
          </cell>
          <cell r="F2108" t="str">
            <v>OK</v>
          </cell>
        </row>
        <row r="2109">
          <cell r="C2109" t="str">
            <v>&lt;-- enter valid PB./Acc. # in this cell!</v>
          </cell>
          <cell r="F2109" t="str">
            <v>OK</v>
          </cell>
        </row>
        <row r="2110">
          <cell r="C2110" t="str">
            <v>&lt;-- enter valid PB./Acc. # in this cell!</v>
          </cell>
          <cell r="F2110" t="str">
            <v>OK</v>
          </cell>
        </row>
        <row r="2111">
          <cell r="C2111" t="str">
            <v>&lt;-- enter valid PB./Acc. # in this cell!</v>
          </cell>
          <cell r="F2111" t="str">
            <v>OK</v>
          </cell>
        </row>
        <row r="2112">
          <cell r="C2112" t="str">
            <v>&lt;-- enter valid PB./Acc. # in this cell!</v>
          </cell>
          <cell r="F2112" t="str">
            <v>OK</v>
          </cell>
        </row>
        <row r="2113">
          <cell r="C2113" t="str">
            <v>&lt;-- enter valid PB./Acc. # in this cell!</v>
          </cell>
          <cell r="F2113" t="str">
            <v>OK</v>
          </cell>
        </row>
        <row r="2114">
          <cell r="C2114" t="str">
            <v>&lt;-- enter valid PB./Acc. # in this cell!</v>
          </cell>
          <cell r="F2114" t="str">
            <v>OK</v>
          </cell>
        </row>
        <row r="2115">
          <cell r="C2115" t="str">
            <v>&lt;-- enter valid PB./Acc. # in this cell!</v>
          </cell>
          <cell r="F2115" t="str">
            <v>OK</v>
          </cell>
        </row>
        <row r="2116">
          <cell r="C2116" t="str">
            <v>&lt;-- enter valid PB./Acc. # in this cell!</v>
          </cell>
          <cell r="F2116" t="str">
            <v>OK</v>
          </cell>
        </row>
        <row r="2117">
          <cell r="C2117" t="str">
            <v>&lt;-- enter valid PB./Acc. # in this cell!</v>
          </cell>
          <cell r="F2117" t="str">
            <v>OK</v>
          </cell>
        </row>
        <row r="2118">
          <cell r="C2118" t="str">
            <v>&lt;-- enter valid PB./Acc. # in this cell!</v>
          </cell>
          <cell r="F2118" t="str">
            <v>OK</v>
          </cell>
        </row>
        <row r="2119">
          <cell r="C2119" t="str">
            <v>&lt;-- enter valid PB./Acc. # in this cell!</v>
          </cell>
          <cell r="F2119" t="str">
            <v>OK</v>
          </cell>
        </row>
        <row r="2120">
          <cell r="C2120" t="str">
            <v>&lt;-- enter valid PB./Acc. # in this cell!</v>
          </cell>
          <cell r="F2120" t="str">
            <v>OK</v>
          </cell>
        </row>
        <row r="2121">
          <cell r="C2121" t="str">
            <v>&lt;-- enter valid PB./Acc. # in this cell!</v>
          </cell>
          <cell r="F2121" t="str">
            <v>OK</v>
          </cell>
        </row>
        <row r="2122">
          <cell r="C2122" t="str">
            <v>&lt;-- enter valid PB./Acc. # in this cell!</v>
          </cell>
          <cell r="F2122" t="str">
            <v>OK</v>
          </cell>
        </row>
        <row r="2123">
          <cell r="C2123" t="str">
            <v>&lt;-- enter valid PB./Acc. # in this cell!</v>
          </cell>
          <cell r="F2123" t="str">
            <v>OK</v>
          </cell>
        </row>
        <row r="2124">
          <cell r="C2124" t="str">
            <v>&lt;-- enter valid PB./Acc. # in this cell!</v>
          </cell>
          <cell r="F2124" t="str">
            <v>OK</v>
          </cell>
        </row>
        <row r="2125">
          <cell r="C2125" t="str">
            <v>&lt;-- enter valid PB./Acc. # in this cell!</v>
          </cell>
          <cell r="F2125" t="str">
            <v>OK</v>
          </cell>
        </row>
        <row r="2126">
          <cell r="C2126" t="str">
            <v>&lt;-- enter valid PB./Acc. # in this cell!</v>
          </cell>
          <cell r="F2126" t="str">
            <v>OK</v>
          </cell>
        </row>
        <row r="2127">
          <cell r="C2127" t="str">
            <v>&lt;-- enter valid PB./Acc. # in this cell!</v>
          </cell>
          <cell r="F2127" t="str">
            <v>OK</v>
          </cell>
        </row>
        <row r="2128">
          <cell r="C2128" t="str">
            <v>&lt;-- enter valid PB./Acc. # in this cell!</v>
          </cell>
          <cell r="F2128" t="str">
            <v>OK</v>
          </cell>
        </row>
        <row r="2129">
          <cell r="C2129" t="str">
            <v>&lt;-- enter valid PB./Acc. # in this cell!</v>
          </cell>
          <cell r="F2129" t="str">
            <v>OK</v>
          </cell>
        </row>
        <row r="2130">
          <cell r="C2130" t="str">
            <v>&lt;-- enter valid PB./Acc. # in this cell!</v>
          </cell>
          <cell r="F2130" t="str">
            <v>OK</v>
          </cell>
        </row>
        <row r="2131">
          <cell r="C2131" t="str">
            <v>&lt;-- enter valid PB./Acc. # in this cell!</v>
          </cell>
          <cell r="F2131" t="str">
            <v>OK</v>
          </cell>
        </row>
        <row r="2132">
          <cell r="C2132" t="str">
            <v>&lt;-- enter valid PB./Acc. # in this cell!</v>
          </cell>
          <cell r="F2132" t="str">
            <v>OK</v>
          </cell>
        </row>
        <row r="2133">
          <cell r="C2133" t="str">
            <v>&lt;-- enter valid PB./Acc. # in this cell!</v>
          </cell>
          <cell r="F2133" t="str">
            <v>OK</v>
          </cell>
        </row>
        <row r="2134">
          <cell r="C2134" t="str">
            <v>&lt;-- enter valid PB./Acc. # in this cell!</v>
          </cell>
          <cell r="F2134" t="str">
            <v>OK</v>
          </cell>
        </row>
        <row r="2135">
          <cell r="C2135" t="str">
            <v>&lt;-- enter valid PB./Acc. # in this cell!</v>
          </cell>
          <cell r="F2135" t="str">
            <v>OK</v>
          </cell>
        </row>
        <row r="2136">
          <cell r="C2136" t="str">
            <v>&lt;-- enter valid PB./Acc. # in this cell!</v>
          </cell>
          <cell r="F2136" t="str">
            <v>OK</v>
          </cell>
        </row>
        <row r="2137">
          <cell r="C2137" t="str">
            <v>&lt;-- enter valid PB./Acc. # in this cell!</v>
          </cell>
          <cell r="F2137" t="str">
            <v>OK</v>
          </cell>
        </row>
        <row r="2138">
          <cell r="C2138" t="str">
            <v>&lt;-- enter valid PB./Acc. # in this cell!</v>
          </cell>
          <cell r="F2138" t="str">
            <v>OK</v>
          </cell>
        </row>
        <row r="2139">
          <cell r="C2139" t="str">
            <v>&lt;-- enter valid PB./Acc. # in this cell!</v>
          </cell>
          <cell r="F2139" t="str">
            <v>OK</v>
          </cell>
        </row>
        <row r="2140">
          <cell r="C2140" t="str">
            <v>&lt;-- enter valid PB./Acc. # in this cell!</v>
          </cell>
          <cell r="F2140" t="str">
            <v>OK</v>
          </cell>
        </row>
        <row r="2141">
          <cell r="C2141" t="str">
            <v>&lt;-- enter valid PB./Acc. # in this cell!</v>
          </cell>
          <cell r="F2141" t="str">
            <v>OK</v>
          </cell>
        </row>
        <row r="2142">
          <cell r="C2142" t="str">
            <v>&lt;-- enter valid PB./Acc. # in this cell!</v>
          </cell>
          <cell r="F2142" t="str">
            <v>OK</v>
          </cell>
        </row>
        <row r="2143">
          <cell r="C2143" t="str">
            <v>&lt;-- enter valid PB./Acc. # in this cell!</v>
          </cell>
          <cell r="F2143" t="str">
            <v>OK</v>
          </cell>
        </row>
        <row r="2144">
          <cell r="C2144" t="str">
            <v>&lt;-- enter valid PB./Acc. # in this cell!</v>
          </cell>
          <cell r="F2144" t="str">
            <v>OK</v>
          </cell>
        </row>
        <row r="2145">
          <cell r="C2145" t="str">
            <v>&lt;-- enter valid PB./Acc. # in this cell!</v>
          </cell>
          <cell r="F2145" t="str">
            <v>OK</v>
          </cell>
        </row>
        <row r="2146">
          <cell r="C2146" t="str">
            <v>&lt;-- enter valid PB./Acc. # in this cell!</v>
          </cell>
          <cell r="F2146" t="str">
            <v>OK</v>
          </cell>
        </row>
        <row r="2147">
          <cell r="C2147" t="str">
            <v>&lt;-- enter valid PB./Acc. # in this cell!</v>
          </cell>
          <cell r="F2147" t="str">
            <v>OK</v>
          </cell>
        </row>
        <row r="2148">
          <cell r="C2148" t="str">
            <v>&lt;-- enter valid PB./Acc. # in this cell!</v>
          </cell>
          <cell r="F2148" t="str">
            <v>OK</v>
          </cell>
        </row>
        <row r="2149">
          <cell r="C2149" t="str">
            <v>&lt;-- enter valid PB./Acc. # in this cell!</v>
          </cell>
          <cell r="F2149" t="str">
            <v>OK</v>
          </cell>
        </row>
        <row r="2150">
          <cell r="C2150" t="str">
            <v>&lt;-- enter valid PB./Acc. # in this cell!</v>
          </cell>
          <cell r="F2150" t="str">
            <v>OK</v>
          </cell>
        </row>
        <row r="2151">
          <cell r="C2151" t="str">
            <v>&lt;-- enter valid PB./Acc. # in this cell!</v>
          </cell>
          <cell r="F2151" t="str">
            <v>OK</v>
          </cell>
        </row>
        <row r="2152">
          <cell r="C2152" t="str">
            <v>&lt;-- enter valid PB./Acc. # in this cell!</v>
          </cell>
          <cell r="F2152" t="str">
            <v>OK</v>
          </cell>
        </row>
        <row r="2153">
          <cell r="C2153" t="str">
            <v>&lt;-- enter valid PB./Acc. # in this cell!</v>
          </cell>
          <cell r="F2153" t="str">
            <v>OK</v>
          </cell>
        </row>
        <row r="2154">
          <cell r="C2154" t="str">
            <v>&lt;-- enter valid PB./Acc. # in this cell!</v>
          </cell>
          <cell r="F2154" t="str">
            <v>OK</v>
          </cell>
        </row>
        <row r="2155">
          <cell r="C2155" t="str">
            <v>&lt;-- enter valid PB./Acc. # in this cell!</v>
          </cell>
          <cell r="F2155" t="str">
            <v>OK</v>
          </cell>
        </row>
        <row r="2156">
          <cell r="C2156" t="str">
            <v>&lt;-- enter valid PB./Acc. # in this cell!</v>
          </cell>
          <cell r="F2156" t="str">
            <v>OK</v>
          </cell>
        </row>
        <row r="2157">
          <cell r="C2157" t="str">
            <v>&lt;-- enter valid PB./Acc. # in this cell!</v>
          </cell>
          <cell r="F2157" t="str">
            <v>OK</v>
          </cell>
        </row>
        <row r="2158">
          <cell r="C2158" t="str">
            <v>&lt;-- enter valid PB./Acc. # in this cell!</v>
          </cell>
          <cell r="F2158" t="str">
            <v>OK</v>
          </cell>
        </row>
        <row r="2159">
          <cell r="C2159" t="str">
            <v>&lt;-- enter valid PB./Acc. # in this cell!</v>
          </cell>
          <cell r="F2159" t="str">
            <v>OK</v>
          </cell>
        </row>
        <row r="2160">
          <cell r="C2160" t="str">
            <v>&lt;-- enter valid PB./Acc. # in this cell!</v>
          </cell>
          <cell r="F2160" t="str">
            <v>OK</v>
          </cell>
        </row>
        <row r="2161">
          <cell r="C2161" t="str">
            <v>&lt;-- enter valid PB./Acc. # in this cell!</v>
          </cell>
          <cell r="F2161" t="str">
            <v>OK</v>
          </cell>
        </row>
        <row r="2162">
          <cell r="C2162" t="str">
            <v>&lt;-- enter valid PB./Acc. # in this cell!</v>
          </cell>
          <cell r="F2162" t="str">
            <v>OK</v>
          </cell>
        </row>
        <row r="2163">
          <cell r="C2163" t="str">
            <v>&lt;-- enter valid PB./Acc. # in this cell!</v>
          </cell>
          <cell r="F2163" t="str">
            <v>OK</v>
          </cell>
        </row>
        <row r="2164">
          <cell r="C2164" t="str">
            <v>&lt;-- enter valid PB./Acc. # in this cell!</v>
          </cell>
          <cell r="F2164" t="str">
            <v>OK</v>
          </cell>
        </row>
        <row r="2165">
          <cell r="C2165" t="str">
            <v>&lt;-- enter valid PB./Acc. # in this cell!</v>
          </cell>
          <cell r="F2165" t="str">
            <v>OK</v>
          </cell>
        </row>
        <row r="2166">
          <cell r="C2166" t="str">
            <v>&lt;-- enter valid PB./Acc. # in this cell!</v>
          </cell>
          <cell r="F2166" t="str">
            <v>OK</v>
          </cell>
        </row>
        <row r="2167">
          <cell r="C2167" t="str">
            <v>&lt;-- enter valid PB./Acc. # in this cell!</v>
          </cell>
          <cell r="F2167" t="str">
            <v>OK</v>
          </cell>
        </row>
        <row r="2168">
          <cell r="C2168" t="str">
            <v>&lt;-- enter valid PB./Acc. # in this cell!</v>
          </cell>
          <cell r="F2168" t="str">
            <v>OK</v>
          </cell>
        </row>
        <row r="2169">
          <cell r="C2169" t="str">
            <v>&lt;-- enter valid PB./Acc. # in this cell!</v>
          </cell>
          <cell r="F2169" t="str">
            <v>OK</v>
          </cell>
        </row>
        <row r="2170">
          <cell r="C2170" t="str">
            <v>&lt;-- enter valid PB./Acc. # in this cell!</v>
          </cell>
          <cell r="F2170" t="str">
            <v>OK</v>
          </cell>
        </row>
        <row r="2171">
          <cell r="C2171" t="str">
            <v>&lt;-- enter valid PB./Acc. # in this cell!</v>
          </cell>
          <cell r="F2171" t="str">
            <v>OK</v>
          </cell>
        </row>
        <row r="2172">
          <cell r="C2172" t="str">
            <v>&lt;-- enter valid PB./Acc. # in this cell!</v>
          </cell>
          <cell r="F2172" t="str">
            <v>OK</v>
          </cell>
        </row>
        <row r="2173">
          <cell r="C2173" t="str">
            <v>&lt;-- enter valid PB./Acc. # in this cell!</v>
          </cell>
          <cell r="F2173" t="str">
            <v>OK</v>
          </cell>
        </row>
        <row r="2174">
          <cell r="C2174" t="str">
            <v>&lt;-- enter valid PB./Acc. # in this cell!</v>
          </cell>
          <cell r="F2174" t="str">
            <v>OK</v>
          </cell>
        </row>
        <row r="2175">
          <cell r="C2175" t="str">
            <v>&lt;-- enter valid PB./Acc. # in this cell!</v>
          </cell>
          <cell r="F2175" t="str">
            <v>OK</v>
          </cell>
        </row>
        <row r="2176">
          <cell r="C2176" t="str">
            <v>&lt;-- enter valid PB./Acc. # in this cell!</v>
          </cell>
          <cell r="F2176" t="str">
            <v>OK</v>
          </cell>
        </row>
        <row r="2177">
          <cell r="C2177" t="str">
            <v>&lt;-- enter valid PB./Acc. # in this cell!</v>
          </cell>
          <cell r="F2177" t="str">
            <v>OK</v>
          </cell>
        </row>
        <row r="2178">
          <cell r="C2178" t="str">
            <v>&lt;-- enter valid PB./Acc. # in this cell!</v>
          </cell>
          <cell r="F2178" t="str">
            <v>OK</v>
          </cell>
        </row>
        <row r="2179">
          <cell r="C2179" t="str">
            <v>&lt;-- enter valid PB./Acc. # in this cell!</v>
          </cell>
          <cell r="F2179" t="str">
            <v>OK</v>
          </cell>
        </row>
        <row r="2180">
          <cell r="C2180" t="str">
            <v>&lt;-- enter valid PB./Acc. # in this cell!</v>
          </cell>
          <cell r="F2180" t="str">
            <v>OK</v>
          </cell>
        </row>
        <row r="2181">
          <cell r="C2181" t="str">
            <v>&lt;-- enter valid PB./Acc. # in this cell!</v>
          </cell>
          <cell r="F2181" t="str">
            <v>OK</v>
          </cell>
        </row>
        <row r="2182">
          <cell r="C2182" t="str">
            <v>&lt;-- enter valid PB./Acc. # in this cell!</v>
          </cell>
          <cell r="F2182" t="str">
            <v>OK</v>
          </cell>
        </row>
        <row r="2183">
          <cell r="C2183" t="str">
            <v>&lt;-- enter valid PB./Acc. # in this cell!</v>
          </cell>
          <cell r="F2183" t="str">
            <v>OK</v>
          </cell>
        </row>
        <row r="2184">
          <cell r="C2184" t="str">
            <v>&lt;-- enter valid PB./Acc. # in this cell!</v>
          </cell>
          <cell r="F2184" t="str">
            <v>OK</v>
          </cell>
        </row>
        <row r="2185">
          <cell r="C2185" t="str">
            <v>&lt;-- enter valid PB./Acc. # in this cell!</v>
          </cell>
          <cell r="F2185" t="str">
            <v>OK</v>
          </cell>
        </row>
        <row r="2186">
          <cell r="C2186" t="str">
            <v>&lt;-- enter valid PB./Acc. # in this cell!</v>
          </cell>
          <cell r="F2186" t="str">
            <v>OK</v>
          </cell>
        </row>
        <row r="2187">
          <cell r="C2187" t="str">
            <v>&lt;-- enter valid PB./Acc. # in this cell!</v>
          </cell>
          <cell r="F2187" t="str">
            <v>OK</v>
          </cell>
        </row>
        <row r="2188">
          <cell r="C2188" t="str">
            <v>&lt;-- enter valid PB./Acc. # in this cell!</v>
          </cell>
          <cell r="F2188" t="str">
            <v>OK</v>
          </cell>
        </row>
        <row r="2189">
          <cell r="C2189" t="str">
            <v>&lt;-- enter valid PB./Acc. # in this cell!</v>
          </cell>
          <cell r="F2189" t="str">
            <v>OK</v>
          </cell>
        </row>
        <row r="2190">
          <cell r="C2190" t="str">
            <v>&lt;-- enter valid PB./Acc. # in this cell!</v>
          </cell>
          <cell r="F2190" t="str">
            <v>OK</v>
          </cell>
        </row>
        <row r="2191">
          <cell r="C2191" t="str">
            <v>&lt;-- enter valid PB./Acc. # in this cell!</v>
          </cell>
          <cell r="F2191" t="str">
            <v>OK</v>
          </cell>
        </row>
        <row r="2192">
          <cell r="C2192" t="str">
            <v>&lt;-- enter valid PB./Acc. # in this cell!</v>
          </cell>
          <cell r="F2192" t="str">
            <v>OK</v>
          </cell>
        </row>
        <row r="2193">
          <cell r="C2193" t="str">
            <v>&lt;-- enter valid PB./Acc. # in this cell!</v>
          </cell>
          <cell r="F2193" t="str">
            <v>OK</v>
          </cell>
        </row>
        <row r="2194">
          <cell r="C2194" t="str">
            <v>&lt;-- enter valid PB./Acc. # in this cell!</v>
          </cell>
          <cell r="F2194" t="str">
            <v>OK</v>
          </cell>
        </row>
        <row r="2195">
          <cell r="C2195" t="str">
            <v>&lt;-- enter valid PB./Acc. # in this cell!</v>
          </cell>
          <cell r="F2195" t="str">
            <v>OK</v>
          </cell>
        </row>
        <row r="2196">
          <cell r="C2196" t="str">
            <v>&lt;-- enter valid PB./Acc. # in this cell!</v>
          </cell>
          <cell r="F2196" t="str">
            <v>OK</v>
          </cell>
        </row>
        <row r="2197">
          <cell r="C2197" t="str">
            <v>&lt;-- enter valid PB./Acc. # in this cell!</v>
          </cell>
          <cell r="F2197" t="str">
            <v>OK</v>
          </cell>
        </row>
        <row r="2198">
          <cell r="C2198" t="str">
            <v>&lt;-- enter valid PB./Acc. # in this cell!</v>
          </cell>
          <cell r="F2198" t="str">
            <v>OK</v>
          </cell>
        </row>
        <row r="2199">
          <cell r="C2199" t="str">
            <v>&lt;-- enter valid PB./Acc. # in this cell!</v>
          </cell>
          <cell r="F2199" t="str">
            <v>OK</v>
          </cell>
        </row>
        <row r="2200">
          <cell r="C2200" t="str">
            <v>&lt;-- enter valid PB./Acc. # in this cell!</v>
          </cell>
          <cell r="F2200" t="str">
            <v>OK</v>
          </cell>
        </row>
        <row r="2201">
          <cell r="C2201" t="str">
            <v>&lt;-- enter valid PB./Acc. # in this cell!</v>
          </cell>
          <cell r="F2201" t="str">
            <v>OK</v>
          </cell>
        </row>
        <row r="2202">
          <cell r="C2202" t="str">
            <v>&lt;-- enter valid PB./Acc. # in this cell!</v>
          </cell>
          <cell r="F2202" t="str">
            <v>OK</v>
          </cell>
        </row>
        <row r="2203">
          <cell r="C2203" t="str">
            <v>&lt;-- enter valid PB./Acc. # in this cell!</v>
          </cell>
          <cell r="F2203" t="str">
            <v>OK</v>
          </cell>
        </row>
        <row r="2204">
          <cell r="C2204" t="str">
            <v>&lt;-- enter valid PB./Acc. # in this cell!</v>
          </cell>
          <cell r="F2204" t="str">
            <v>OK</v>
          </cell>
        </row>
        <row r="2205">
          <cell r="C2205" t="str">
            <v>&lt;-- enter valid PB./Acc. # in this cell!</v>
          </cell>
          <cell r="F2205" t="str">
            <v>OK</v>
          </cell>
        </row>
        <row r="2206">
          <cell r="C2206" t="str">
            <v>&lt;-- enter valid PB./Acc. # in this cell!</v>
          </cell>
          <cell r="F2206" t="str">
            <v>OK</v>
          </cell>
        </row>
        <row r="2207">
          <cell r="C2207" t="str">
            <v>&lt;-- enter valid PB./Acc. # in this cell!</v>
          </cell>
          <cell r="F2207" t="str">
            <v>OK</v>
          </cell>
        </row>
        <row r="2208">
          <cell r="C2208" t="str">
            <v>&lt;-- enter valid PB./Acc. # in this cell!</v>
          </cell>
          <cell r="F2208" t="str">
            <v>OK</v>
          </cell>
        </row>
        <row r="2209">
          <cell r="C2209" t="str">
            <v>&lt;-- enter valid PB./Acc. # in this cell!</v>
          </cell>
          <cell r="F2209" t="str">
            <v>OK</v>
          </cell>
        </row>
        <row r="2210">
          <cell r="C2210" t="str">
            <v>&lt;-- enter valid PB./Acc. # in this cell!</v>
          </cell>
          <cell r="F2210" t="str">
            <v>OK</v>
          </cell>
        </row>
        <row r="2211">
          <cell r="C2211" t="str">
            <v>&lt;-- enter valid PB./Acc. # in this cell!</v>
          </cell>
          <cell r="F2211" t="str">
            <v>OK</v>
          </cell>
        </row>
        <row r="2212">
          <cell r="C2212" t="str">
            <v>&lt;-- enter valid PB./Acc. # in this cell!</v>
          </cell>
          <cell r="F2212" t="str">
            <v>OK</v>
          </cell>
        </row>
        <row r="2213">
          <cell r="C2213" t="str">
            <v>&lt;-- enter valid PB./Acc. # in this cell!</v>
          </cell>
          <cell r="F2213" t="str">
            <v>OK</v>
          </cell>
        </row>
        <row r="2214">
          <cell r="C2214" t="str">
            <v>&lt;-- enter valid PB./Acc. # in this cell!</v>
          </cell>
          <cell r="F2214" t="str">
            <v>OK</v>
          </cell>
        </row>
        <row r="2215">
          <cell r="C2215" t="str">
            <v>&lt;-- enter valid PB./Acc. # in this cell!</v>
          </cell>
          <cell r="F2215" t="str">
            <v>OK</v>
          </cell>
        </row>
        <row r="2216">
          <cell r="C2216" t="str">
            <v>&lt;-- enter valid PB./Acc. # in this cell!</v>
          </cell>
          <cell r="F2216" t="str">
            <v>OK</v>
          </cell>
        </row>
        <row r="2217">
          <cell r="C2217" t="str">
            <v>&lt;-- enter valid PB./Acc. # in this cell!</v>
          </cell>
          <cell r="F2217" t="str">
            <v>OK</v>
          </cell>
        </row>
        <row r="2218">
          <cell r="C2218" t="str">
            <v>&lt;-- enter valid PB./Acc. # in this cell!</v>
          </cell>
          <cell r="F2218" t="str">
            <v>OK</v>
          </cell>
        </row>
        <row r="2219">
          <cell r="C2219" t="str">
            <v>&lt;-- enter valid PB./Acc. # in this cell!</v>
          </cell>
          <cell r="F2219" t="str">
            <v>OK</v>
          </cell>
        </row>
        <row r="2220">
          <cell r="C2220" t="str">
            <v>&lt;-- enter valid PB./Acc. # in this cell!</v>
          </cell>
          <cell r="F2220" t="str">
            <v>OK</v>
          </cell>
        </row>
        <row r="2221">
          <cell r="C2221" t="str">
            <v>&lt;-- enter valid PB./Acc. # in this cell!</v>
          </cell>
          <cell r="F2221" t="str">
            <v>OK</v>
          </cell>
        </row>
        <row r="2222">
          <cell r="C2222" t="str">
            <v>&lt;-- enter valid PB./Acc. # in this cell!</v>
          </cell>
          <cell r="F2222" t="str">
            <v>OK</v>
          </cell>
        </row>
        <row r="2223">
          <cell r="C2223" t="str">
            <v>&lt;-- enter valid PB./Acc. # in this cell!</v>
          </cell>
          <cell r="F2223" t="str">
            <v>OK</v>
          </cell>
        </row>
        <row r="2224">
          <cell r="C2224" t="str">
            <v>&lt;-- enter valid PB./Acc. # in this cell!</v>
          </cell>
          <cell r="F2224" t="str">
            <v>OK</v>
          </cell>
        </row>
        <row r="2225">
          <cell r="C2225" t="str">
            <v>&lt;-- enter valid PB./Acc. # in this cell!</v>
          </cell>
          <cell r="F2225" t="str">
            <v>OK</v>
          </cell>
        </row>
        <row r="2226">
          <cell r="C2226" t="str">
            <v>&lt;-- enter valid PB./Acc. # in this cell!</v>
          </cell>
          <cell r="F2226" t="str">
            <v>OK</v>
          </cell>
        </row>
        <row r="2227">
          <cell r="C2227" t="str">
            <v>&lt;-- enter valid PB./Acc. # in this cell!</v>
          </cell>
          <cell r="F2227" t="str">
            <v>OK</v>
          </cell>
        </row>
        <row r="2228">
          <cell r="C2228" t="str">
            <v>&lt;-- enter valid PB./Acc. # in this cell!</v>
          </cell>
          <cell r="F2228" t="str">
            <v>OK</v>
          </cell>
        </row>
        <row r="2229">
          <cell r="C2229" t="str">
            <v>&lt;-- enter valid PB./Acc. # in this cell!</v>
          </cell>
          <cell r="F2229" t="str">
            <v>OK</v>
          </cell>
        </row>
        <row r="2230">
          <cell r="C2230" t="str">
            <v>&lt;-- enter valid PB./Acc. # in this cell!</v>
          </cell>
          <cell r="F2230" t="str">
            <v>OK</v>
          </cell>
        </row>
        <row r="2231">
          <cell r="C2231" t="str">
            <v>&lt;-- enter valid PB./Acc. # in this cell!</v>
          </cell>
          <cell r="F2231" t="str">
            <v>OK</v>
          </cell>
        </row>
        <row r="2232">
          <cell r="C2232" t="str">
            <v>&lt;-- enter valid PB./Acc. # in this cell!</v>
          </cell>
          <cell r="F2232" t="str">
            <v>OK</v>
          </cell>
        </row>
        <row r="2233">
          <cell r="C2233" t="str">
            <v>&lt;-- enter valid PB./Acc. # in this cell!</v>
          </cell>
          <cell r="F2233" t="str">
            <v>OK</v>
          </cell>
        </row>
        <row r="2234">
          <cell r="C2234" t="str">
            <v>&lt;-- enter valid PB./Acc. # in this cell!</v>
          </cell>
          <cell r="F2234" t="str">
            <v>OK</v>
          </cell>
        </row>
        <row r="2235">
          <cell r="C2235" t="str">
            <v>&lt;-- enter valid PB./Acc. # in this cell!</v>
          </cell>
          <cell r="F2235" t="str">
            <v>OK</v>
          </cell>
        </row>
        <row r="2236">
          <cell r="C2236" t="str">
            <v>&lt;-- enter valid PB./Acc. # in this cell!</v>
          </cell>
          <cell r="F2236" t="str">
            <v>OK</v>
          </cell>
        </row>
        <row r="2237">
          <cell r="C2237" t="str">
            <v>&lt;-- enter valid PB./Acc. # in this cell!</v>
          </cell>
          <cell r="F2237" t="str">
            <v>OK</v>
          </cell>
        </row>
        <row r="2238">
          <cell r="C2238" t="str">
            <v>&lt;-- enter valid PB./Acc. # in this cell!</v>
          </cell>
          <cell r="F2238" t="str">
            <v>OK</v>
          </cell>
        </row>
        <row r="2239">
          <cell r="C2239" t="str">
            <v>&lt;-- enter valid PB./Acc. # in this cell!</v>
          </cell>
          <cell r="F2239" t="str">
            <v>OK</v>
          </cell>
        </row>
        <row r="2240">
          <cell r="C2240" t="str">
            <v>&lt;-- enter valid PB./Acc. # in this cell!</v>
          </cell>
          <cell r="F2240" t="str">
            <v>OK</v>
          </cell>
        </row>
        <row r="2241">
          <cell r="C2241" t="str">
            <v>&lt;-- enter valid PB./Acc. # in this cell!</v>
          </cell>
          <cell r="F2241" t="str">
            <v>OK</v>
          </cell>
        </row>
        <row r="2242">
          <cell r="C2242" t="str">
            <v>&lt;-- enter valid PB./Acc. # in this cell!</v>
          </cell>
          <cell r="F2242" t="str">
            <v>OK</v>
          </cell>
        </row>
        <row r="2243">
          <cell r="C2243" t="str">
            <v>&lt;-- enter valid PB./Acc. # in this cell!</v>
          </cell>
          <cell r="F2243" t="str">
            <v>OK</v>
          </cell>
        </row>
        <row r="2244">
          <cell r="C2244" t="str">
            <v>&lt;-- enter valid PB./Acc. # in this cell!</v>
          </cell>
          <cell r="F2244" t="str">
            <v>OK</v>
          </cell>
        </row>
        <row r="2245">
          <cell r="C2245" t="str">
            <v>&lt;-- enter valid PB./Acc. # in this cell!</v>
          </cell>
          <cell r="F2245" t="str">
            <v>OK</v>
          </cell>
        </row>
        <row r="2246">
          <cell r="C2246" t="str">
            <v>&lt;-- enter valid PB./Acc. # in this cell!</v>
          </cell>
          <cell r="F2246" t="str">
            <v>OK</v>
          </cell>
        </row>
        <row r="2247">
          <cell r="C2247" t="str">
            <v>&lt;-- enter valid PB./Acc. # in this cell!</v>
          </cell>
          <cell r="F2247" t="str">
            <v>OK</v>
          </cell>
        </row>
        <row r="2248">
          <cell r="C2248" t="str">
            <v>&lt;-- enter valid PB./Acc. # in this cell!</v>
          </cell>
          <cell r="F2248" t="str">
            <v>OK</v>
          </cell>
        </row>
        <row r="2249">
          <cell r="C2249" t="str">
            <v>&lt;-- enter valid PB./Acc. # in this cell!</v>
          </cell>
          <cell r="F2249" t="str">
            <v>OK</v>
          </cell>
        </row>
        <row r="2250">
          <cell r="C2250" t="str">
            <v>&lt;-- enter valid PB./Acc. # in this cell!</v>
          </cell>
          <cell r="F2250" t="str">
            <v>OK</v>
          </cell>
        </row>
        <row r="2251">
          <cell r="C2251" t="str">
            <v>&lt;-- enter valid PB./Acc. # in this cell!</v>
          </cell>
          <cell r="F2251" t="str">
            <v>OK</v>
          </cell>
        </row>
        <row r="2252">
          <cell r="C2252" t="str">
            <v>&lt;-- enter valid PB./Acc. # in this cell!</v>
          </cell>
          <cell r="F2252" t="str">
            <v>OK</v>
          </cell>
        </row>
        <row r="2253">
          <cell r="C2253" t="str">
            <v>&lt;-- enter valid PB./Acc. # in this cell!</v>
          </cell>
          <cell r="F2253" t="str">
            <v>OK</v>
          </cell>
        </row>
        <row r="2254">
          <cell r="C2254" t="str">
            <v>&lt;-- enter valid PB./Acc. # in this cell!</v>
          </cell>
          <cell r="F2254" t="str">
            <v>OK</v>
          </cell>
        </row>
        <row r="2255">
          <cell r="C2255" t="str">
            <v>&lt;-- enter valid PB./Acc. # in this cell!</v>
          </cell>
          <cell r="F2255" t="str">
            <v>OK</v>
          </cell>
        </row>
        <row r="2256">
          <cell r="C2256" t="str">
            <v>&lt;-- enter valid PB./Acc. # in this cell!</v>
          </cell>
          <cell r="F2256" t="str">
            <v>OK</v>
          </cell>
        </row>
        <row r="2257">
          <cell r="C2257" t="str">
            <v>&lt;-- enter valid PB./Acc. # in this cell!</v>
          </cell>
          <cell r="F2257" t="str">
            <v>OK</v>
          </cell>
        </row>
        <row r="2258">
          <cell r="C2258" t="str">
            <v>&lt;-- enter valid PB./Acc. # in this cell!</v>
          </cell>
          <cell r="F2258" t="str">
            <v>OK</v>
          </cell>
        </row>
        <row r="2259">
          <cell r="C2259" t="str">
            <v>&lt;-- enter valid PB./Acc. # in this cell!</v>
          </cell>
          <cell r="F2259" t="str">
            <v>OK</v>
          </cell>
        </row>
        <row r="2260">
          <cell r="C2260" t="str">
            <v>&lt;-- enter valid PB./Acc. # in this cell!</v>
          </cell>
          <cell r="F2260" t="str">
            <v>OK</v>
          </cell>
        </row>
        <row r="2261">
          <cell r="C2261" t="str">
            <v>&lt;-- enter valid PB./Acc. # in this cell!</v>
          </cell>
          <cell r="F2261" t="str">
            <v>OK</v>
          </cell>
        </row>
        <row r="2262">
          <cell r="C2262" t="str">
            <v>&lt;-- enter valid PB./Acc. # in this cell!</v>
          </cell>
          <cell r="F2262" t="str">
            <v>OK</v>
          </cell>
        </row>
        <row r="2263">
          <cell r="C2263" t="str">
            <v>&lt;-- enter valid PB./Acc. # in this cell!</v>
          </cell>
          <cell r="F2263" t="str">
            <v>OK</v>
          </cell>
        </row>
        <row r="2264">
          <cell r="C2264" t="str">
            <v>&lt;-- enter valid PB./Acc. # in this cell!</v>
          </cell>
          <cell r="F2264" t="str">
            <v>OK</v>
          </cell>
        </row>
        <row r="2265">
          <cell r="C2265" t="str">
            <v>&lt;-- enter valid PB./Acc. # in this cell!</v>
          </cell>
          <cell r="F2265" t="str">
            <v>OK</v>
          </cell>
        </row>
        <row r="2266">
          <cell r="C2266" t="str">
            <v>&lt;-- enter valid PB./Acc. # in this cell!</v>
          </cell>
          <cell r="F2266" t="str">
            <v>OK</v>
          </cell>
        </row>
        <row r="2267">
          <cell r="C2267" t="str">
            <v>&lt;-- enter valid PB./Acc. # in this cell!</v>
          </cell>
          <cell r="F2267" t="str">
            <v>OK</v>
          </cell>
        </row>
        <row r="2268">
          <cell r="C2268" t="str">
            <v>&lt;-- enter valid PB./Acc. # in this cell!</v>
          </cell>
          <cell r="F2268" t="str">
            <v>OK</v>
          </cell>
        </row>
        <row r="2269">
          <cell r="C2269" t="str">
            <v>&lt;-- enter valid PB./Acc. # in this cell!</v>
          </cell>
          <cell r="F2269" t="str">
            <v>OK</v>
          </cell>
        </row>
        <row r="2270">
          <cell r="C2270" t="str">
            <v>&lt;-- enter valid PB./Acc. # in this cell!</v>
          </cell>
          <cell r="F2270" t="str">
            <v>OK</v>
          </cell>
        </row>
        <row r="2271">
          <cell r="C2271" t="str">
            <v>&lt;-- enter valid PB./Acc. # in this cell!</v>
          </cell>
          <cell r="F2271" t="str">
            <v>OK</v>
          </cell>
        </row>
        <row r="2272">
          <cell r="C2272" t="str">
            <v>&lt;-- enter valid PB./Acc. # in this cell!</v>
          </cell>
          <cell r="F2272" t="str">
            <v>OK</v>
          </cell>
        </row>
        <row r="2273">
          <cell r="C2273" t="str">
            <v>&lt;-- enter valid PB./Acc. # in this cell!</v>
          </cell>
          <cell r="F2273" t="str">
            <v>OK</v>
          </cell>
        </row>
        <row r="2274">
          <cell r="C2274" t="str">
            <v>&lt;-- enter valid PB./Acc. # in this cell!</v>
          </cell>
          <cell r="F2274" t="str">
            <v>OK</v>
          </cell>
        </row>
        <row r="2275">
          <cell r="C2275" t="str">
            <v>&lt;-- enter valid PB./Acc. # in this cell!</v>
          </cell>
          <cell r="F2275" t="str">
            <v>OK</v>
          </cell>
        </row>
        <row r="2276">
          <cell r="C2276" t="str">
            <v>&lt;-- enter valid PB./Acc. # in this cell!</v>
          </cell>
          <cell r="F2276" t="str">
            <v>OK</v>
          </cell>
        </row>
        <row r="2277">
          <cell r="C2277" t="str">
            <v>&lt;-- enter valid PB./Acc. # in this cell!</v>
          </cell>
          <cell r="F2277" t="str">
            <v>OK</v>
          </cell>
        </row>
        <row r="2278">
          <cell r="C2278" t="str">
            <v>&lt;-- enter valid PB./Acc. # in this cell!</v>
          </cell>
          <cell r="F2278" t="str">
            <v>OK</v>
          </cell>
        </row>
        <row r="2279">
          <cell r="C2279" t="str">
            <v>&lt;-- enter valid PB./Acc. # in this cell!</v>
          </cell>
          <cell r="F2279" t="str">
            <v>OK</v>
          </cell>
        </row>
        <row r="2280">
          <cell r="C2280" t="str">
            <v>&lt;-- enter valid PB./Acc. # in this cell!</v>
          </cell>
          <cell r="F2280" t="str">
            <v>OK</v>
          </cell>
        </row>
        <row r="2281">
          <cell r="C2281" t="str">
            <v>&lt;-- enter valid PB./Acc. # in this cell!</v>
          </cell>
          <cell r="F2281" t="str">
            <v>OK</v>
          </cell>
        </row>
        <row r="2282">
          <cell r="C2282" t="str">
            <v>&lt;-- enter valid PB./Acc. # in this cell!</v>
          </cell>
          <cell r="F2282" t="str">
            <v>OK</v>
          </cell>
        </row>
        <row r="2283">
          <cell r="C2283" t="str">
            <v>&lt;-- enter valid PB./Acc. # in this cell!</v>
          </cell>
          <cell r="F2283" t="str">
            <v>OK</v>
          </cell>
        </row>
        <row r="2284">
          <cell r="C2284" t="str">
            <v>&lt;-- enter valid PB./Acc. # in this cell!</v>
          </cell>
          <cell r="F2284" t="str">
            <v>OK</v>
          </cell>
        </row>
        <row r="2285">
          <cell r="C2285" t="str">
            <v>&lt;-- enter valid PB./Acc. # in this cell!</v>
          </cell>
          <cell r="F2285" t="str">
            <v>OK</v>
          </cell>
        </row>
        <row r="2286">
          <cell r="C2286" t="str">
            <v>&lt;-- enter valid PB./Acc. # in this cell!</v>
          </cell>
          <cell r="F2286" t="str">
            <v>OK</v>
          </cell>
        </row>
        <row r="2287">
          <cell r="C2287" t="str">
            <v>&lt;-- enter valid PB./Acc. # in this cell!</v>
          </cell>
          <cell r="F2287" t="str">
            <v>OK</v>
          </cell>
        </row>
        <row r="2288">
          <cell r="C2288" t="str">
            <v>&lt;-- enter valid PB./Acc. # in this cell!</v>
          </cell>
          <cell r="F2288" t="str">
            <v>OK</v>
          </cell>
        </row>
        <row r="2289">
          <cell r="C2289" t="str">
            <v>&lt;-- enter valid PB./Acc. # in this cell!</v>
          </cell>
          <cell r="F2289" t="str">
            <v>OK</v>
          </cell>
        </row>
        <row r="2290">
          <cell r="C2290" t="str">
            <v>&lt;-- enter valid PB./Acc. # in this cell!</v>
          </cell>
          <cell r="F2290" t="str">
            <v>OK</v>
          </cell>
        </row>
        <row r="2291">
          <cell r="C2291" t="str">
            <v>&lt;-- enter valid PB./Acc. # in this cell!</v>
          </cell>
          <cell r="F2291" t="str">
            <v>OK</v>
          </cell>
        </row>
        <row r="2292">
          <cell r="C2292" t="str">
            <v>&lt;-- enter valid PB./Acc. # in this cell!</v>
          </cell>
          <cell r="F2292" t="str">
            <v>OK</v>
          </cell>
        </row>
        <row r="2293">
          <cell r="C2293" t="str">
            <v>&lt;-- enter valid PB./Acc. # in this cell!</v>
          </cell>
          <cell r="F2293" t="str">
            <v>OK</v>
          </cell>
        </row>
        <row r="2294">
          <cell r="C2294" t="str">
            <v>&lt;-- enter valid PB./Acc. # in this cell!</v>
          </cell>
          <cell r="F2294" t="str">
            <v>OK</v>
          </cell>
        </row>
        <row r="2295">
          <cell r="C2295" t="str">
            <v>&lt;-- enter valid PB./Acc. # in this cell!</v>
          </cell>
          <cell r="F2295" t="str">
            <v>OK</v>
          </cell>
        </row>
        <row r="2296">
          <cell r="C2296" t="str">
            <v>&lt;-- enter valid PB./Acc. # in this cell!</v>
          </cell>
          <cell r="F2296" t="str">
            <v>OK</v>
          </cell>
        </row>
        <row r="2297">
          <cell r="C2297" t="str">
            <v>&lt;-- enter valid PB./Acc. # in this cell!</v>
          </cell>
          <cell r="F2297" t="str">
            <v>OK</v>
          </cell>
        </row>
        <row r="2298">
          <cell r="C2298" t="str">
            <v>&lt;-- enter valid PB./Acc. # in this cell!</v>
          </cell>
          <cell r="F2298" t="str">
            <v>OK</v>
          </cell>
        </row>
        <row r="2299">
          <cell r="C2299" t="str">
            <v>&lt;-- enter valid PB./Acc. # in this cell!</v>
          </cell>
          <cell r="F2299" t="str">
            <v>OK</v>
          </cell>
        </row>
        <row r="2300">
          <cell r="C2300" t="str">
            <v>&lt;-- enter valid PB./Acc. # in this cell!</v>
          </cell>
          <cell r="F2300" t="str">
            <v>OK</v>
          </cell>
        </row>
        <row r="2301">
          <cell r="C2301" t="str">
            <v>&lt;-- enter valid PB./Acc. # in this cell!</v>
          </cell>
          <cell r="F2301" t="str">
            <v>OK</v>
          </cell>
        </row>
        <row r="2302">
          <cell r="C2302" t="str">
            <v>&lt;-- enter valid PB./Acc. # in this cell!</v>
          </cell>
          <cell r="F2302" t="str">
            <v>OK</v>
          </cell>
        </row>
        <row r="2303">
          <cell r="C2303" t="str">
            <v>&lt;-- enter valid PB./Acc. # in this cell!</v>
          </cell>
          <cell r="F2303" t="str">
            <v>OK</v>
          </cell>
        </row>
        <row r="2304">
          <cell r="C2304" t="str">
            <v>&lt;-- enter valid PB./Acc. # in this cell!</v>
          </cell>
          <cell r="F2304" t="str">
            <v>OK</v>
          </cell>
        </row>
        <row r="2305">
          <cell r="C2305" t="str">
            <v>&lt;-- enter valid PB./Acc. # in this cell!</v>
          </cell>
          <cell r="F2305" t="str">
            <v>OK</v>
          </cell>
        </row>
        <row r="2306">
          <cell r="C2306" t="str">
            <v>&lt;-- enter valid PB./Acc. # in this cell!</v>
          </cell>
          <cell r="F2306" t="str">
            <v>OK</v>
          </cell>
        </row>
        <row r="2307">
          <cell r="C2307" t="str">
            <v>&lt;-- enter valid PB./Acc. # in this cell!</v>
          </cell>
          <cell r="F2307" t="str">
            <v>OK</v>
          </cell>
        </row>
        <row r="2308">
          <cell r="C2308" t="str">
            <v>&lt;-- enter valid PB./Acc. # in this cell!</v>
          </cell>
          <cell r="F2308" t="str">
            <v>OK</v>
          </cell>
        </row>
        <row r="2309">
          <cell r="C2309" t="str">
            <v>&lt;-- enter valid PB./Acc. # in this cell!</v>
          </cell>
          <cell r="F2309" t="str">
            <v>OK</v>
          </cell>
        </row>
        <row r="2310">
          <cell r="C2310" t="str">
            <v>&lt;-- enter valid PB./Acc. # in this cell!</v>
          </cell>
          <cell r="F2310" t="str">
            <v>OK</v>
          </cell>
        </row>
        <row r="2311">
          <cell r="C2311" t="str">
            <v>&lt;-- enter valid PB./Acc. # in this cell!</v>
          </cell>
          <cell r="F2311" t="str">
            <v>OK</v>
          </cell>
        </row>
        <row r="2312">
          <cell r="C2312" t="str">
            <v>&lt;-- enter valid PB./Acc. # in this cell!</v>
          </cell>
          <cell r="F2312" t="str">
            <v>OK</v>
          </cell>
        </row>
        <row r="2313">
          <cell r="C2313" t="str">
            <v>&lt;-- enter valid PB./Acc. # in this cell!</v>
          </cell>
          <cell r="F2313" t="str">
            <v>OK</v>
          </cell>
        </row>
        <row r="2314">
          <cell r="C2314" t="str">
            <v>&lt;-- enter valid PB./Acc. # in this cell!</v>
          </cell>
          <cell r="F2314" t="str">
            <v>OK</v>
          </cell>
        </row>
        <row r="2315">
          <cell r="C2315" t="str">
            <v>&lt;-- enter valid PB./Acc. # in this cell!</v>
          </cell>
          <cell r="F2315" t="str">
            <v>OK</v>
          </cell>
        </row>
        <row r="2316">
          <cell r="C2316" t="str">
            <v>&lt;-- enter valid PB./Acc. # in this cell!</v>
          </cell>
          <cell r="F2316" t="str">
            <v>OK</v>
          </cell>
        </row>
        <row r="2317">
          <cell r="C2317" t="str">
            <v>&lt;-- enter valid PB./Acc. # in this cell!</v>
          </cell>
          <cell r="F2317" t="str">
            <v>OK</v>
          </cell>
        </row>
        <row r="2318">
          <cell r="C2318" t="str">
            <v>&lt;-- enter valid PB./Acc. # in this cell!</v>
          </cell>
          <cell r="F2318" t="str">
            <v>OK</v>
          </cell>
        </row>
        <row r="2319">
          <cell r="C2319" t="str">
            <v>&lt;-- enter valid PB./Acc. # in this cell!</v>
          </cell>
          <cell r="F2319" t="str">
            <v>OK</v>
          </cell>
        </row>
        <row r="2320">
          <cell r="C2320" t="str">
            <v>&lt;-- enter valid PB./Acc. # in this cell!</v>
          </cell>
          <cell r="F2320" t="str">
            <v>OK</v>
          </cell>
        </row>
        <row r="2321">
          <cell r="C2321" t="str">
            <v>&lt;-- enter valid PB./Acc. # in this cell!</v>
          </cell>
          <cell r="F2321" t="str">
            <v>OK</v>
          </cell>
        </row>
        <row r="2322">
          <cell r="C2322" t="str">
            <v>&lt;-- enter valid PB./Acc. # in this cell!</v>
          </cell>
          <cell r="F2322" t="str">
            <v>OK</v>
          </cell>
        </row>
        <row r="2323">
          <cell r="C2323" t="str">
            <v>&lt;-- enter valid PB./Acc. # in this cell!</v>
          </cell>
          <cell r="F2323" t="str">
            <v>OK</v>
          </cell>
        </row>
        <row r="2324">
          <cell r="C2324" t="str">
            <v>&lt;-- enter valid PB./Acc. # in this cell!</v>
          </cell>
          <cell r="F2324" t="str">
            <v>OK</v>
          </cell>
        </row>
        <row r="2325">
          <cell r="C2325" t="str">
            <v>&lt;-- enter valid PB./Acc. # in this cell!</v>
          </cell>
          <cell r="F2325" t="str">
            <v>OK</v>
          </cell>
        </row>
        <row r="2326">
          <cell r="C2326" t="str">
            <v>&lt;-- enter valid PB./Acc. # in this cell!</v>
          </cell>
          <cell r="F2326" t="str">
            <v>OK</v>
          </cell>
        </row>
        <row r="2327">
          <cell r="C2327" t="str">
            <v>&lt;-- enter valid PB./Acc. # in this cell!</v>
          </cell>
          <cell r="F2327" t="str">
            <v>OK</v>
          </cell>
        </row>
        <row r="2328">
          <cell r="C2328" t="str">
            <v>&lt;-- enter valid PB./Acc. # in this cell!</v>
          </cell>
          <cell r="F2328" t="str">
            <v>OK</v>
          </cell>
        </row>
        <row r="2329">
          <cell r="C2329" t="str">
            <v>&lt;-- enter valid PB./Acc. # in this cell!</v>
          </cell>
          <cell r="F2329" t="str">
            <v>OK</v>
          </cell>
        </row>
        <row r="2330">
          <cell r="C2330" t="str">
            <v>&lt;-- enter valid PB./Acc. # in this cell!</v>
          </cell>
          <cell r="F2330" t="str">
            <v>OK</v>
          </cell>
        </row>
        <row r="2331">
          <cell r="C2331" t="str">
            <v>&lt;-- enter valid PB./Acc. # in this cell!</v>
          </cell>
          <cell r="F2331" t="str">
            <v>OK</v>
          </cell>
        </row>
        <row r="2332">
          <cell r="C2332" t="str">
            <v>&lt;-- enter valid PB./Acc. # in this cell!</v>
          </cell>
          <cell r="F2332" t="str">
            <v>OK</v>
          </cell>
        </row>
        <row r="2333">
          <cell r="C2333" t="str">
            <v>&lt;-- enter valid PB./Acc. # in this cell!</v>
          </cell>
          <cell r="F2333" t="str">
            <v>OK</v>
          </cell>
        </row>
        <row r="2334">
          <cell r="C2334" t="str">
            <v>&lt;-- enter valid PB./Acc. # in this cell!</v>
          </cell>
          <cell r="F2334" t="str">
            <v>OK</v>
          </cell>
        </row>
        <row r="2335">
          <cell r="C2335" t="str">
            <v>&lt;-- enter valid PB./Acc. # in this cell!</v>
          </cell>
          <cell r="F2335" t="str">
            <v>OK</v>
          </cell>
        </row>
        <row r="2336">
          <cell r="C2336" t="str">
            <v>&lt;-- enter valid PB./Acc. # in this cell!</v>
          </cell>
          <cell r="F2336" t="str">
            <v>OK</v>
          </cell>
        </row>
        <row r="2337">
          <cell r="C2337" t="str">
            <v>&lt;-- enter valid PB./Acc. # in this cell!</v>
          </cell>
          <cell r="F2337" t="str">
            <v>OK</v>
          </cell>
        </row>
        <row r="2338">
          <cell r="C2338" t="str">
            <v>&lt;-- enter valid PB./Acc. # in this cell!</v>
          </cell>
          <cell r="F2338" t="str">
            <v>OK</v>
          </cell>
        </row>
        <row r="2339">
          <cell r="C2339" t="str">
            <v>&lt;-- enter valid PB./Acc. # in this cell!</v>
          </cell>
          <cell r="F2339" t="str">
            <v>OK</v>
          </cell>
        </row>
        <row r="2340">
          <cell r="C2340" t="str">
            <v>&lt;-- enter valid PB./Acc. # in this cell!</v>
          </cell>
          <cell r="F2340" t="str">
            <v>OK</v>
          </cell>
        </row>
        <row r="2341">
          <cell r="C2341" t="str">
            <v>&lt;-- enter valid PB./Acc. # in this cell!</v>
          </cell>
          <cell r="F2341" t="str">
            <v>OK</v>
          </cell>
        </row>
        <row r="2342">
          <cell r="C2342" t="str">
            <v>&lt;-- enter valid PB./Acc. # in this cell!</v>
          </cell>
          <cell r="F2342" t="str">
            <v>OK</v>
          </cell>
        </row>
        <row r="2343">
          <cell r="C2343" t="str">
            <v>&lt;-- enter valid PB./Acc. # in this cell!</v>
          </cell>
          <cell r="F2343" t="str">
            <v>OK</v>
          </cell>
        </row>
        <row r="2344">
          <cell r="C2344" t="str">
            <v>&lt;-- enter valid PB./Acc. # in this cell!</v>
          </cell>
          <cell r="F2344" t="str">
            <v>OK</v>
          </cell>
        </row>
        <row r="2345">
          <cell r="C2345" t="str">
            <v>&lt;-- enter valid PB./Acc. # in this cell!</v>
          </cell>
          <cell r="F2345" t="str">
            <v>OK</v>
          </cell>
        </row>
        <row r="2346">
          <cell r="C2346" t="str">
            <v>&lt;-- enter valid PB./Acc. # in this cell!</v>
          </cell>
          <cell r="F2346" t="str">
            <v>OK</v>
          </cell>
        </row>
        <row r="2347">
          <cell r="C2347" t="str">
            <v>&lt;-- enter valid PB./Acc. # in this cell!</v>
          </cell>
          <cell r="F2347" t="str">
            <v>OK</v>
          </cell>
        </row>
        <row r="2348">
          <cell r="C2348" t="str">
            <v>&lt;-- enter valid PB./Acc. # in this cell!</v>
          </cell>
          <cell r="F2348" t="str">
            <v>OK</v>
          </cell>
        </row>
        <row r="2349">
          <cell r="C2349" t="str">
            <v>&lt;-- enter valid PB./Acc. # in this cell!</v>
          </cell>
          <cell r="F2349" t="str">
            <v>OK</v>
          </cell>
        </row>
        <row r="2350">
          <cell r="C2350" t="str">
            <v>&lt;-- enter valid PB./Acc. # in this cell!</v>
          </cell>
          <cell r="F2350" t="str">
            <v>OK</v>
          </cell>
        </row>
        <row r="2351">
          <cell r="C2351" t="str">
            <v>&lt;-- enter valid PB./Acc. # in this cell!</v>
          </cell>
          <cell r="F2351" t="str">
            <v>OK</v>
          </cell>
        </row>
        <row r="2352">
          <cell r="C2352" t="str">
            <v>&lt;-- enter valid PB./Acc. # in this cell!</v>
          </cell>
          <cell r="F2352" t="str">
            <v>OK</v>
          </cell>
        </row>
        <row r="2353">
          <cell r="C2353" t="str">
            <v>&lt;-- enter valid PB./Acc. # in this cell!</v>
          </cell>
          <cell r="F2353" t="str">
            <v>OK</v>
          </cell>
        </row>
        <row r="2354">
          <cell r="C2354" t="str">
            <v>&lt;-- enter valid PB./Acc. # in this cell!</v>
          </cell>
          <cell r="F2354" t="str">
            <v>OK</v>
          </cell>
        </row>
        <row r="2355">
          <cell r="C2355" t="str">
            <v>&lt;-- enter valid PB./Acc. # in this cell!</v>
          </cell>
          <cell r="F2355" t="str">
            <v>OK</v>
          </cell>
        </row>
        <row r="2356">
          <cell r="C2356" t="str">
            <v>&lt;-- enter valid PB./Acc. # in this cell!</v>
          </cell>
          <cell r="F2356" t="str">
            <v>OK</v>
          </cell>
        </row>
        <row r="2357">
          <cell r="C2357" t="str">
            <v>&lt;-- enter valid PB./Acc. # in this cell!</v>
          </cell>
          <cell r="F2357" t="str">
            <v>OK</v>
          </cell>
        </row>
        <row r="2358">
          <cell r="C2358" t="str">
            <v>&lt;-- enter valid PB./Acc. # in this cell!</v>
          </cell>
          <cell r="F2358" t="str">
            <v>OK</v>
          </cell>
        </row>
        <row r="2359">
          <cell r="C2359" t="str">
            <v>&lt;-- enter valid PB./Acc. # in this cell!</v>
          </cell>
          <cell r="F2359" t="str">
            <v>OK</v>
          </cell>
        </row>
        <row r="2360">
          <cell r="C2360" t="str">
            <v>&lt;-- enter valid PB./Acc. # in this cell!</v>
          </cell>
          <cell r="F2360" t="str">
            <v>OK</v>
          </cell>
        </row>
        <row r="2361">
          <cell r="C2361" t="str">
            <v>&lt;-- enter valid PB./Acc. # in this cell!</v>
          </cell>
          <cell r="F2361" t="str">
            <v>OK</v>
          </cell>
        </row>
        <row r="2362">
          <cell r="C2362" t="str">
            <v>&lt;-- enter valid PB./Acc. # in this cell!</v>
          </cell>
          <cell r="F2362" t="str">
            <v>OK</v>
          </cell>
        </row>
        <row r="2363">
          <cell r="C2363" t="str">
            <v>&lt;-- enter valid PB./Acc. # in this cell!</v>
          </cell>
          <cell r="F2363" t="str">
            <v>OK</v>
          </cell>
        </row>
        <row r="2364">
          <cell r="C2364" t="str">
            <v>&lt;-- enter valid PB./Acc. # in this cell!</v>
          </cell>
          <cell r="F2364" t="str">
            <v>OK</v>
          </cell>
        </row>
        <row r="2365">
          <cell r="C2365" t="str">
            <v>&lt;-- enter valid PB./Acc. # in this cell!</v>
          </cell>
          <cell r="F2365" t="str">
            <v>OK</v>
          </cell>
        </row>
        <row r="2366">
          <cell r="C2366" t="str">
            <v>&lt;-- enter valid PB./Acc. # in this cell!</v>
          </cell>
          <cell r="F2366" t="str">
            <v>OK</v>
          </cell>
        </row>
        <row r="2367">
          <cell r="C2367" t="str">
            <v>&lt;-- enter valid PB./Acc. # in this cell!</v>
          </cell>
          <cell r="F2367" t="str">
            <v>OK</v>
          </cell>
        </row>
        <row r="2368">
          <cell r="C2368" t="str">
            <v>&lt;-- enter valid PB./Acc. # in this cell!</v>
          </cell>
          <cell r="F2368" t="str">
            <v>OK</v>
          </cell>
        </row>
        <row r="2369">
          <cell r="C2369" t="str">
            <v>&lt;-- enter valid PB./Acc. # in this cell!</v>
          </cell>
          <cell r="F2369" t="str">
            <v>OK</v>
          </cell>
        </row>
        <row r="2370">
          <cell r="C2370" t="str">
            <v>&lt;-- enter valid PB./Acc. # in this cell!</v>
          </cell>
          <cell r="F2370" t="str">
            <v>OK</v>
          </cell>
        </row>
        <row r="2371">
          <cell r="C2371" t="str">
            <v>&lt;-- enter valid PB./Acc. # in this cell!</v>
          </cell>
          <cell r="F2371" t="str">
            <v>OK</v>
          </cell>
        </row>
        <row r="2372">
          <cell r="C2372" t="str">
            <v>&lt;-- enter valid PB./Acc. # in this cell!</v>
          </cell>
          <cell r="F2372" t="str">
            <v>OK</v>
          </cell>
        </row>
        <row r="2373">
          <cell r="C2373" t="str">
            <v>&lt;-- enter valid PB./Acc. # in this cell!</v>
          </cell>
          <cell r="F2373" t="str">
            <v>OK</v>
          </cell>
        </row>
        <row r="2374">
          <cell r="C2374" t="str">
            <v>&lt;-- enter valid PB./Acc. # in this cell!</v>
          </cell>
          <cell r="F2374" t="str">
            <v>OK</v>
          </cell>
        </row>
        <row r="2375">
          <cell r="C2375" t="str">
            <v>&lt;-- enter valid PB./Acc. # in this cell!</v>
          </cell>
          <cell r="F2375" t="str">
            <v>OK</v>
          </cell>
        </row>
        <row r="2376">
          <cell r="C2376" t="str">
            <v>&lt;-- enter valid PB./Acc. # in this cell!</v>
          </cell>
          <cell r="F2376" t="str">
            <v>OK</v>
          </cell>
        </row>
        <row r="2377">
          <cell r="C2377" t="str">
            <v>&lt;-- enter valid PB./Acc. # in this cell!</v>
          </cell>
          <cell r="F2377" t="str">
            <v>OK</v>
          </cell>
        </row>
        <row r="2378">
          <cell r="C2378" t="str">
            <v>&lt;-- enter valid PB./Acc. # in this cell!</v>
          </cell>
          <cell r="F2378" t="str">
            <v>OK</v>
          </cell>
        </row>
        <row r="2379">
          <cell r="C2379" t="str">
            <v>&lt;-- enter valid PB./Acc. # in this cell!</v>
          </cell>
          <cell r="F2379" t="str">
            <v>OK</v>
          </cell>
        </row>
        <row r="2380">
          <cell r="C2380" t="str">
            <v>&lt;-- enter valid PB./Acc. # in this cell!</v>
          </cell>
          <cell r="F2380" t="str">
            <v>OK</v>
          </cell>
        </row>
        <row r="2381">
          <cell r="C2381" t="str">
            <v>&lt;-- enter valid PB./Acc. # in this cell!</v>
          </cell>
          <cell r="F2381" t="str">
            <v>OK</v>
          </cell>
        </row>
        <row r="2382">
          <cell r="C2382" t="str">
            <v>&lt;-- enter valid PB./Acc. # in this cell!</v>
          </cell>
          <cell r="F2382" t="str">
            <v>OK</v>
          </cell>
        </row>
        <row r="2383">
          <cell r="C2383" t="str">
            <v>&lt;-- enter valid PB./Acc. # in this cell!</v>
          </cell>
          <cell r="F2383" t="str">
            <v>OK</v>
          </cell>
        </row>
        <row r="2384">
          <cell r="C2384" t="str">
            <v>&lt;-- enter valid PB./Acc. # in this cell!</v>
          </cell>
          <cell r="F2384" t="str">
            <v>OK</v>
          </cell>
        </row>
        <row r="2385">
          <cell r="C2385" t="str">
            <v>&lt;-- enter valid PB./Acc. # in this cell!</v>
          </cell>
          <cell r="F2385" t="str">
            <v>OK</v>
          </cell>
        </row>
        <row r="2386">
          <cell r="C2386" t="str">
            <v>&lt;-- enter valid PB./Acc. # in this cell!</v>
          </cell>
          <cell r="F2386" t="str">
            <v>OK</v>
          </cell>
        </row>
        <row r="2387">
          <cell r="C2387" t="str">
            <v>&lt;-- enter valid PB./Acc. # in this cell!</v>
          </cell>
          <cell r="F2387" t="str">
            <v>OK</v>
          </cell>
        </row>
        <row r="2388">
          <cell r="C2388" t="str">
            <v>&lt;-- enter valid PB./Acc. # in this cell!</v>
          </cell>
          <cell r="F2388" t="str">
            <v>OK</v>
          </cell>
        </row>
        <row r="2389">
          <cell r="C2389" t="str">
            <v>&lt;-- enter valid PB./Acc. # in this cell!</v>
          </cell>
          <cell r="F2389" t="str">
            <v>OK</v>
          </cell>
        </row>
        <row r="2390">
          <cell r="C2390" t="str">
            <v>&lt;-- enter valid PB./Acc. # in this cell!</v>
          </cell>
          <cell r="F2390" t="str">
            <v>OK</v>
          </cell>
        </row>
        <row r="2391">
          <cell r="C2391" t="str">
            <v>&lt;-- enter valid PB./Acc. # in this cell!</v>
          </cell>
          <cell r="F2391" t="str">
            <v>OK</v>
          </cell>
        </row>
        <row r="2392">
          <cell r="C2392" t="str">
            <v>&lt;-- enter valid PB./Acc. # in this cell!</v>
          </cell>
          <cell r="F2392" t="str">
            <v>OK</v>
          </cell>
        </row>
        <row r="2393">
          <cell r="C2393" t="str">
            <v>&lt;-- enter valid PB./Acc. # in this cell!</v>
          </cell>
          <cell r="F2393" t="str">
            <v>OK</v>
          </cell>
        </row>
        <row r="2394">
          <cell r="C2394" t="str">
            <v>&lt;-- enter valid PB./Acc. # in this cell!</v>
          </cell>
          <cell r="F2394" t="str">
            <v>OK</v>
          </cell>
        </row>
        <row r="2395">
          <cell r="C2395" t="str">
            <v>&lt;-- enter valid PB./Acc. # in this cell!</v>
          </cell>
          <cell r="F2395" t="str">
            <v>OK</v>
          </cell>
        </row>
        <row r="2396">
          <cell r="C2396" t="str">
            <v>&lt;-- enter valid PB./Acc. # in this cell!</v>
          </cell>
          <cell r="F2396" t="str">
            <v>OK</v>
          </cell>
        </row>
        <row r="2397">
          <cell r="C2397" t="str">
            <v>&lt;-- enter valid PB./Acc. # in this cell!</v>
          </cell>
          <cell r="F2397" t="str">
            <v>OK</v>
          </cell>
        </row>
        <row r="2398">
          <cell r="C2398" t="str">
            <v>&lt;-- enter valid PB./Acc. # in this cell!</v>
          </cell>
          <cell r="F2398" t="str">
            <v>OK</v>
          </cell>
        </row>
        <row r="2399">
          <cell r="C2399" t="str">
            <v>&lt;-- enter valid PB./Acc. # in this cell!</v>
          </cell>
          <cell r="F2399" t="str">
            <v>OK</v>
          </cell>
        </row>
        <row r="2400">
          <cell r="A2400" t="str">
            <v>Total Balances of February 2016</v>
          </cell>
          <cell r="F2400" t="str">
            <v>OK</v>
          </cell>
          <cell r="G2400">
            <v>0</v>
          </cell>
          <cell r="H2400">
            <v>0</v>
          </cell>
          <cell r="I2400">
            <v>0</v>
          </cell>
          <cell r="J2400">
            <v>0</v>
          </cell>
          <cell r="K2400">
            <v>0</v>
          </cell>
          <cell r="L2400">
            <v>0</v>
          </cell>
          <cell r="M2400">
            <v>0</v>
          </cell>
          <cell r="N2400">
            <v>0</v>
          </cell>
          <cell r="O2400">
            <v>0</v>
          </cell>
          <cell r="P2400">
            <v>0</v>
          </cell>
          <cell r="Q2400">
            <v>0</v>
          </cell>
          <cell r="R2400">
            <v>0</v>
          </cell>
          <cell r="S2400">
            <v>0</v>
          </cell>
          <cell r="T2400">
            <v>0</v>
          </cell>
          <cell r="AQ2400">
            <v>0</v>
          </cell>
        </row>
        <row r="2401">
          <cell r="A2401">
            <v>42460</v>
          </cell>
        </row>
        <row r="2402">
          <cell r="C2402" t="str">
            <v>&lt;-- enter valid PB./Acc. # in this cell!</v>
          </cell>
          <cell r="F2402" t="str">
            <v>OK</v>
          </cell>
        </row>
        <row r="2403">
          <cell r="C2403" t="str">
            <v>&lt;-- enter valid PB./Acc. # in this cell!</v>
          </cell>
          <cell r="F2403" t="str">
            <v>OK</v>
          </cell>
        </row>
        <row r="2404">
          <cell r="C2404" t="str">
            <v>&lt;-- enter valid PB./Acc. # in this cell!</v>
          </cell>
          <cell r="F2404" t="str">
            <v>OK</v>
          </cell>
        </row>
        <row r="2405">
          <cell r="C2405" t="str">
            <v>&lt;-- enter valid PB./Acc. # in this cell!</v>
          </cell>
          <cell r="F2405" t="str">
            <v>OK</v>
          </cell>
        </row>
        <row r="2406">
          <cell r="C2406" t="str">
            <v>&lt;-- enter valid PB./Acc. # in this cell!</v>
          </cell>
          <cell r="F2406" t="str">
            <v>OK</v>
          </cell>
        </row>
        <row r="2407">
          <cell r="C2407" t="str">
            <v>&lt;-- enter valid PB./Acc. # in this cell!</v>
          </cell>
          <cell r="F2407" t="str">
            <v>OK</v>
          </cell>
        </row>
        <row r="2408">
          <cell r="C2408" t="str">
            <v>&lt;-- enter valid PB./Acc. # in this cell!</v>
          </cell>
          <cell r="F2408" t="str">
            <v>OK</v>
          </cell>
        </row>
        <row r="2409">
          <cell r="C2409" t="str">
            <v>&lt;-- enter valid PB./Acc. # in this cell!</v>
          </cell>
          <cell r="F2409" t="str">
            <v>OK</v>
          </cell>
        </row>
        <row r="2410">
          <cell r="C2410" t="str">
            <v>&lt;-- enter valid PB./Acc. # in this cell!</v>
          </cell>
          <cell r="F2410" t="str">
            <v>OK</v>
          </cell>
        </row>
        <row r="2411">
          <cell r="C2411" t="str">
            <v>&lt;-- enter valid PB./Acc. # in this cell!</v>
          </cell>
          <cell r="F2411" t="str">
            <v>OK</v>
          </cell>
        </row>
        <row r="2412">
          <cell r="C2412" t="str">
            <v>&lt;-- enter valid PB./Acc. # in this cell!</v>
          </cell>
          <cell r="F2412" t="str">
            <v>OK</v>
          </cell>
        </row>
        <row r="2413">
          <cell r="C2413" t="str">
            <v>&lt;-- enter valid PB./Acc. # in this cell!</v>
          </cell>
          <cell r="F2413" t="str">
            <v>OK</v>
          </cell>
        </row>
        <row r="2414">
          <cell r="C2414" t="str">
            <v>&lt;-- enter valid PB./Acc. # in this cell!</v>
          </cell>
          <cell r="F2414" t="str">
            <v>OK</v>
          </cell>
        </row>
        <row r="2415">
          <cell r="C2415" t="str">
            <v>&lt;-- enter valid PB./Acc. # in this cell!</v>
          </cell>
          <cell r="F2415" t="str">
            <v>OK</v>
          </cell>
        </row>
        <row r="2416">
          <cell r="C2416" t="str">
            <v>&lt;-- enter valid PB./Acc. # in this cell!</v>
          </cell>
          <cell r="F2416" t="str">
            <v>OK</v>
          </cell>
        </row>
        <row r="2417">
          <cell r="C2417" t="str">
            <v>&lt;-- enter valid PB./Acc. # in this cell!</v>
          </cell>
          <cell r="F2417" t="str">
            <v>OK</v>
          </cell>
        </row>
        <row r="2418">
          <cell r="C2418" t="str">
            <v>&lt;-- enter valid PB./Acc. # in this cell!</v>
          </cell>
          <cell r="F2418" t="str">
            <v>OK</v>
          </cell>
        </row>
        <row r="2419">
          <cell r="C2419" t="str">
            <v>&lt;-- enter valid PB./Acc. # in this cell!</v>
          </cell>
          <cell r="F2419" t="str">
            <v>OK</v>
          </cell>
        </row>
        <row r="2420">
          <cell r="C2420" t="str">
            <v>&lt;-- enter valid PB./Acc. # in this cell!</v>
          </cell>
          <cell r="F2420" t="str">
            <v>OK</v>
          </cell>
        </row>
        <row r="2421">
          <cell r="C2421" t="str">
            <v>&lt;-- enter valid PB./Acc. # in this cell!</v>
          </cell>
          <cell r="F2421" t="str">
            <v>OK</v>
          </cell>
        </row>
        <row r="2422">
          <cell r="C2422" t="str">
            <v>&lt;-- enter valid PB./Acc. # in this cell!</v>
          </cell>
          <cell r="F2422" t="str">
            <v>OK</v>
          </cell>
        </row>
        <row r="2423">
          <cell r="C2423" t="str">
            <v>&lt;-- enter valid PB./Acc. # in this cell!</v>
          </cell>
          <cell r="F2423" t="str">
            <v>OK</v>
          </cell>
        </row>
        <row r="2424">
          <cell r="C2424" t="str">
            <v>&lt;-- enter valid PB./Acc. # in this cell!</v>
          </cell>
          <cell r="F2424" t="str">
            <v>OK</v>
          </cell>
        </row>
        <row r="2425">
          <cell r="C2425" t="str">
            <v>&lt;-- enter valid PB./Acc. # in this cell!</v>
          </cell>
          <cell r="F2425" t="str">
            <v>OK</v>
          </cell>
        </row>
        <row r="2426">
          <cell r="C2426" t="str">
            <v>&lt;-- enter valid PB./Acc. # in this cell!</v>
          </cell>
          <cell r="F2426" t="str">
            <v>OK</v>
          </cell>
        </row>
        <row r="2427">
          <cell r="C2427" t="str">
            <v>&lt;-- enter valid PB./Acc. # in this cell!</v>
          </cell>
          <cell r="F2427" t="str">
            <v>OK</v>
          </cell>
        </row>
        <row r="2428">
          <cell r="C2428" t="str">
            <v>&lt;-- enter valid PB./Acc. # in this cell!</v>
          </cell>
          <cell r="F2428" t="str">
            <v>OK</v>
          </cell>
        </row>
        <row r="2429">
          <cell r="C2429" t="str">
            <v>&lt;-- enter valid PB./Acc. # in this cell!</v>
          </cell>
          <cell r="F2429" t="str">
            <v>OK</v>
          </cell>
        </row>
        <row r="2430">
          <cell r="C2430" t="str">
            <v>&lt;-- enter valid PB./Acc. # in this cell!</v>
          </cell>
          <cell r="F2430" t="str">
            <v>OK</v>
          </cell>
        </row>
        <row r="2431">
          <cell r="C2431" t="str">
            <v>&lt;-- enter valid PB./Acc. # in this cell!</v>
          </cell>
          <cell r="F2431" t="str">
            <v>OK</v>
          </cell>
        </row>
        <row r="2432">
          <cell r="C2432" t="str">
            <v>&lt;-- enter valid PB./Acc. # in this cell!</v>
          </cell>
          <cell r="F2432" t="str">
            <v>OK</v>
          </cell>
        </row>
        <row r="2433">
          <cell r="C2433" t="str">
            <v>&lt;-- enter valid PB./Acc. # in this cell!</v>
          </cell>
          <cell r="F2433" t="str">
            <v>OK</v>
          </cell>
        </row>
        <row r="2434">
          <cell r="C2434" t="str">
            <v>&lt;-- enter valid PB./Acc. # in this cell!</v>
          </cell>
          <cell r="F2434" t="str">
            <v>OK</v>
          </cell>
        </row>
        <row r="2435">
          <cell r="C2435" t="str">
            <v>&lt;-- enter valid PB./Acc. # in this cell!</v>
          </cell>
          <cell r="F2435" t="str">
            <v>OK</v>
          </cell>
        </row>
        <row r="2436">
          <cell r="C2436" t="str">
            <v>&lt;-- enter valid PB./Acc. # in this cell!</v>
          </cell>
          <cell r="F2436" t="str">
            <v>OK</v>
          </cell>
        </row>
        <row r="2437">
          <cell r="C2437" t="str">
            <v>&lt;-- enter valid PB./Acc. # in this cell!</v>
          </cell>
          <cell r="F2437" t="str">
            <v>OK</v>
          </cell>
        </row>
        <row r="2438">
          <cell r="C2438" t="str">
            <v>&lt;-- enter valid PB./Acc. # in this cell!</v>
          </cell>
          <cell r="F2438" t="str">
            <v>OK</v>
          </cell>
        </row>
        <row r="2439">
          <cell r="C2439" t="str">
            <v>&lt;-- enter valid PB./Acc. # in this cell!</v>
          </cell>
          <cell r="F2439" t="str">
            <v>OK</v>
          </cell>
        </row>
        <row r="2440">
          <cell r="C2440" t="str">
            <v>&lt;-- enter valid PB./Acc. # in this cell!</v>
          </cell>
          <cell r="F2440" t="str">
            <v>OK</v>
          </cell>
        </row>
        <row r="2441">
          <cell r="C2441" t="str">
            <v>&lt;-- enter valid PB./Acc. # in this cell!</v>
          </cell>
          <cell r="F2441" t="str">
            <v>OK</v>
          </cell>
        </row>
        <row r="2442">
          <cell r="C2442" t="str">
            <v>&lt;-- enter valid PB./Acc. # in this cell!</v>
          </cell>
          <cell r="F2442" t="str">
            <v>OK</v>
          </cell>
        </row>
        <row r="2443">
          <cell r="C2443" t="str">
            <v>&lt;-- enter valid PB./Acc. # in this cell!</v>
          </cell>
          <cell r="F2443" t="str">
            <v>OK</v>
          </cell>
        </row>
        <row r="2444">
          <cell r="C2444" t="str">
            <v>&lt;-- enter valid PB./Acc. # in this cell!</v>
          </cell>
          <cell r="F2444" t="str">
            <v>OK</v>
          </cell>
        </row>
        <row r="2445">
          <cell r="C2445" t="str">
            <v>&lt;-- enter valid PB./Acc. # in this cell!</v>
          </cell>
          <cell r="F2445" t="str">
            <v>OK</v>
          </cell>
        </row>
        <row r="2446">
          <cell r="C2446" t="str">
            <v>&lt;-- enter valid PB./Acc. # in this cell!</v>
          </cell>
          <cell r="F2446" t="str">
            <v>OK</v>
          </cell>
        </row>
        <row r="2447">
          <cell r="C2447" t="str">
            <v>&lt;-- enter valid PB./Acc. # in this cell!</v>
          </cell>
          <cell r="F2447" t="str">
            <v>OK</v>
          </cell>
        </row>
        <row r="2448">
          <cell r="C2448" t="str">
            <v>&lt;-- enter valid PB./Acc. # in this cell!</v>
          </cell>
          <cell r="F2448" t="str">
            <v>OK</v>
          </cell>
        </row>
        <row r="2449">
          <cell r="C2449" t="str">
            <v>&lt;-- enter valid PB./Acc. # in this cell!</v>
          </cell>
          <cell r="F2449" t="str">
            <v>OK</v>
          </cell>
        </row>
        <row r="2450">
          <cell r="C2450" t="str">
            <v>&lt;-- enter valid PB./Acc. # in this cell!</v>
          </cell>
          <cell r="F2450" t="str">
            <v>OK</v>
          </cell>
        </row>
        <row r="2451">
          <cell r="C2451" t="str">
            <v>&lt;-- enter valid PB./Acc. # in this cell!</v>
          </cell>
          <cell r="F2451" t="str">
            <v>OK</v>
          </cell>
        </row>
        <row r="2452">
          <cell r="C2452" t="str">
            <v>&lt;-- enter valid PB./Acc. # in this cell!</v>
          </cell>
          <cell r="F2452" t="str">
            <v>OK</v>
          </cell>
        </row>
        <row r="2453">
          <cell r="C2453" t="str">
            <v>&lt;-- enter valid PB./Acc. # in this cell!</v>
          </cell>
          <cell r="F2453" t="str">
            <v>OK</v>
          </cell>
        </row>
        <row r="2454">
          <cell r="C2454" t="str">
            <v>&lt;-- enter valid PB./Acc. # in this cell!</v>
          </cell>
          <cell r="F2454" t="str">
            <v>OK</v>
          </cell>
        </row>
        <row r="2455">
          <cell r="C2455" t="str">
            <v>&lt;-- enter valid PB./Acc. # in this cell!</v>
          </cell>
          <cell r="F2455" t="str">
            <v>OK</v>
          </cell>
        </row>
        <row r="2456">
          <cell r="C2456" t="str">
            <v>&lt;-- enter valid PB./Acc. # in this cell!</v>
          </cell>
          <cell r="F2456" t="str">
            <v>OK</v>
          </cell>
        </row>
        <row r="2457">
          <cell r="C2457" t="str">
            <v>&lt;-- enter valid PB./Acc. # in this cell!</v>
          </cell>
          <cell r="F2457" t="str">
            <v>OK</v>
          </cell>
        </row>
        <row r="2458">
          <cell r="C2458" t="str">
            <v>&lt;-- enter valid PB./Acc. # in this cell!</v>
          </cell>
          <cell r="F2458" t="str">
            <v>OK</v>
          </cell>
        </row>
        <row r="2459">
          <cell r="C2459" t="str">
            <v>&lt;-- enter valid PB./Acc. # in this cell!</v>
          </cell>
          <cell r="F2459" t="str">
            <v>OK</v>
          </cell>
        </row>
        <row r="2460">
          <cell r="C2460" t="str">
            <v>&lt;-- enter valid PB./Acc. # in this cell!</v>
          </cell>
          <cell r="F2460" t="str">
            <v>OK</v>
          </cell>
        </row>
        <row r="2461">
          <cell r="C2461" t="str">
            <v>&lt;-- enter valid PB./Acc. # in this cell!</v>
          </cell>
          <cell r="F2461" t="str">
            <v>OK</v>
          </cell>
        </row>
        <row r="2462">
          <cell r="C2462" t="str">
            <v>&lt;-- enter valid PB./Acc. # in this cell!</v>
          </cell>
          <cell r="F2462" t="str">
            <v>OK</v>
          </cell>
        </row>
        <row r="2463">
          <cell r="C2463" t="str">
            <v>&lt;-- enter valid PB./Acc. # in this cell!</v>
          </cell>
          <cell r="F2463" t="str">
            <v>OK</v>
          </cell>
        </row>
        <row r="2464">
          <cell r="C2464" t="str">
            <v>&lt;-- enter valid PB./Acc. # in this cell!</v>
          </cell>
          <cell r="F2464" t="str">
            <v>OK</v>
          </cell>
        </row>
        <row r="2465">
          <cell r="C2465" t="str">
            <v>&lt;-- enter valid PB./Acc. # in this cell!</v>
          </cell>
          <cell r="F2465" t="str">
            <v>OK</v>
          </cell>
        </row>
        <row r="2466">
          <cell r="C2466" t="str">
            <v>&lt;-- enter valid PB./Acc. # in this cell!</v>
          </cell>
          <cell r="F2466" t="str">
            <v>OK</v>
          </cell>
        </row>
        <row r="2467">
          <cell r="C2467" t="str">
            <v>&lt;-- enter valid PB./Acc. # in this cell!</v>
          </cell>
          <cell r="F2467" t="str">
            <v>OK</v>
          </cell>
        </row>
        <row r="2468">
          <cell r="C2468" t="str">
            <v>&lt;-- enter valid PB./Acc. # in this cell!</v>
          </cell>
          <cell r="F2468" t="str">
            <v>OK</v>
          </cell>
        </row>
        <row r="2469">
          <cell r="C2469" t="str">
            <v>&lt;-- enter valid PB./Acc. # in this cell!</v>
          </cell>
          <cell r="F2469" t="str">
            <v>OK</v>
          </cell>
        </row>
        <row r="2470">
          <cell r="C2470" t="str">
            <v>&lt;-- enter valid PB./Acc. # in this cell!</v>
          </cell>
          <cell r="F2470" t="str">
            <v>OK</v>
          </cell>
        </row>
        <row r="2471">
          <cell r="C2471" t="str">
            <v>&lt;-- enter valid PB./Acc. # in this cell!</v>
          </cell>
          <cell r="F2471" t="str">
            <v>OK</v>
          </cell>
        </row>
        <row r="2472">
          <cell r="C2472" t="str">
            <v>&lt;-- enter valid PB./Acc. # in this cell!</v>
          </cell>
          <cell r="F2472" t="str">
            <v>OK</v>
          </cell>
        </row>
        <row r="2473">
          <cell r="C2473" t="str">
            <v>&lt;-- enter valid PB./Acc. # in this cell!</v>
          </cell>
          <cell r="F2473" t="str">
            <v>OK</v>
          </cell>
        </row>
        <row r="2474">
          <cell r="C2474" t="str">
            <v>&lt;-- enter valid PB./Acc. # in this cell!</v>
          </cell>
          <cell r="F2474" t="str">
            <v>OK</v>
          </cell>
        </row>
        <row r="2475">
          <cell r="C2475" t="str">
            <v>&lt;-- enter valid PB./Acc. # in this cell!</v>
          </cell>
          <cell r="F2475" t="str">
            <v>OK</v>
          </cell>
        </row>
        <row r="2476">
          <cell r="C2476" t="str">
            <v>&lt;-- enter valid PB./Acc. # in this cell!</v>
          </cell>
          <cell r="F2476" t="str">
            <v>OK</v>
          </cell>
        </row>
        <row r="2477">
          <cell r="C2477" t="str">
            <v>&lt;-- enter valid PB./Acc. # in this cell!</v>
          </cell>
          <cell r="F2477" t="str">
            <v>OK</v>
          </cell>
        </row>
        <row r="2478">
          <cell r="C2478" t="str">
            <v>&lt;-- enter valid PB./Acc. # in this cell!</v>
          </cell>
          <cell r="F2478" t="str">
            <v>OK</v>
          </cell>
        </row>
        <row r="2479">
          <cell r="C2479" t="str">
            <v>&lt;-- enter valid PB./Acc. # in this cell!</v>
          </cell>
          <cell r="F2479" t="str">
            <v>OK</v>
          </cell>
        </row>
        <row r="2480">
          <cell r="C2480" t="str">
            <v>&lt;-- enter valid PB./Acc. # in this cell!</v>
          </cell>
          <cell r="F2480" t="str">
            <v>OK</v>
          </cell>
        </row>
        <row r="2481">
          <cell r="C2481" t="str">
            <v>&lt;-- enter valid PB./Acc. # in this cell!</v>
          </cell>
          <cell r="F2481" t="str">
            <v>OK</v>
          </cell>
        </row>
        <row r="2482">
          <cell r="C2482" t="str">
            <v>&lt;-- enter valid PB./Acc. # in this cell!</v>
          </cell>
          <cell r="F2482" t="str">
            <v>OK</v>
          </cell>
        </row>
        <row r="2483">
          <cell r="C2483" t="str">
            <v>&lt;-- enter valid PB./Acc. # in this cell!</v>
          </cell>
          <cell r="F2483" t="str">
            <v>OK</v>
          </cell>
        </row>
        <row r="2484">
          <cell r="C2484" t="str">
            <v>&lt;-- enter valid PB./Acc. # in this cell!</v>
          </cell>
          <cell r="F2484" t="str">
            <v>OK</v>
          </cell>
        </row>
        <row r="2485">
          <cell r="C2485" t="str">
            <v>&lt;-- enter valid PB./Acc. # in this cell!</v>
          </cell>
          <cell r="F2485" t="str">
            <v>OK</v>
          </cell>
        </row>
        <row r="2486">
          <cell r="C2486" t="str">
            <v>&lt;-- enter valid PB./Acc. # in this cell!</v>
          </cell>
          <cell r="F2486" t="str">
            <v>OK</v>
          </cell>
        </row>
        <row r="2487">
          <cell r="C2487" t="str">
            <v>&lt;-- enter valid PB./Acc. # in this cell!</v>
          </cell>
          <cell r="F2487" t="str">
            <v>OK</v>
          </cell>
        </row>
        <row r="2488">
          <cell r="C2488" t="str">
            <v>&lt;-- enter valid PB./Acc. # in this cell!</v>
          </cell>
          <cell r="F2488" t="str">
            <v>OK</v>
          </cell>
        </row>
        <row r="2489">
          <cell r="C2489" t="str">
            <v>&lt;-- enter valid PB./Acc. # in this cell!</v>
          </cell>
          <cell r="F2489" t="str">
            <v>OK</v>
          </cell>
        </row>
        <row r="2490">
          <cell r="C2490" t="str">
            <v>&lt;-- enter valid PB./Acc. # in this cell!</v>
          </cell>
          <cell r="F2490" t="str">
            <v>OK</v>
          </cell>
        </row>
        <row r="2491">
          <cell r="C2491" t="str">
            <v>&lt;-- enter valid PB./Acc. # in this cell!</v>
          </cell>
          <cell r="F2491" t="str">
            <v>OK</v>
          </cell>
        </row>
        <row r="2492">
          <cell r="C2492" t="str">
            <v>&lt;-- enter valid PB./Acc. # in this cell!</v>
          </cell>
          <cell r="F2492" t="str">
            <v>OK</v>
          </cell>
        </row>
        <row r="2493">
          <cell r="C2493" t="str">
            <v>&lt;-- enter valid PB./Acc. # in this cell!</v>
          </cell>
          <cell r="F2493" t="str">
            <v>OK</v>
          </cell>
        </row>
        <row r="2494">
          <cell r="C2494" t="str">
            <v>&lt;-- enter valid PB./Acc. # in this cell!</v>
          </cell>
          <cell r="F2494" t="str">
            <v>OK</v>
          </cell>
        </row>
        <row r="2495">
          <cell r="C2495" t="str">
            <v>&lt;-- enter valid PB./Acc. # in this cell!</v>
          </cell>
          <cell r="F2495" t="str">
            <v>OK</v>
          </cell>
        </row>
        <row r="2496">
          <cell r="C2496" t="str">
            <v>&lt;-- enter valid PB./Acc. # in this cell!</v>
          </cell>
          <cell r="F2496" t="str">
            <v>OK</v>
          </cell>
        </row>
        <row r="2497">
          <cell r="C2497" t="str">
            <v>&lt;-- enter valid PB./Acc. # in this cell!</v>
          </cell>
          <cell r="F2497" t="str">
            <v>OK</v>
          </cell>
        </row>
        <row r="2498">
          <cell r="C2498" t="str">
            <v>&lt;-- enter valid PB./Acc. # in this cell!</v>
          </cell>
          <cell r="F2498" t="str">
            <v>OK</v>
          </cell>
        </row>
        <row r="2499">
          <cell r="C2499" t="str">
            <v>&lt;-- enter valid PB./Acc. # in this cell!</v>
          </cell>
          <cell r="F2499" t="str">
            <v>OK</v>
          </cell>
        </row>
        <row r="2500">
          <cell r="C2500" t="str">
            <v>&lt;-- enter valid PB./Acc. # in this cell!</v>
          </cell>
          <cell r="F2500" t="str">
            <v>OK</v>
          </cell>
        </row>
        <row r="2501">
          <cell r="C2501" t="str">
            <v>&lt;-- enter valid PB./Acc. # in this cell!</v>
          </cell>
          <cell r="F2501" t="str">
            <v>OK</v>
          </cell>
        </row>
        <row r="2502">
          <cell r="C2502" t="str">
            <v>&lt;-- enter valid PB./Acc. # in this cell!</v>
          </cell>
          <cell r="F2502" t="str">
            <v>OK</v>
          </cell>
        </row>
        <row r="2503">
          <cell r="C2503" t="str">
            <v>&lt;-- enter valid PB./Acc. # in this cell!</v>
          </cell>
          <cell r="F2503" t="str">
            <v>OK</v>
          </cell>
        </row>
        <row r="2504">
          <cell r="C2504" t="str">
            <v>&lt;-- enter valid PB./Acc. # in this cell!</v>
          </cell>
          <cell r="F2504" t="str">
            <v>OK</v>
          </cell>
        </row>
        <row r="2505">
          <cell r="C2505" t="str">
            <v>&lt;-- enter valid PB./Acc. # in this cell!</v>
          </cell>
          <cell r="F2505" t="str">
            <v>OK</v>
          </cell>
        </row>
        <row r="2506">
          <cell r="C2506" t="str">
            <v>&lt;-- enter valid PB./Acc. # in this cell!</v>
          </cell>
          <cell r="F2506" t="str">
            <v>OK</v>
          </cell>
        </row>
        <row r="2507">
          <cell r="C2507" t="str">
            <v>&lt;-- enter valid PB./Acc. # in this cell!</v>
          </cell>
          <cell r="F2507" t="str">
            <v>OK</v>
          </cell>
        </row>
        <row r="2508">
          <cell r="C2508" t="str">
            <v>&lt;-- enter valid PB./Acc. # in this cell!</v>
          </cell>
          <cell r="F2508" t="str">
            <v>OK</v>
          </cell>
        </row>
        <row r="2509">
          <cell r="C2509" t="str">
            <v>&lt;-- enter valid PB./Acc. # in this cell!</v>
          </cell>
          <cell r="F2509" t="str">
            <v>OK</v>
          </cell>
        </row>
        <row r="2510">
          <cell r="C2510" t="str">
            <v>&lt;-- enter valid PB./Acc. # in this cell!</v>
          </cell>
          <cell r="F2510" t="str">
            <v>OK</v>
          </cell>
        </row>
        <row r="2511">
          <cell r="C2511" t="str">
            <v>&lt;-- enter valid PB./Acc. # in this cell!</v>
          </cell>
          <cell r="F2511" t="str">
            <v>OK</v>
          </cell>
        </row>
        <row r="2512">
          <cell r="C2512" t="str">
            <v>&lt;-- enter valid PB./Acc. # in this cell!</v>
          </cell>
          <cell r="F2512" t="str">
            <v>OK</v>
          </cell>
        </row>
        <row r="2513">
          <cell r="C2513" t="str">
            <v>&lt;-- enter valid PB./Acc. # in this cell!</v>
          </cell>
          <cell r="F2513" t="str">
            <v>OK</v>
          </cell>
        </row>
        <row r="2514">
          <cell r="C2514" t="str">
            <v>&lt;-- enter valid PB./Acc. # in this cell!</v>
          </cell>
          <cell r="F2514" t="str">
            <v>OK</v>
          </cell>
        </row>
        <row r="2515">
          <cell r="C2515" t="str">
            <v>&lt;-- enter valid PB./Acc. # in this cell!</v>
          </cell>
          <cell r="F2515" t="str">
            <v>OK</v>
          </cell>
        </row>
        <row r="2516">
          <cell r="C2516" t="str">
            <v>&lt;-- enter valid PB./Acc. # in this cell!</v>
          </cell>
          <cell r="F2516" t="str">
            <v>OK</v>
          </cell>
        </row>
        <row r="2517">
          <cell r="C2517" t="str">
            <v>&lt;-- enter valid PB./Acc. # in this cell!</v>
          </cell>
          <cell r="F2517" t="str">
            <v>OK</v>
          </cell>
        </row>
        <row r="2518">
          <cell r="C2518" t="str">
            <v>&lt;-- enter valid PB./Acc. # in this cell!</v>
          </cell>
          <cell r="F2518" t="str">
            <v>OK</v>
          </cell>
        </row>
        <row r="2519">
          <cell r="C2519" t="str">
            <v>&lt;-- enter valid PB./Acc. # in this cell!</v>
          </cell>
          <cell r="F2519" t="str">
            <v>OK</v>
          </cell>
        </row>
        <row r="2520">
          <cell r="C2520" t="str">
            <v>&lt;-- enter valid PB./Acc. # in this cell!</v>
          </cell>
          <cell r="F2520" t="str">
            <v>OK</v>
          </cell>
        </row>
        <row r="2521">
          <cell r="C2521" t="str">
            <v>&lt;-- enter valid PB./Acc. # in this cell!</v>
          </cell>
          <cell r="F2521" t="str">
            <v>OK</v>
          </cell>
        </row>
        <row r="2522">
          <cell r="C2522" t="str">
            <v>&lt;-- enter valid PB./Acc. # in this cell!</v>
          </cell>
          <cell r="F2522" t="str">
            <v>OK</v>
          </cell>
        </row>
        <row r="2523">
          <cell r="C2523" t="str">
            <v>&lt;-- enter valid PB./Acc. # in this cell!</v>
          </cell>
          <cell r="F2523" t="str">
            <v>OK</v>
          </cell>
        </row>
        <row r="2524">
          <cell r="C2524" t="str">
            <v>&lt;-- enter valid PB./Acc. # in this cell!</v>
          </cell>
          <cell r="F2524" t="str">
            <v>OK</v>
          </cell>
        </row>
        <row r="2525">
          <cell r="C2525" t="str">
            <v>&lt;-- enter valid PB./Acc. # in this cell!</v>
          </cell>
          <cell r="F2525" t="str">
            <v>OK</v>
          </cell>
        </row>
        <row r="2526">
          <cell r="C2526" t="str">
            <v>&lt;-- enter valid PB./Acc. # in this cell!</v>
          </cell>
          <cell r="F2526" t="str">
            <v>OK</v>
          </cell>
        </row>
        <row r="2527">
          <cell r="C2527" t="str">
            <v>&lt;-- enter valid PB./Acc. # in this cell!</v>
          </cell>
          <cell r="F2527" t="str">
            <v>OK</v>
          </cell>
        </row>
        <row r="2528">
          <cell r="C2528" t="str">
            <v>&lt;-- enter valid PB./Acc. # in this cell!</v>
          </cell>
          <cell r="F2528" t="str">
            <v>OK</v>
          </cell>
        </row>
        <row r="2529">
          <cell r="C2529" t="str">
            <v>&lt;-- enter valid PB./Acc. # in this cell!</v>
          </cell>
          <cell r="F2529" t="str">
            <v>OK</v>
          </cell>
        </row>
        <row r="2530">
          <cell r="C2530" t="str">
            <v>&lt;-- enter valid PB./Acc. # in this cell!</v>
          </cell>
          <cell r="F2530" t="str">
            <v>OK</v>
          </cell>
        </row>
        <row r="2531">
          <cell r="C2531" t="str">
            <v>&lt;-- enter valid PB./Acc. # in this cell!</v>
          </cell>
          <cell r="F2531" t="str">
            <v>OK</v>
          </cell>
        </row>
        <row r="2532">
          <cell r="C2532" t="str">
            <v>&lt;-- enter valid PB./Acc. # in this cell!</v>
          </cell>
          <cell r="F2532" t="str">
            <v>OK</v>
          </cell>
        </row>
        <row r="2533">
          <cell r="C2533" t="str">
            <v>&lt;-- enter valid PB./Acc. # in this cell!</v>
          </cell>
          <cell r="F2533" t="str">
            <v>OK</v>
          </cell>
        </row>
        <row r="2534">
          <cell r="C2534" t="str">
            <v>&lt;-- enter valid PB./Acc. # in this cell!</v>
          </cell>
          <cell r="F2534" t="str">
            <v>OK</v>
          </cell>
        </row>
        <row r="2535">
          <cell r="C2535" t="str">
            <v>&lt;-- enter valid PB./Acc. # in this cell!</v>
          </cell>
          <cell r="F2535" t="str">
            <v>OK</v>
          </cell>
        </row>
        <row r="2536">
          <cell r="C2536" t="str">
            <v>&lt;-- enter valid PB./Acc. # in this cell!</v>
          </cell>
          <cell r="F2536" t="str">
            <v>OK</v>
          </cell>
        </row>
        <row r="2537">
          <cell r="C2537" t="str">
            <v>&lt;-- enter valid PB./Acc. # in this cell!</v>
          </cell>
          <cell r="F2537" t="str">
            <v>OK</v>
          </cell>
        </row>
        <row r="2538">
          <cell r="C2538" t="str">
            <v>&lt;-- enter valid PB./Acc. # in this cell!</v>
          </cell>
          <cell r="F2538" t="str">
            <v>OK</v>
          </cell>
        </row>
        <row r="2539">
          <cell r="C2539" t="str">
            <v>&lt;-- enter valid PB./Acc. # in this cell!</v>
          </cell>
          <cell r="F2539" t="str">
            <v>OK</v>
          </cell>
        </row>
        <row r="2540">
          <cell r="C2540" t="str">
            <v>&lt;-- enter valid PB./Acc. # in this cell!</v>
          </cell>
          <cell r="F2540" t="str">
            <v>OK</v>
          </cell>
        </row>
        <row r="2541">
          <cell r="C2541" t="str">
            <v>&lt;-- enter valid PB./Acc. # in this cell!</v>
          </cell>
          <cell r="F2541" t="str">
            <v>OK</v>
          </cell>
        </row>
        <row r="2542">
          <cell r="C2542" t="str">
            <v>&lt;-- enter valid PB./Acc. # in this cell!</v>
          </cell>
          <cell r="F2542" t="str">
            <v>OK</v>
          </cell>
        </row>
        <row r="2543">
          <cell r="C2543" t="str">
            <v>&lt;-- enter valid PB./Acc. # in this cell!</v>
          </cell>
          <cell r="F2543" t="str">
            <v>OK</v>
          </cell>
        </row>
        <row r="2544">
          <cell r="C2544" t="str">
            <v>&lt;-- enter valid PB./Acc. # in this cell!</v>
          </cell>
          <cell r="F2544" t="str">
            <v>OK</v>
          </cell>
        </row>
        <row r="2545">
          <cell r="C2545" t="str">
            <v>&lt;-- enter valid PB./Acc. # in this cell!</v>
          </cell>
          <cell r="F2545" t="str">
            <v>OK</v>
          </cell>
        </row>
        <row r="2546">
          <cell r="C2546" t="str">
            <v>&lt;-- enter valid PB./Acc. # in this cell!</v>
          </cell>
          <cell r="F2546" t="str">
            <v>OK</v>
          </cell>
        </row>
        <row r="2547">
          <cell r="C2547" t="str">
            <v>&lt;-- enter valid PB./Acc. # in this cell!</v>
          </cell>
          <cell r="F2547" t="str">
            <v>OK</v>
          </cell>
        </row>
        <row r="2548">
          <cell r="C2548" t="str">
            <v>&lt;-- enter valid PB./Acc. # in this cell!</v>
          </cell>
          <cell r="F2548" t="str">
            <v>OK</v>
          </cell>
        </row>
        <row r="2549">
          <cell r="C2549" t="str">
            <v>&lt;-- enter valid PB./Acc. # in this cell!</v>
          </cell>
          <cell r="F2549" t="str">
            <v>OK</v>
          </cell>
        </row>
        <row r="2550">
          <cell r="C2550" t="str">
            <v>&lt;-- enter valid PB./Acc. # in this cell!</v>
          </cell>
          <cell r="F2550" t="str">
            <v>OK</v>
          </cell>
        </row>
        <row r="2551">
          <cell r="C2551" t="str">
            <v>&lt;-- enter valid PB./Acc. # in this cell!</v>
          </cell>
          <cell r="F2551" t="str">
            <v>OK</v>
          </cell>
        </row>
        <row r="2552">
          <cell r="C2552" t="str">
            <v>&lt;-- enter valid PB./Acc. # in this cell!</v>
          </cell>
          <cell r="F2552" t="str">
            <v>OK</v>
          </cell>
        </row>
        <row r="2553">
          <cell r="C2553" t="str">
            <v>&lt;-- enter valid PB./Acc. # in this cell!</v>
          </cell>
          <cell r="F2553" t="str">
            <v>OK</v>
          </cell>
        </row>
        <row r="2554">
          <cell r="C2554" t="str">
            <v>&lt;-- enter valid PB./Acc. # in this cell!</v>
          </cell>
          <cell r="F2554" t="str">
            <v>OK</v>
          </cell>
        </row>
        <row r="2555">
          <cell r="C2555" t="str">
            <v>&lt;-- enter valid PB./Acc. # in this cell!</v>
          </cell>
          <cell r="F2555" t="str">
            <v>OK</v>
          </cell>
        </row>
        <row r="2556">
          <cell r="C2556" t="str">
            <v>&lt;-- enter valid PB./Acc. # in this cell!</v>
          </cell>
          <cell r="F2556" t="str">
            <v>OK</v>
          </cell>
        </row>
        <row r="2557">
          <cell r="C2557" t="str">
            <v>&lt;-- enter valid PB./Acc. # in this cell!</v>
          </cell>
          <cell r="F2557" t="str">
            <v>OK</v>
          </cell>
        </row>
        <row r="2558">
          <cell r="C2558" t="str">
            <v>&lt;-- enter valid PB./Acc. # in this cell!</v>
          </cell>
          <cell r="F2558" t="str">
            <v>OK</v>
          </cell>
        </row>
        <row r="2559">
          <cell r="C2559" t="str">
            <v>&lt;-- enter valid PB./Acc. # in this cell!</v>
          </cell>
          <cell r="F2559" t="str">
            <v>OK</v>
          </cell>
        </row>
        <row r="2560">
          <cell r="C2560" t="str">
            <v>&lt;-- enter valid PB./Acc. # in this cell!</v>
          </cell>
          <cell r="F2560" t="str">
            <v>OK</v>
          </cell>
        </row>
        <row r="2561">
          <cell r="C2561" t="str">
            <v>&lt;-- enter valid PB./Acc. # in this cell!</v>
          </cell>
          <cell r="F2561" t="str">
            <v>OK</v>
          </cell>
        </row>
        <row r="2562">
          <cell r="C2562" t="str">
            <v>&lt;-- enter valid PB./Acc. # in this cell!</v>
          </cell>
          <cell r="F2562" t="str">
            <v>OK</v>
          </cell>
        </row>
        <row r="2563">
          <cell r="C2563" t="str">
            <v>&lt;-- enter valid PB./Acc. # in this cell!</v>
          </cell>
          <cell r="F2563" t="str">
            <v>OK</v>
          </cell>
        </row>
        <row r="2564">
          <cell r="C2564" t="str">
            <v>&lt;-- enter valid PB./Acc. # in this cell!</v>
          </cell>
          <cell r="F2564" t="str">
            <v>OK</v>
          </cell>
        </row>
        <row r="2565">
          <cell r="C2565" t="str">
            <v>&lt;-- enter valid PB./Acc. # in this cell!</v>
          </cell>
          <cell r="F2565" t="str">
            <v>OK</v>
          </cell>
        </row>
        <row r="2566">
          <cell r="C2566" t="str">
            <v>&lt;-- enter valid PB./Acc. # in this cell!</v>
          </cell>
          <cell r="F2566" t="str">
            <v>OK</v>
          </cell>
        </row>
        <row r="2567">
          <cell r="C2567" t="str">
            <v>&lt;-- enter valid PB./Acc. # in this cell!</v>
          </cell>
          <cell r="F2567" t="str">
            <v>OK</v>
          </cell>
        </row>
        <row r="2568">
          <cell r="C2568" t="str">
            <v>&lt;-- enter valid PB./Acc. # in this cell!</v>
          </cell>
          <cell r="F2568" t="str">
            <v>OK</v>
          </cell>
        </row>
        <row r="2569">
          <cell r="C2569" t="str">
            <v>&lt;-- enter valid PB./Acc. # in this cell!</v>
          </cell>
          <cell r="F2569" t="str">
            <v>OK</v>
          </cell>
        </row>
        <row r="2570">
          <cell r="C2570" t="str">
            <v>&lt;-- enter valid PB./Acc. # in this cell!</v>
          </cell>
          <cell r="F2570" t="str">
            <v>OK</v>
          </cell>
        </row>
        <row r="2571">
          <cell r="C2571" t="str">
            <v>&lt;-- enter valid PB./Acc. # in this cell!</v>
          </cell>
          <cell r="F2571" t="str">
            <v>OK</v>
          </cell>
        </row>
        <row r="2572">
          <cell r="C2572" t="str">
            <v>&lt;-- enter valid PB./Acc. # in this cell!</v>
          </cell>
          <cell r="F2572" t="str">
            <v>OK</v>
          </cell>
        </row>
        <row r="2573">
          <cell r="C2573" t="str">
            <v>&lt;-- enter valid PB./Acc. # in this cell!</v>
          </cell>
          <cell r="F2573" t="str">
            <v>OK</v>
          </cell>
        </row>
        <row r="2574">
          <cell r="C2574" t="str">
            <v>&lt;-- enter valid PB./Acc. # in this cell!</v>
          </cell>
          <cell r="F2574" t="str">
            <v>OK</v>
          </cell>
        </row>
        <row r="2575">
          <cell r="C2575" t="str">
            <v>&lt;-- enter valid PB./Acc. # in this cell!</v>
          </cell>
          <cell r="F2575" t="str">
            <v>OK</v>
          </cell>
        </row>
        <row r="2576">
          <cell r="C2576" t="str">
            <v>&lt;-- enter valid PB./Acc. # in this cell!</v>
          </cell>
          <cell r="F2576" t="str">
            <v>OK</v>
          </cell>
        </row>
        <row r="2577">
          <cell r="C2577" t="str">
            <v>&lt;-- enter valid PB./Acc. # in this cell!</v>
          </cell>
          <cell r="F2577" t="str">
            <v>OK</v>
          </cell>
        </row>
        <row r="2578">
          <cell r="C2578" t="str">
            <v>&lt;-- enter valid PB./Acc. # in this cell!</v>
          </cell>
          <cell r="F2578" t="str">
            <v>OK</v>
          </cell>
        </row>
        <row r="2579">
          <cell r="C2579" t="str">
            <v>&lt;-- enter valid PB./Acc. # in this cell!</v>
          </cell>
          <cell r="F2579" t="str">
            <v>OK</v>
          </cell>
        </row>
        <row r="2580">
          <cell r="C2580" t="str">
            <v>&lt;-- enter valid PB./Acc. # in this cell!</v>
          </cell>
          <cell r="F2580" t="str">
            <v>OK</v>
          </cell>
        </row>
        <row r="2581">
          <cell r="C2581" t="str">
            <v>&lt;-- enter valid PB./Acc. # in this cell!</v>
          </cell>
          <cell r="F2581" t="str">
            <v>OK</v>
          </cell>
        </row>
        <row r="2582">
          <cell r="C2582" t="str">
            <v>&lt;-- enter valid PB./Acc. # in this cell!</v>
          </cell>
          <cell r="F2582" t="str">
            <v>OK</v>
          </cell>
        </row>
        <row r="2583">
          <cell r="C2583" t="str">
            <v>&lt;-- enter valid PB./Acc. # in this cell!</v>
          </cell>
          <cell r="F2583" t="str">
            <v>OK</v>
          </cell>
        </row>
        <row r="2584">
          <cell r="C2584" t="str">
            <v>&lt;-- enter valid PB./Acc. # in this cell!</v>
          </cell>
          <cell r="F2584" t="str">
            <v>OK</v>
          </cell>
        </row>
        <row r="2585">
          <cell r="C2585" t="str">
            <v>&lt;-- enter valid PB./Acc. # in this cell!</v>
          </cell>
          <cell r="F2585" t="str">
            <v>OK</v>
          </cell>
        </row>
        <row r="2586">
          <cell r="C2586" t="str">
            <v>&lt;-- enter valid PB./Acc. # in this cell!</v>
          </cell>
          <cell r="F2586" t="str">
            <v>OK</v>
          </cell>
        </row>
        <row r="2587">
          <cell r="C2587" t="str">
            <v>&lt;-- enter valid PB./Acc. # in this cell!</v>
          </cell>
          <cell r="F2587" t="str">
            <v>OK</v>
          </cell>
        </row>
        <row r="2588">
          <cell r="C2588" t="str">
            <v>&lt;-- enter valid PB./Acc. # in this cell!</v>
          </cell>
          <cell r="F2588" t="str">
            <v>OK</v>
          </cell>
        </row>
        <row r="2589">
          <cell r="C2589" t="str">
            <v>&lt;-- enter valid PB./Acc. # in this cell!</v>
          </cell>
          <cell r="F2589" t="str">
            <v>OK</v>
          </cell>
        </row>
        <row r="2590">
          <cell r="C2590" t="str">
            <v>&lt;-- enter valid PB./Acc. # in this cell!</v>
          </cell>
          <cell r="F2590" t="str">
            <v>OK</v>
          </cell>
        </row>
        <row r="2591">
          <cell r="C2591" t="str">
            <v>&lt;-- enter valid PB./Acc. # in this cell!</v>
          </cell>
          <cell r="F2591" t="str">
            <v>OK</v>
          </cell>
        </row>
        <row r="2592">
          <cell r="C2592" t="str">
            <v>&lt;-- enter valid PB./Acc. # in this cell!</v>
          </cell>
          <cell r="F2592" t="str">
            <v>OK</v>
          </cell>
        </row>
        <row r="2593">
          <cell r="C2593" t="str">
            <v>&lt;-- enter valid PB./Acc. # in this cell!</v>
          </cell>
          <cell r="F2593" t="str">
            <v>OK</v>
          </cell>
        </row>
        <row r="2594">
          <cell r="C2594" t="str">
            <v>&lt;-- enter valid PB./Acc. # in this cell!</v>
          </cell>
          <cell r="F2594" t="str">
            <v>OK</v>
          </cell>
        </row>
        <row r="2595">
          <cell r="C2595" t="str">
            <v>&lt;-- enter valid PB./Acc. # in this cell!</v>
          </cell>
          <cell r="F2595" t="str">
            <v>OK</v>
          </cell>
        </row>
        <row r="2596">
          <cell r="C2596" t="str">
            <v>&lt;-- enter valid PB./Acc. # in this cell!</v>
          </cell>
          <cell r="F2596" t="str">
            <v>OK</v>
          </cell>
        </row>
        <row r="2597">
          <cell r="C2597" t="str">
            <v>&lt;-- enter valid PB./Acc. # in this cell!</v>
          </cell>
          <cell r="F2597" t="str">
            <v>OK</v>
          </cell>
        </row>
        <row r="2598">
          <cell r="C2598" t="str">
            <v>&lt;-- enter valid PB./Acc. # in this cell!</v>
          </cell>
          <cell r="F2598" t="str">
            <v>OK</v>
          </cell>
        </row>
        <row r="2599">
          <cell r="C2599" t="str">
            <v>&lt;-- enter valid PB./Acc. # in this cell!</v>
          </cell>
          <cell r="F2599" t="str">
            <v>OK</v>
          </cell>
        </row>
        <row r="2600">
          <cell r="C2600" t="str">
            <v>&lt;-- enter valid PB./Acc. # in this cell!</v>
          </cell>
          <cell r="F2600" t="str">
            <v>OK</v>
          </cell>
        </row>
        <row r="2601">
          <cell r="C2601" t="str">
            <v>&lt;-- enter valid PB./Acc. # in this cell!</v>
          </cell>
          <cell r="F2601" t="str">
            <v>OK</v>
          </cell>
        </row>
        <row r="2602">
          <cell r="C2602" t="str">
            <v>&lt;-- enter valid PB./Acc. # in this cell!</v>
          </cell>
          <cell r="F2602" t="str">
            <v>OK</v>
          </cell>
        </row>
        <row r="2603">
          <cell r="C2603" t="str">
            <v>&lt;-- enter valid PB./Acc. # in this cell!</v>
          </cell>
          <cell r="F2603" t="str">
            <v>OK</v>
          </cell>
        </row>
        <row r="2604">
          <cell r="C2604" t="str">
            <v>&lt;-- enter valid PB./Acc. # in this cell!</v>
          </cell>
          <cell r="F2604" t="str">
            <v>OK</v>
          </cell>
        </row>
        <row r="2605">
          <cell r="C2605" t="str">
            <v>&lt;-- enter valid PB./Acc. # in this cell!</v>
          </cell>
          <cell r="F2605" t="str">
            <v>OK</v>
          </cell>
        </row>
        <row r="2606">
          <cell r="C2606" t="str">
            <v>&lt;-- enter valid PB./Acc. # in this cell!</v>
          </cell>
          <cell r="F2606" t="str">
            <v>OK</v>
          </cell>
        </row>
        <row r="2607">
          <cell r="C2607" t="str">
            <v>&lt;-- enter valid PB./Acc. # in this cell!</v>
          </cell>
          <cell r="F2607" t="str">
            <v>OK</v>
          </cell>
        </row>
        <row r="2608">
          <cell r="C2608" t="str">
            <v>&lt;-- enter valid PB./Acc. # in this cell!</v>
          </cell>
          <cell r="F2608" t="str">
            <v>OK</v>
          </cell>
        </row>
        <row r="2609">
          <cell r="C2609" t="str">
            <v>&lt;-- enter valid PB./Acc. # in this cell!</v>
          </cell>
          <cell r="F2609" t="str">
            <v>OK</v>
          </cell>
        </row>
        <row r="2610">
          <cell r="C2610" t="str">
            <v>&lt;-- enter valid PB./Acc. # in this cell!</v>
          </cell>
          <cell r="F2610" t="str">
            <v>OK</v>
          </cell>
        </row>
        <row r="2611">
          <cell r="C2611" t="str">
            <v>&lt;-- enter valid PB./Acc. # in this cell!</v>
          </cell>
          <cell r="F2611" t="str">
            <v>OK</v>
          </cell>
        </row>
        <row r="2612">
          <cell r="C2612" t="str">
            <v>&lt;-- enter valid PB./Acc. # in this cell!</v>
          </cell>
          <cell r="F2612" t="str">
            <v>OK</v>
          </cell>
        </row>
        <row r="2613">
          <cell r="C2613" t="str">
            <v>&lt;-- enter valid PB./Acc. # in this cell!</v>
          </cell>
          <cell r="F2613" t="str">
            <v>OK</v>
          </cell>
        </row>
        <row r="2614">
          <cell r="C2614" t="str">
            <v>&lt;-- enter valid PB./Acc. # in this cell!</v>
          </cell>
          <cell r="F2614" t="str">
            <v>OK</v>
          </cell>
        </row>
        <row r="2615">
          <cell r="C2615" t="str">
            <v>&lt;-- enter valid PB./Acc. # in this cell!</v>
          </cell>
          <cell r="F2615" t="str">
            <v>OK</v>
          </cell>
        </row>
        <row r="2616">
          <cell r="C2616" t="str">
            <v>&lt;-- enter valid PB./Acc. # in this cell!</v>
          </cell>
          <cell r="F2616" t="str">
            <v>OK</v>
          </cell>
        </row>
        <row r="2617">
          <cell r="C2617" t="str">
            <v>&lt;-- enter valid PB./Acc. # in this cell!</v>
          </cell>
          <cell r="F2617" t="str">
            <v>OK</v>
          </cell>
        </row>
        <row r="2618">
          <cell r="C2618" t="str">
            <v>&lt;-- enter valid PB./Acc. # in this cell!</v>
          </cell>
          <cell r="F2618" t="str">
            <v>OK</v>
          </cell>
        </row>
        <row r="2619">
          <cell r="C2619" t="str">
            <v>&lt;-- enter valid PB./Acc. # in this cell!</v>
          </cell>
          <cell r="F2619" t="str">
            <v>OK</v>
          </cell>
        </row>
        <row r="2620">
          <cell r="C2620" t="str">
            <v>&lt;-- enter valid PB./Acc. # in this cell!</v>
          </cell>
          <cell r="F2620" t="str">
            <v>OK</v>
          </cell>
        </row>
        <row r="2621">
          <cell r="C2621" t="str">
            <v>&lt;-- enter valid PB./Acc. # in this cell!</v>
          </cell>
          <cell r="F2621" t="str">
            <v>OK</v>
          </cell>
        </row>
        <row r="2622">
          <cell r="C2622" t="str">
            <v>&lt;-- enter valid PB./Acc. # in this cell!</v>
          </cell>
          <cell r="F2622" t="str">
            <v>OK</v>
          </cell>
        </row>
        <row r="2623">
          <cell r="C2623" t="str">
            <v>&lt;-- enter valid PB./Acc. # in this cell!</v>
          </cell>
          <cell r="F2623" t="str">
            <v>OK</v>
          </cell>
        </row>
        <row r="2624">
          <cell r="C2624" t="str">
            <v>&lt;-- enter valid PB./Acc. # in this cell!</v>
          </cell>
          <cell r="F2624" t="str">
            <v>OK</v>
          </cell>
        </row>
        <row r="2625">
          <cell r="C2625" t="str">
            <v>&lt;-- enter valid PB./Acc. # in this cell!</v>
          </cell>
          <cell r="F2625" t="str">
            <v>OK</v>
          </cell>
        </row>
        <row r="2626">
          <cell r="C2626" t="str">
            <v>&lt;-- enter valid PB./Acc. # in this cell!</v>
          </cell>
          <cell r="F2626" t="str">
            <v>OK</v>
          </cell>
        </row>
        <row r="2627">
          <cell r="C2627" t="str">
            <v>&lt;-- enter valid PB./Acc. # in this cell!</v>
          </cell>
          <cell r="F2627" t="str">
            <v>OK</v>
          </cell>
        </row>
        <row r="2628">
          <cell r="C2628" t="str">
            <v>&lt;-- enter valid PB./Acc. # in this cell!</v>
          </cell>
          <cell r="F2628" t="str">
            <v>OK</v>
          </cell>
        </row>
        <row r="2629">
          <cell r="C2629" t="str">
            <v>&lt;-- enter valid PB./Acc. # in this cell!</v>
          </cell>
          <cell r="F2629" t="str">
            <v>OK</v>
          </cell>
        </row>
        <row r="2630">
          <cell r="C2630" t="str">
            <v>&lt;-- enter valid PB./Acc. # in this cell!</v>
          </cell>
          <cell r="F2630" t="str">
            <v>OK</v>
          </cell>
        </row>
        <row r="2631">
          <cell r="C2631" t="str">
            <v>&lt;-- enter valid PB./Acc. # in this cell!</v>
          </cell>
          <cell r="F2631" t="str">
            <v>OK</v>
          </cell>
        </row>
        <row r="2632">
          <cell r="C2632" t="str">
            <v>&lt;-- enter valid PB./Acc. # in this cell!</v>
          </cell>
          <cell r="F2632" t="str">
            <v>OK</v>
          </cell>
        </row>
        <row r="2633">
          <cell r="C2633" t="str">
            <v>&lt;-- enter valid PB./Acc. # in this cell!</v>
          </cell>
          <cell r="F2633" t="str">
            <v>OK</v>
          </cell>
        </row>
        <row r="2634">
          <cell r="C2634" t="str">
            <v>&lt;-- enter valid PB./Acc. # in this cell!</v>
          </cell>
          <cell r="F2634" t="str">
            <v>OK</v>
          </cell>
        </row>
        <row r="2635">
          <cell r="C2635" t="str">
            <v>&lt;-- enter valid PB./Acc. # in this cell!</v>
          </cell>
          <cell r="F2635" t="str">
            <v>OK</v>
          </cell>
        </row>
        <row r="2636">
          <cell r="C2636" t="str">
            <v>&lt;-- enter valid PB./Acc. # in this cell!</v>
          </cell>
          <cell r="F2636" t="str">
            <v>OK</v>
          </cell>
        </row>
        <row r="2637">
          <cell r="C2637" t="str">
            <v>&lt;-- enter valid PB./Acc. # in this cell!</v>
          </cell>
          <cell r="F2637" t="str">
            <v>OK</v>
          </cell>
        </row>
        <row r="2638">
          <cell r="C2638" t="str">
            <v>&lt;-- enter valid PB./Acc. # in this cell!</v>
          </cell>
          <cell r="F2638" t="str">
            <v>OK</v>
          </cell>
        </row>
        <row r="2639">
          <cell r="C2639" t="str">
            <v>&lt;-- enter valid PB./Acc. # in this cell!</v>
          </cell>
          <cell r="F2639" t="str">
            <v>OK</v>
          </cell>
        </row>
        <row r="2640">
          <cell r="C2640" t="str">
            <v>&lt;-- enter valid PB./Acc. # in this cell!</v>
          </cell>
          <cell r="F2640" t="str">
            <v>OK</v>
          </cell>
        </row>
        <row r="2641">
          <cell r="C2641" t="str">
            <v>&lt;-- enter valid PB./Acc. # in this cell!</v>
          </cell>
          <cell r="F2641" t="str">
            <v>OK</v>
          </cell>
        </row>
        <row r="2642">
          <cell r="C2642" t="str">
            <v>&lt;-- enter valid PB./Acc. # in this cell!</v>
          </cell>
          <cell r="F2642" t="str">
            <v>OK</v>
          </cell>
        </row>
        <row r="2643">
          <cell r="C2643" t="str">
            <v>&lt;-- enter valid PB./Acc. # in this cell!</v>
          </cell>
          <cell r="F2643" t="str">
            <v>OK</v>
          </cell>
        </row>
        <row r="2644">
          <cell r="C2644" t="str">
            <v>&lt;-- enter valid PB./Acc. # in this cell!</v>
          </cell>
          <cell r="F2644" t="str">
            <v>OK</v>
          </cell>
        </row>
        <row r="2645">
          <cell r="C2645" t="str">
            <v>&lt;-- enter valid PB./Acc. # in this cell!</v>
          </cell>
          <cell r="F2645" t="str">
            <v>OK</v>
          </cell>
        </row>
        <row r="2646">
          <cell r="C2646" t="str">
            <v>&lt;-- enter valid PB./Acc. # in this cell!</v>
          </cell>
          <cell r="F2646" t="str">
            <v>OK</v>
          </cell>
        </row>
        <row r="2647">
          <cell r="C2647" t="str">
            <v>&lt;-- enter valid PB./Acc. # in this cell!</v>
          </cell>
          <cell r="F2647" t="str">
            <v>OK</v>
          </cell>
        </row>
        <row r="2648">
          <cell r="C2648" t="str">
            <v>&lt;-- enter valid PB./Acc. # in this cell!</v>
          </cell>
          <cell r="F2648" t="str">
            <v>OK</v>
          </cell>
        </row>
        <row r="2649">
          <cell r="C2649" t="str">
            <v>&lt;-- enter valid PB./Acc. # in this cell!</v>
          </cell>
          <cell r="F2649" t="str">
            <v>OK</v>
          </cell>
        </row>
        <row r="2650">
          <cell r="C2650" t="str">
            <v>&lt;-- enter valid PB./Acc. # in this cell!</v>
          </cell>
          <cell r="F2650" t="str">
            <v>OK</v>
          </cell>
        </row>
        <row r="2651">
          <cell r="C2651" t="str">
            <v>&lt;-- enter valid PB./Acc. # in this cell!</v>
          </cell>
          <cell r="F2651" t="str">
            <v>OK</v>
          </cell>
        </row>
        <row r="2652">
          <cell r="C2652" t="str">
            <v>&lt;-- enter valid PB./Acc. # in this cell!</v>
          </cell>
          <cell r="F2652" t="str">
            <v>OK</v>
          </cell>
        </row>
        <row r="2653">
          <cell r="C2653" t="str">
            <v>&lt;-- enter valid PB./Acc. # in this cell!</v>
          </cell>
          <cell r="F2653" t="str">
            <v>OK</v>
          </cell>
        </row>
        <row r="2654">
          <cell r="C2654" t="str">
            <v>&lt;-- enter valid PB./Acc. # in this cell!</v>
          </cell>
          <cell r="F2654" t="str">
            <v>OK</v>
          </cell>
        </row>
        <row r="2655">
          <cell r="C2655" t="str">
            <v>&lt;-- enter valid PB./Acc. # in this cell!</v>
          </cell>
          <cell r="F2655" t="str">
            <v>OK</v>
          </cell>
        </row>
        <row r="2656">
          <cell r="C2656" t="str">
            <v>&lt;-- enter valid PB./Acc. # in this cell!</v>
          </cell>
          <cell r="F2656" t="str">
            <v>OK</v>
          </cell>
        </row>
        <row r="2657">
          <cell r="C2657" t="str">
            <v>&lt;-- enter valid PB./Acc. # in this cell!</v>
          </cell>
          <cell r="F2657" t="str">
            <v>OK</v>
          </cell>
        </row>
        <row r="2658">
          <cell r="C2658" t="str">
            <v>&lt;-- enter valid PB./Acc. # in this cell!</v>
          </cell>
          <cell r="F2658" t="str">
            <v>OK</v>
          </cell>
        </row>
        <row r="2659">
          <cell r="C2659" t="str">
            <v>&lt;-- enter valid PB./Acc. # in this cell!</v>
          </cell>
          <cell r="F2659" t="str">
            <v>OK</v>
          </cell>
        </row>
        <row r="2660">
          <cell r="C2660" t="str">
            <v>&lt;-- enter valid PB./Acc. # in this cell!</v>
          </cell>
          <cell r="F2660" t="str">
            <v>OK</v>
          </cell>
        </row>
        <row r="2661">
          <cell r="C2661" t="str">
            <v>&lt;-- enter valid PB./Acc. # in this cell!</v>
          </cell>
          <cell r="F2661" t="str">
            <v>OK</v>
          </cell>
        </row>
        <row r="2662">
          <cell r="C2662" t="str">
            <v>&lt;-- enter valid PB./Acc. # in this cell!</v>
          </cell>
          <cell r="F2662" t="str">
            <v>OK</v>
          </cell>
        </row>
        <row r="2663">
          <cell r="C2663" t="str">
            <v>&lt;-- enter valid PB./Acc. # in this cell!</v>
          </cell>
          <cell r="F2663" t="str">
            <v>OK</v>
          </cell>
        </row>
        <row r="2664">
          <cell r="C2664" t="str">
            <v>&lt;-- enter valid PB./Acc. # in this cell!</v>
          </cell>
          <cell r="F2664" t="str">
            <v>OK</v>
          </cell>
        </row>
        <row r="2665">
          <cell r="C2665" t="str">
            <v>&lt;-- enter valid PB./Acc. # in this cell!</v>
          </cell>
          <cell r="F2665" t="str">
            <v>OK</v>
          </cell>
        </row>
        <row r="2666">
          <cell r="C2666" t="str">
            <v>&lt;-- enter valid PB./Acc. # in this cell!</v>
          </cell>
          <cell r="F2666" t="str">
            <v>OK</v>
          </cell>
        </row>
        <row r="2667">
          <cell r="C2667" t="str">
            <v>&lt;-- enter valid PB./Acc. # in this cell!</v>
          </cell>
          <cell r="F2667" t="str">
            <v>OK</v>
          </cell>
        </row>
        <row r="2668">
          <cell r="C2668" t="str">
            <v>&lt;-- enter valid PB./Acc. # in this cell!</v>
          </cell>
          <cell r="F2668" t="str">
            <v>OK</v>
          </cell>
        </row>
        <row r="2669">
          <cell r="C2669" t="str">
            <v>&lt;-- enter valid PB./Acc. # in this cell!</v>
          </cell>
          <cell r="F2669" t="str">
            <v>OK</v>
          </cell>
        </row>
        <row r="2670">
          <cell r="C2670" t="str">
            <v>&lt;-- enter valid PB./Acc. # in this cell!</v>
          </cell>
          <cell r="F2670" t="str">
            <v>OK</v>
          </cell>
        </row>
        <row r="2671">
          <cell r="C2671" t="str">
            <v>&lt;-- enter valid PB./Acc. # in this cell!</v>
          </cell>
          <cell r="F2671" t="str">
            <v>OK</v>
          </cell>
        </row>
        <row r="2672">
          <cell r="C2672" t="str">
            <v>&lt;-- enter valid PB./Acc. # in this cell!</v>
          </cell>
          <cell r="F2672" t="str">
            <v>OK</v>
          </cell>
        </row>
        <row r="2673">
          <cell r="C2673" t="str">
            <v>&lt;-- enter valid PB./Acc. # in this cell!</v>
          </cell>
          <cell r="F2673" t="str">
            <v>OK</v>
          </cell>
        </row>
        <row r="2674">
          <cell r="C2674" t="str">
            <v>&lt;-- enter valid PB./Acc. # in this cell!</v>
          </cell>
          <cell r="F2674" t="str">
            <v>OK</v>
          </cell>
        </row>
        <row r="2675">
          <cell r="C2675" t="str">
            <v>&lt;-- enter valid PB./Acc. # in this cell!</v>
          </cell>
          <cell r="F2675" t="str">
            <v>OK</v>
          </cell>
        </row>
        <row r="2676">
          <cell r="C2676" t="str">
            <v>&lt;-- enter valid PB./Acc. # in this cell!</v>
          </cell>
          <cell r="F2676" t="str">
            <v>OK</v>
          </cell>
        </row>
        <row r="2677">
          <cell r="C2677" t="str">
            <v>&lt;-- enter valid PB./Acc. # in this cell!</v>
          </cell>
          <cell r="F2677" t="str">
            <v>OK</v>
          </cell>
        </row>
        <row r="2678">
          <cell r="C2678" t="str">
            <v>&lt;-- enter valid PB./Acc. # in this cell!</v>
          </cell>
          <cell r="F2678" t="str">
            <v>OK</v>
          </cell>
        </row>
        <row r="2679">
          <cell r="C2679" t="str">
            <v>&lt;-- enter valid PB./Acc. # in this cell!</v>
          </cell>
          <cell r="F2679" t="str">
            <v>OK</v>
          </cell>
        </row>
        <row r="2680">
          <cell r="C2680" t="str">
            <v>&lt;-- enter valid PB./Acc. # in this cell!</v>
          </cell>
          <cell r="F2680" t="str">
            <v>OK</v>
          </cell>
        </row>
        <row r="2681">
          <cell r="C2681" t="str">
            <v>&lt;-- enter valid PB./Acc. # in this cell!</v>
          </cell>
          <cell r="F2681" t="str">
            <v>OK</v>
          </cell>
        </row>
        <row r="2682">
          <cell r="C2682" t="str">
            <v>&lt;-- enter valid PB./Acc. # in this cell!</v>
          </cell>
          <cell r="F2682" t="str">
            <v>OK</v>
          </cell>
        </row>
        <row r="2683">
          <cell r="C2683" t="str">
            <v>&lt;-- enter valid PB./Acc. # in this cell!</v>
          </cell>
          <cell r="F2683" t="str">
            <v>OK</v>
          </cell>
        </row>
        <row r="2684">
          <cell r="C2684" t="str">
            <v>&lt;-- enter valid PB./Acc. # in this cell!</v>
          </cell>
          <cell r="F2684" t="str">
            <v>OK</v>
          </cell>
        </row>
        <row r="2685">
          <cell r="C2685" t="str">
            <v>&lt;-- enter valid PB./Acc. # in this cell!</v>
          </cell>
          <cell r="F2685" t="str">
            <v>OK</v>
          </cell>
        </row>
        <row r="2686">
          <cell r="C2686" t="str">
            <v>&lt;-- enter valid PB./Acc. # in this cell!</v>
          </cell>
          <cell r="F2686" t="str">
            <v>OK</v>
          </cell>
        </row>
        <row r="2687">
          <cell r="C2687" t="str">
            <v>&lt;-- enter valid PB./Acc. # in this cell!</v>
          </cell>
          <cell r="F2687" t="str">
            <v>OK</v>
          </cell>
        </row>
        <row r="2688">
          <cell r="C2688" t="str">
            <v>&lt;-- enter valid PB./Acc. # in this cell!</v>
          </cell>
          <cell r="F2688" t="str">
            <v>OK</v>
          </cell>
        </row>
        <row r="2689">
          <cell r="C2689" t="str">
            <v>&lt;-- enter valid PB./Acc. # in this cell!</v>
          </cell>
          <cell r="F2689" t="str">
            <v>OK</v>
          </cell>
        </row>
        <row r="2690">
          <cell r="C2690" t="str">
            <v>&lt;-- enter valid PB./Acc. # in this cell!</v>
          </cell>
          <cell r="F2690" t="str">
            <v>OK</v>
          </cell>
        </row>
        <row r="2691">
          <cell r="C2691" t="str">
            <v>&lt;-- enter valid PB./Acc. # in this cell!</v>
          </cell>
          <cell r="F2691" t="str">
            <v>OK</v>
          </cell>
        </row>
        <row r="2692">
          <cell r="C2692" t="str">
            <v>&lt;-- enter valid PB./Acc. # in this cell!</v>
          </cell>
          <cell r="F2692" t="str">
            <v>OK</v>
          </cell>
        </row>
        <row r="2693">
          <cell r="C2693" t="str">
            <v>&lt;-- enter valid PB./Acc. # in this cell!</v>
          </cell>
          <cell r="F2693" t="str">
            <v>OK</v>
          </cell>
        </row>
        <row r="2694">
          <cell r="C2694" t="str">
            <v>&lt;-- enter valid PB./Acc. # in this cell!</v>
          </cell>
          <cell r="F2694" t="str">
            <v>OK</v>
          </cell>
        </row>
        <row r="2695">
          <cell r="C2695" t="str">
            <v>&lt;-- enter valid PB./Acc. # in this cell!</v>
          </cell>
          <cell r="F2695" t="str">
            <v>OK</v>
          </cell>
        </row>
        <row r="2696">
          <cell r="C2696" t="str">
            <v>&lt;-- enter valid PB./Acc. # in this cell!</v>
          </cell>
          <cell r="F2696" t="str">
            <v>OK</v>
          </cell>
        </row>
        <row r="2697">
          <cell r="C2697" t="str">
            <v>&lt;-- enter valid PB./Acc. # in this cell!</v>
          </cell>
          <cell r="F2697" t="str">
            <v>OK</v>
          </cell>
        </row>
        <row r="2698">
          <cell r="C2698" t="str">
            <v>&lt;-- enter valid PB./Acc. # in this cell!</v>
          </cell>
          <cell r="F2698" t="str">
            <v>OK</v>
          </cell>
        </row>
        <row r="2699">
          <cell r="C2699" t="str">
            <v>&lt;-- enter valid PB./Acc. # in this cell!</v>
          </cell>
          <cell r="F2699" t="str">
            <v>OK</v>
          </cell>
        </row>
        <row r="2700">
          <cell r="A2700" t="str">
            <v>Total Balances of March 2016</v>
          </cell>
          <cell r="F2700" t="str">
            <v>OK</v>
          </cell>
          <cell r="G2700">
            <v>0</v>
          </cell>
          <cell r="H2700">
            <v>0</v>
          </cell>
          <cell r="I2700">
            <v>0</v>
          </cell>
          <cell r="J2700">
            <v>0</v>
          </cell>
          <cell r="K2700">
            <v>0</v>
          </cell>
          <cell r="L2700">
            <v>0</v>
          </cell>
          <cell r="M2700">
            <v>0</v>
          </cell>
          <cell r="N2700">
            <v>0</v>
          </cell>
          <cell r="O2700">
            <v>0</v>
          </cell>
          <cell r="P2700">
            <v>0</v>
          </cell>
          <cell r="Q2700">
            <v>0</v>
          </cell>
          <cell r="R2700">
            <v>0</v>
          </cell>
          <cell r="S2700">
            <v>0</v>
          </cell>
          <cell r="T2700">
            <v>0</v>
          </cell>
          <cell r="AQ2700">
            <v>0</v>
          </cell>
        </row>
        <row r="2701">
          <cell r="A2701">
            <v>42490</v>
          </cell>
        </row>
        <row r="2702">
          <cell r="C2702" t="str">
            <v>&lt;-- enter valid PB./Acc. # in this cell!</v>
          </cell>
          <cell r="F2702" t="str">
            <v>OK</v>
          </cell>
        </row>
        <row r="2703">
          <cell r="C2703" t="str">
            <v>&lt;-- enter valid PB./Acc. # in this cell!</v>
          </cell>
          <cell r="F2703" t="str">
            <v>OK</v>
          </cell>
        </row>
        <row r="2704">
          <cell r="C2704" t="str">
            <v>&lt;-- enter valid PB./Acc. # in this cell!</v>
          </cell>
          <cell r="F2704" t="str">
            <v>OK</v>
          </cell>
        </row>
        <row r="2705">
          <cell r="C2705" t="str">
            <v>&lt;-- enter valid PB./Acc. # in this cell!</v>
          </cell>
          <cell r="F2705" t="str">
            <v>OK</v>
          </cell>
        </row>
        <row r="2706">
          <cell r="C2706" t="str">
            <v>&lt;-- enter valid PB./Acc. # in this cell!</v>
          </cell>
          <cell r="F2706" t="str">
            <v>OK</v>
          </cell>
        </row>
        <row r="2707">
          <cell r="C2707" t="str">
            <v>&lt;-- enter valid PB./Acc. # in this cell!</v>
          </cell>
          <cell r="F2707" t="str">
            <v>OK</v>
          </cell>
        </row>
        <row r="2708">
          <cell r="C2708" t="str">
            <v>&lt;-- enter valid PB./Acc. # in this cell!</v>
          </cell>
          <cell r="F2708" t="str">
            <v>OK</v>
          </cell>
        </row>
        <row r="2709">
          <cell r="C2709" t="str">
            <v>&lt;-- enter valid PB./Acc. # in this cell!</v>
          </cell>
          <cell r="F2709" t="str">
            <v>OK</v>
          </cell>
        </row>
        <row r="2710">
          <cell r="C2710" t="str">
            <v>&lt;-- enter valid PB./Acc. # in this cell!</v>
          </cell>
          <cell r="F2710" t="str">
            <v>OK</v>
          </cell>
        </row>
        <row r="2711">
          <cell r="C2711" t="str">
            <v>&lt;-- enter valid PB./Acc. # in this cell!</v>
          </cell>
          <cell r="F2711" t="str">
            <v>OK</v>
          </cell>
        </row>
        <row r="2712">
          <cell r="C2712" t="str">
            <v>&lt;-- enter valid PB./Acc. # in this cell!</v>
          </cell>
          <cell r="F2712" t="str">
            <v>OK</v>
          </cell>
        </row>
        <row r="2713">
          <cell r="C2713" t="str">
            <v>&lt;-- enter valid PB./Acc. # in this cell!</v>
          </cell>
          <cell r="F2713" t="str">
            <v>OK</v>
          </cell>
        </row>
        <row r="2714">
          <cell r="C2714" t="str">
            <v>&lt;-- enter valid PB./Acc. # in this cell!</v>
          </cell>
          <cell r="F2714" t="str">
            <v>OK</v>
          </cell>
        </row>
        <row r="2715">
          <cell r="C2715" t="str">
            <v>&lt;-- enter valid PB./Acc. # in this cell!</v>
          </cell>
          <cell r="F2715" t="str">
            <v>OK</v>
          </cell>
        </row>
        <row r="2716">
          <cell r="C2716" t="str">
            <v>&lt;-- enter valid PB./Acc. # in this cell!</v>
          </cell>
          <cell r="F2716" t="str">
            <v>OK</v>
          </cell>
        </row>
        <row r="2717">
          <cell r="C2717" t="str">
            <v>&lt;-- enter valid PB./Acc. # in this cell!</v>
          </cell>
          <cell r="F2717" t="str">
            <v>OK</v>
          </cell>
        </row>
        <row r="2718">
          <cell r="C2718" t="str">
            <v>&lt;-- enter valid PB./Acc. # in this cell!</v>
          </cell>
          <cell r="F2718" t="str">
            <v>OK</v>
          </cell>
        </row>
        <row r="2719">
          <cell r="C2719" t="str">
            <v>&lt;-- enter valid PB./Acc. # in this cell!</v>
          </cell>
          <cell r="F2719" t="str">
            <v>OK</v>
          </cell>
        </row>
        <row r="2720">
          <cell r="C2720" t="str">
            <v>&lt;-- enter valid PB./Acc. # in this cell!</v>
          </cell>
          <cell r="F2720" t="str">
            <v>OK</v>
          </cell>
        </row>
        <row r="2721">
          <cell r="C2721" t="str">
            <v>&lt;-- enter valid PB./Acc. # in this cell!</v>
          </cell>
          <cell r="F2721" t="str">
            <v>OK</v>
          </cell>
        </row>
        <row r="2722">
          <cell r="C2722" t="str">
            <v>&lt;-- enter valid PB./Acc. # in this cell!</v>
          </cell>
          <cell r="F2722" t="str">
            <v>OK</v>
          </cell>
        </row>
        <row r="2723">
          <cell r="C2723" t="str">
            <v>&lt;-- enter valid PB./Acc. # in this cell!</v>
          </cell>
          <cell r="F2723" t="str">
            <v>OK</v>
          </cell>
        </row>
        <row r="2724">
          <cell r="C2724" t="str">
            <v>&lt;-- enter valid PB./Acc. # in this cell!</v>
          </cell>
          <cell r="F2724" t="str">
            <v>OK</v>
          </cell>
        </row>
        <row r="2725">
          <cell r="C2725" t="str">
            <v>&lt;-- enter valid PB./Acc. # in this cell!</v>
          </cell>
          <cell r="F2725" t="str">
            <v>OK</v>
          </cell>
        </row>
        <row r="2726">
          <cell r="C2726" t="str">
            <v>&lt;-- enter valid PB./Acc. # in this cell!</v>
          </cell>
          <cell r="F2726" t="str">
            <v>OK</v>
          </cell>
        </row>
        <row r="2727">
          <cell r="C2727" t="str">
            <v>&lt;-- enter valid PB./Acc. # in this cell!</v>
          </cell>
          <cell r="F2727" t="str">
            <v>OK</v>
          </cell>
        </row>
        <row r="2728">
          <cell r="C2728" t="str">
            <v>&lt;-- enter valid PB./Acc. # in this cell!</v>
          </cell>
          <cell r="F2728" t="str">
            <v>OK</v>
          </cell>
        </row>
        <row r="2729">
          <cell r="C2729" t="str">
            <v>&lt;-- enter valid PB./Acc. # in this cell!</v>
          </cell>
          <cell r="F2729" t="str">
            <v>OK</v>
          </cell>
        </row>
        <row r="2730">
          <cell r="C2730" t="str">
            <v>&lt;-- enter valid PB./Acc. # in this cell!</v>
          </cell>
          <cell r="F2730" t="str">
            <v>OK</v>
          </cell>
        </row>
        <row r="2731">
          <cell r="C2731" t="str">
            <v>&lt;-- enter valid PB./Acc. # in this cell!</v>
          </cell>
          <cell r="F2731" t="str">
            <v>OK</v>
          </cell>
        </row>
        <row r="2732">
          <cell r="C2732" t="str">
            <v>&lt;-- enter valid PB./Acc. # in this cell!</v>
          </cell>
          <cell r="F2732" t="str">
            <v>OK</v>
          </cell>
        </row>
        <row r="2733">
          <cell r="C2733" t="str">
            <v>&lt;-- enter valid PB./Acc. # in this cell!</v>
          </cell>
          <cell r="F2733" t="str">
            <v>OK</v>
          </cell>
        </row>
        <row r="2734">
          <cell r="C2734" t="str">
            <v>&lt;-- enter valid PB./Acc. # in this cell!</v>
          </cell>
          <cell r="F2734" t="str">
            <v>OK</v>
          </cell>
        </row>
        <row r="2735">
          <cell r="C2735" t="str">
            <v>&lt;-- enter valid PB./Acc. # in this cell!</v>
          </cell>
          <cell r="F2735" t="str">
            <v>OK</v>
          </cell>
        </row>
        <row r="2736">
          <cell r="C2736" t="str">
            <v>&lt;-- enter valid PB./Acc. # in this cell!</v>
          </cell>
          <cell r="F2736" t="str">
            <v>OK</v>
          </cell>
        </row>
        <row r="2737">
          <cell r="C2737" t="str">
            <v>&lt;-- enter valid PB./Acc. # in this cell!</v>
          </cell>
          <cell r="F2737" t="str">
            <v>OK</v>
          </cell>
        </row>
        <row r="2738">
          <cell r="C2738" t="str">
            <v>&lt;-- enter valid PB./Acc. # in this cell!</v>
          </cell>
          <cell r="F2738" t="str">
            <v>OK</v>
          </cell>
        </row>
        <row r="2739">
          <cell r="C2739" t="str">
            <v>&lt;-- enter valid PB./Acc. # in this cell!</v>
          </cell>
          <cell r="F2739" t="str">
            <v>OK</v>
          </cell>
        </row>
        <row r="2740">
          <cell r="C2740" t="str">
            <v>&lt;-- enter valid PB./Acc. # in this cell!</v>
          </cell>
          <cell r="F2740" t="str">
            <v>OK</v>
          </cell>
        </row>
        <row r="2741">
          <cell r="C2741" t="str">
            <v>&lt;-- enter valid PB./Acc. # in this cell!</v>
          </cell>
          <cell r="F2741" t="str">
            <v>OK</v>
          </cell>
        </row>
        <row r="2742">
          <cell r="C2742" t="str">
            <v>&lt;-- enter valid PB./Acc. # in this cell!</v>
          </cell>
          <cell r="F2742" t="str">
            <v>OK</v>
          </cell>
        </row>
        <row r="2743">
          <cell r="C2743" t="str">
            <v>&lt;-- enter valid PB./Acc. # in this cell!</v>
          </cell>
          <cell r="F2743" t="str">
            <v>OK</v>
          </cell>
        </row>
        <row r="2744">
          <cell r="C2744" t="str">
            <v>&lt;-- enter valid PB./Acc. # in this cell!</v>
          </cell>
          <cell r="F2744" t="str">
            <v>OK</v>
          </cell>
        </row>
        <row r="2745">
          <cell r="C2745" t="str">
            <v>&lt;-- enter valid PB./Acc. # in this cell!</v>
          </cell>
          <cell r="F2745" t="str">
            <v>OK</v>
          </cell>
        </row>
        <row r="2746">
          <cell r="C2746" t="str">
            <v>&lt;-- enter valid PB./Acc. # in this cell!</v>
          </cell>
          <cell r="F2746" t="str">
            <v>OK</v>
          </cell>
        </row>
        <row r="2747">
          <cell r="C2747" t="str">
            <v>&lt;-- enter valid PB./Acc. # in this cell!</v>
          </cell>
          <cell r="F2747" t="str">
            <v>OK</v>
          </cell>
        </row>
        <row r="2748">
          <cell r="C2748" t="str">
            <v>&lt;-- enter valid PB./Acc. # in this cell!</v>
          </cell>
          <cell r="F2748" t="str">
            <v>OK</v>
          </cell>
        </row>
        <row r="2749">
          <cell r="C2749" t="str">
            <v>&lt;-- enter valid PB./Acc. # in this cell!</v>
          </cell>
          <cell r="F2749" t="str">
            <v>OK</v>
          </cell>
        </row>
        <row r="2750">
          <cell r="C2750" t="str">
            <v>&lt;-- enter valid PB./Acc. # in this cell!</v>
          </cell>
          <cell r="F2750" t="str">
            <v>OK</v>
          </cell>
        </row>
        <row r="2751">
          <cell r="C2751" t="str">
            <v>&lt;-- enter valid PB./Acc. # in this cell!</v>
          </cell>
          <cell r="F2751" t="str">
            <v>OK</v>
          </cell>
        </row>
        <row r="2752">
          <cell r="C2752" t="str">
            <v>&lt;-- enter valid PB./Acc. # in this cell!</v>
          </cell>
          <cell r="F2752" t="str">
            <v>OK</v>
          </cell>
        </row>
        <row r="2753">
          <cell r="C2753" t="str">
            <v>&lt;-- enter valid PB./Acc. # in this cell!</v>
          </cell>
          <cell r="F2753" t="str">
            <v>OK</v>
          </cell>
        </row>
        <row r="2754">
          <cell r="C2754" t="str">
            <v>&lt;-- enter valid PB./Acc. # in this cell!</v>
          </cell>
          <cell r="F2754" t="str">
            <v>OK</v>
          </cell>
        </row>
        <row r="2755">
          <cell r="C2755" t="str">
            <v>&lt;-- enter valid PB./Acc. # in this cell!</v>
          </cell>
          <cell r="F2755" t="str">
            <v>OK</v>
          </cell>
        </row>
        <row r="2756">
          <cell r="C2756" t="str">
            <v>&lt;-- enter valid PB./Acc. # in this cell!</v>
          </cell>
          <cell r="F2756" t="str">
            <v>OK</v>
          </cell>
        </row>
        <row r="2757">
          <cell r="C2757" t="str">
            <v>&lt;-- enter valid PB./Acc. # in this cell!</v>
          </cell>
          <cell r="F2757" t="str">
            <v>OK</v>
          </cell>
        </row>
        <row r="2758">
          <cell r="C2758" t="str">
            <v>&lt;-- enter valid PB./Acc. # in this cell!</v>
          </cell>
          <cell r="F2758" t="str">
            <v>OK</v>
          </cell>
        </row>
        <row r="2759">
          <cell r="C2759" t="str">
            <v>&lt;-- enter valid PB./Acc. # in this cell!</v>
          </cell>
          <cell r="F2759" t="str">
            <v>OK</v>
          </cell>
        </row>
        <row r="2760">
          <cell r="C2760" t="str">
            <v>&lt;-- enter valid PB./Acc. # in this cell!</v>
          </cell>
          <cell r="F2760" t="str">
            <v>OK</v>
          </cell>
        </row>
        <row r="2761">
          <cell r="C2761" t="str">
            <v>&lt;-- enter valid PB./Acc. # in this cell!</v>
          </cell>
          <cell r="F2761" t="str">
            <v>OK</v>
          </cell>
        </row>
        <row r="2762">
          <cell r="C2762" t="str">
            <v>&lt;-- enter valid PB./Acc. # in this cell!</v>
          </cell>
          <cell r="F2762" t="str">
            <v>OK</v>
          </cell>
        </row>
        <row r="2763">
          <cell r="C2763" t="str">
            <v>&lt;-- enter valid PB./Acc. # in this cell!</v>
          </cell>
          <cell r="F2763" t="str">
            <v>OK</v>
          </cell>
        </row>
        <row r="2764">
          <cell r="C2764" t="str">
            <v>&lt;-- enter valid PB./Acc. # in this cell!</v>
          </cell>
          <cell r="F2764" t="str">
            <v>OK</v>
          </cell>
        </row>
        <row r="2765">
          <cell r="C2765" t="str">
            <v>&lt;-- enter valid PB./Acc. # in this cell!</v>
          </cell>
          <cell r="F2765" t="str">
            <v>OK</v>
          </cell>
        </row>
        <row r="2766">
          <cell r="C2766" t="str">
            <v>&lt;-- enter valid PB./Acc. # in this cell!</v>
          </cell>
          <cell r="F2766" t="str">
            <v>OK</v>
          </cell>
        </row>
        <row r="2767">
          <cell r="C2767" t="str">
            <v>&lt;-- enter valid PB./Acc. # in this cell!</v>
          </cell>
          <cell r="F2767" t="str">
            <v>OK</v>
          </cell>
        </row>
        <row r="2768">
          <cell r="C2768" t="str">
            <v>&lt;-- enter valid PB./Acc. # in this cell!</v>
          </cell>
          <cell r="F2768" t="str">
            <v>OK</v>
          </cell>
        </row>
        <row r="2769">
          <cell r="C2769" t="str">
            <v>&lt;-- enter valid PB./Acc. # in this cell!</v>
          </cell>
          <cell r="F2769" t="str">
            <v>OK</v>
          </cell>
        </row>
        <row r="2770">
          <cell r="C2770" t="str">
            <v>&lt;-- enter valid PB./Acc. # in this cell!</v>
          </cell>
          <cell r="F2770" t="str">
            <v>OK</v>
          </cell>
        </row>
        <row r="2771">
          <cell r="C2771" t="str">
            <v>&lt;-- enter valid PB./Acc. # in this cell!</v>
          </cell>
          <cell r="F2771" t="str">
            <v>OK</v>
          </cell>
        </row>
        <row r="2772">
          <cell r="C2772" t="str">
            <v>&lt;-- enter valid PB./Acc. # in this cell!</v>
          </cell>
          <cell r="F2772" t="str">
            <v>OK</v>
          </cell>
        </row>
        <row r="2773">
          <cell r="C2773" t="str">
            <v>&lt;-- enter valid PB./Acc. # in this cell!</v>
          </cell>
          <cell r="F2773" t="str">
            <v>OK</v>
          </cell>
        </row>
        <row r="2774">
          <cell r="C2774" t="str">
            <v>&lt;-- enter valid PB./Acc. # in this cell!</v>
          </cell>
          <cell r="F2774" t="str">
            <v>OK</v>
          </cell>
        </row>
        <row r="2775">
          <cell r="C2775" t="str">
            <v>&lt;-- enter valid PB./Acc. # in this cell!</v>
          </cell>
          <cell r="F2775" t="str">
            <v>OK</v>
          </cell>
        </row>
        <row r="2776">
          <cell r="C2776" t="str">
            <v>&lt;-- enter valid PB./Acc. # in this cell!</v>
          </cell>
          <cell r="F2776" t="str">
            <v>OK</v>
          </cell>
        </row>
        <row r="2777">
          <cell r="C2777" t="str">
            <v>&lt;-- enter valid PB./Acc. # in this cell!</v>
          </cell>
          <cell r="F2777" t="str">
            <v>OK</v>
          </cell>
        </row>
        <row r="2778">
          <cell r="C2778" t="str">
            <v>&lt;-- enter valid PB./Acc. # in this cell!</v>
          </cell>
          <cell r="F2778" t="str">
            <v>OK</v>
          </cell>
        </row>
        <row r="2779">
          <cell r="C2779" t="str">
            <v>&lt;-- enter valid PB./Acc. # in this cell!</v>
          </cell>
          <cell r="F2779" t="str">
            <v>OK</v>
          </cell>
        </row>
        <row r="2780">
          <cell r="C2780" t="str">
            <v>&lt;-- enter valid PB./Acc. # in this cell!</v>
          </cell>
          <cell r="F2780" t="str">
            <v>OK</v>
          </cell>
        </row>
        <row r="2781">
          <cell r="C2781" t="str">
            <v>&lt;-- enter valid PB./Acc. # in this cell!</v>
          </cell>
          <cell r="F2781" t="str">
            <v>OK</v>
          </cell>
        </row>
        <row r="2782">
          <cell r="C2782" t="str">
            <v>&lt;-- enter valid PB./Acc. # in this cell!</v>
          </cell>
          <cell r="F2782" t="str">
            <v>OK</v>
          </cell>
        </row>
        <row r="2783">
          <cell r="C2783" t="str">
            <v>&lt;-- enter valid PB./Acc. # in this cell!</v>
          </cell>
          <cell r="F2783" t="str">
            <v>OK</v>
          </cell>
        </row>
        <row r="2784">
          <cell r="C2784" t="str">
            <v>&lt;-- enter valid PB./Acc. # in this cell!</v>
          </cell>
          <cell r="F2784" t="str">
            <v>OK</v>
          </cell>
        </row>
        <row r="2785">
          <cell r="C2785" t="str">
            <v>&lt;-- enter valid PB./Acc. # in this cell!</v>
          </cell>
          <cell r="F2785" t="str">
            <v>OK</v>
          </cell>
        </row>
        <row r="2786">
          <cell r="C2786" t="str">
            <v>&lt;-- enter valid PB./Acc. # in this cell!</v>
          </cell>
          <cell r="F2786" t="str">
            <v>OK</v>
          </cell>
        </row>
        <row r="2787">
          <cell r="C2787" t="str">
            <v>&lt;-- enter valid PB./Acc. # in this cell!</v>
          </cell>
          <cell r="F2787" t="str">
            <v>OK</v>
          </cell>
        </row>
        <row r="2788">
          <cell r="C2788" t="str">
            <v>&lt;-- enter valid PB./Acc. # in this cell!</v>
          </cell>
          <cell r="F2788" t="str">
            <v>OK</v>
          </cell>
        </row>
        <row r="2789">
          <cell r="C2789" t="str">
            <v>&lt;-- enter valid PB./Acc. # in this cell!</v>
          </cell>
          <cell r="F2789" t="str">
            <v>OK</v>
          </cell>
        </row>
        <row r="2790">
          <cell r="C2790" t="str">
            <v>&lt;-- enter valid PB./Acc. # in this cell!</v>
          </cell>
          <cell r="F2790" t="str">
            <v>OK</v>
          </cell>
        </row>
        <row r="2791">
          <cell r="C2791" t="str">
            <v>&lt;-- enter valid PB./Acc. # in this cell!</v>
          </cell>
          <cell r="F2791" t="str">
            <v>OK</v>
          </cell>
        </row>
        <row r="2792">
          <cell r="C2792" t="str">
            <v>&lt;-- enter valid PB./Acc. # in this cell!</v>
          </cell>
          <cell r="F2792" t="str">
            <v>OK</v>
          </cell>
        </row>
        <row r="2793">
          <cell r="C2793" t="str">
            <v>&lt;-- enter valid PB./Acc. # in this cell!</v>
          </cell>
          <cell r="F2793" t="str">
            <v>OK</v>
          </cell>
        </row>
        <row r="2794">
          <cell r="C2794" t="str">
            <v>&lt;-- enter valid PB./Acc. # in this cell!</v>
          </cell>
          <cell r="F2794" t="str">
            <v>OK</v>
          </cell>
        </row>
        <row r="2795">
          <cell r="C2795" t="str">
            <v>&lt;-- enter valid PB./Acc. # in this cell!</v>
          </cell>
          <cell r="F2795" t="str">
            <v>OK</v>
          </cell>
        </row>
        <row r="2796">
          <cell r="C2796" t="str">
            <v>&lt;-- enter valid PB./Acc. # in this cell!</v>
          </cell>
          <cell r="F2796" t="str">
            <v>OK</v>
          </cell>
        </row>
        <row r="2797">
          <cell r="C2797" t="str">
            <v>&lt;-- enter valid PB./Acc. # in this cell!</v>
          </cell>
          <cell r="F2797" t="str">
            <v>OK</v>
          </cell>
        </row>
        <row r="2798">
          <cell r="C2798" t="str">
            <v>&lt;-- enter valid PB./Acc. # in this cell!</v>
          </cell>
          <cell r="F2798" t="str">
            <v>OK</v>
          </cell>
        </row>
        <row r="2799">
          <cell r="C2799" t="str">
            <v>&lt;-- enter valid PB./Acc. # in this cell!</v>
          </cell>
          <cell r="F2799" t="str">
            <v>OK</v>
          </cell>
        </row>
        <row r="2800">
          <cell r="C2800" t="str">
            <v>&lt;-- enter valid PB./Acc. # in this cell!</v>
          </cell>
          <cell r="F2800" t="str">
            <v>OK</v>
          </cell>
        </row>
        <row r="2801">
          <cell r="C2801" t="str">
            <v>&lt;-- enter valid PB./Acc. # in this cell!</v>
          </cell>
          <cell r="F2801" t="str">
            <v>OK</v>
          </cell>
        </row>
        <row r="2802">
          <cell r="C2802" t="str">
            <v>&lt;-- enter valid PB./Acc. # in this cell!</v>
          </cell>
          <cell r="F2802" t="str">
            <v>OK</v>
          </cell>
        </row>
        <row r="2803">
          <cell r="C2803" t="str">
            <v>&lt;-- enter valid PB./Acc. # in this cell!</v>
          </cell>
          <cell r="F2803" t="str">
            <v>OK</v>
          </cell>
        </row>
        <row r="2804">
          <cell r="C2804" t="str">
            <v>&lt;-- enter valid PB./Acc. # in this cell!</v>
          </cell>
          <cell r="F2804" t="str">
            <v>OK</v>
          </cell>
        </row>
        <row r="2805">
          <cell r="C2805" t="str">
            <v>&lt;-- enter valid PB./Acc. # in this cell!</v>
          </cell>
          <cell r="F2805" t="str">
            <v>OK</v>
          </cell>
        </row>
        <row r="2806">
          <cell r="C2806" t="str">
            <v>&lt;-- enter valid PB./Acc. # in this cell!</v>
          </cell>
          <cell r="F2806" t="str">
            <v>OK</v>
          </cell>
        </row>
        <row r="2807">
          <cell r="C2807" t="str">
            <v>&lt;-- enter valid PB./Acc. # in this cell!</v>
          </cell>
          <cell r="F2807" t="str">
            <v>OK</v>
          </cell>
        </row>
        <row r="2808">
          <cell r="C2808" t="str">
            <v>&lt;-- enter valid PB./Acc. # in this cell!</v>
          </cell>
          <cell r="F2808" t="str">
            <v>OK</v>
          </cell>
        </row>
        <row r="2809">
          <cell r="C2809" t="str">
            <v>&lt;-- enter valid PB./Acc. # in this cell!</v>
          </cell>
          <cell r="F2809" t="str">
            <v>OK</v>
          </cell>
        </row>
        <row r="2810">
          <cell r="C2810" t="str">
            <v>&lt;-- enter valid PB./Acc. # in this cell!</v>
          </cell>
          <cell r="F2810" t="str">
            <v>OK</v>
          </cell>
        </row>
        <row r="2811">
          <cell r="C2811" t="str">
            <v>&lt;-- enter valid PB./Acc. # in this cell!</v>
          </cell>
          <cell r="F2811" t="str">
            <v>OK</v>
          </cell>
        </row>
        <row r="2812">
          <cell r="C2812" t="str">
            <v>&lt;-- enter valid PB./Acc. # in this cell!</v>
          </cell>
          <cell r="F2812" t="str">
            <v>OK</v>
          </cell>
        </row>
        <row r="2813">
          <cell r="C2813" t="str">
            <v>&lt;-- enter valid PB./Acc. # in this cell!</v>
          </cell>
          <cell r="F2813" t="str">
            <v>OK</v>
          </cell>
        </row>
        <row r="2814">
          <cell r="C2814" t="str">
            <v>&lt;-- enter valid PB./Acc. # in this cell!</v>
          </cell>
          <cell r="F2814" t="str">
            <v>OK</v>
          </cell>
        </row>
        <row r="2815">
          <cell r="C2815" t="str">
            <v>&lt;-- enter valid PB./Acc. # in this cell!</v>
          </cell>
          <cell r="F2815" t="str">
            <v>OK</v>
          </cell>
        </row>
        <row r="2816">
          <cell r="C2816" t="str">
            <v>&lt;-- enter valid PB./Acc. # in this cell!</v>
          </cell>
          <cell r="F2816" t="str">
            <v>OK</v>
          </cell>
        </row>
        <row r="2817">
          <cell r="C2817" t="str">
            <v>&lt;-- enter valid PB./Acc. # in this cell!</v>
          </cell>
          <cell r="F2817" t="str">
            <v>OK</v>
          </cell>
        </row>
        <row r="2818">
          <cell r="C2818" t="str">
            <v>&lt;-- enter valid PB./Acc. # in this cell!</v>
          </cell>
          <cell r="F2818" t="str">
            <v>OK</v>
          </cell>
        </row>
        <row r="2819">
          <cell r="C2819" t="str">
            <v>&lt;-- enter valid PB./Acc. # in this cell!</v>
          </cell>
          <cell r="F2819" t="str">
            <v>OK</v>
          </cell>
        </row>
        <row r="2820">
          <cell r="C2820" t="str">
            <v>&lt;-- enter valid PB./Acc. # in this cell!</v>
          </cell>
          <cell r="F2820" t="str">
            <v>OK</v>
          </cell>
        </row>
        <row r="2821">
          <cell r="C2821" t="str">
            <v>&lt;-- enter valid PB./Acc. # in this cell!</v>
          </cell>
          <cell r="F2821" t="str">
            <v>OK</v>
          </cell>
        </row>
        <row r="2822">
          <cell r="C2822" t="str">
            <v>&lt;-- enter valid PB./Acc. # in this cell!</v>
          </cell>
          <cell r="F2822" t="str">
            <v>OK</v>
          </cell>
        </row>
        <row r="2823">
          <cell r="C2823" t="str">
            <v>&lt;-- enter valid PB./Acc. # in this cell!</v>
          </cell>
          <cell r="F2823" t="str">
            <v>OK</v>
          </cell>
        </row>
        <row r="2824">
          <cell r="C2824" t="str">
            <v>&lt;-- enter valid PB./Acc. # in this cell!</v>
          </cell>
          <cell r="F2824" t="str">
            <v>OK</v>
          </cell>
        </row>
        <row r="2825">
          <cell r="C2825" t="str">
            <v>&lt;-- enter valid PB./Acc. # in this cell!</v>
          </cell>
          <cell r="F2825" t="str">
            <v>OK</v>
          </cell>
        </row>
        <row r="2826">
          <cell r="C2826" t="str">
            <v>&lt;-- enter valid PB./Acc. # in this cell!</v>
          </cell>
          <cell r="F2826" t="str">
            <v>OK</v>
          </cell>
        </row>
        <row r="2827">
          <cell r="C2827" t="str">
            <v>&lt;-- enter valid PB./Acc. # in this cell!</v>
          </cell>
          <cell r="F2827" t="str">
            <v>OK</v>
          </cell>
        </row>
        <row r="2828">
          <cell r="C2828" t="str">
            <v>&lt;-- enter valid PB./Acc. # in this cell!</v>
          </cell>
          <cell r="F2828" t="str">
            <v>OK</v>
          </cell>
        </row>
        <row r="2829">
          <cell r="C2829" t="str">
            <v>&lt;-- enter valid PB./Acc. # in this cell!</v>
          </cell>
          <cell r="F2829" t="str">
            <v>OK</v>
          </cell>
        </row>
        <row r="2830">
          <cell r="C2830" t="str">
            <v>&lt;-- enter valid PB./Acc. # in this cell!</v>
          </cell>
          <cell r="F2830" t="str">
            <v>OK</v>
          </cell>
        </row>
        <row r="2831">
          <cell r="C2831" t="str">
            <v>&lt;-- enter valid PB./Acc. # in this cell!</v>
          </cell>
          <cell r="F2831" t="str">
            <v>OK</v>
          </cell>
        </row>
        <row r="2832">
          <cell r="C2832" t="str">
            <v>&lt;-- enter valid PB./Acc. # in this cell!</v>
          </cell>
          <cell r="F2832" t="str">
            <v>OK</v>
          </cell>
        </row>
        <row r="2833">
          <cell r="C2833" t="str">
            <v>&lt;-- enter valid PB./Acc. # in this cell!</v>
          </cell>
          <cell r="F2833" t="str">
            <v>OK</v>
          </cell>
        </row>
        <row r="2834">
          <cell r="C2834" t="str">
            <v>&lt;-- enter valid PB./Acc. # in this cell!</v>
          </cell>
          <cell r="F2834" t="str">
            <v>OK</v>
          </cell>
        </row>
        <row r="2835">
          <cell r="C2835" t="str">
            <v>&lt;-- enter valid PB./Acc. # in this cell!</v>
          </cell>
          <cell r="F2835" t="str">
            <v>OK</v>
          </cell>
        </row>
        <row r="2836">
          <cell r="C2836" t="str">
            <v>&lt;-- enter valid PB./Acc. # in this cell!</v>
          </cell>
          <cell r="F2836" t="str">
            <v>OK</v>
          </cell>
        </row>
        <row r="2837">
          <cell r="C2837" t="str">
            <v>&lt;-- enter valid PB./Acc. # in this cell!</v>
          </cell>
          <cell r="F2837" t="str">
            <v>OK</v>
          </cell>
        </row>
        <row r="2838">
          <cell r="C2838" t="str">
            <v>&lt;-- enter valid PB./Acc. # in this cell!</v>
          </cell>
          <cell r="F2838" t="str">
            <v>OK</v>
          </cell>
        </row>
        <row r="2839">
          <cell r="C2839" t="str">
            <v>&lt;-- enter valid PB./Acc. # in this cell!</v>
          </cell>
          <cell r="F2839" t="str">
            <v>OK</v>
          </cell>
        </row>
        <row r="2840">
          <cell r="C2840" t="str">
            <v>&lt;-- enter valid PB./Acc. # in this cell!</v>
          </cell>
          <cell r="F2840" t="str">
            <v>OK</v>
          </cell>
        </row>
        <row r="2841">
          <cell r="C2841" t="str">
            <v>&lt;-- enter valid PB./Acc. # in this cell!</v>
          </cell>
          <cell r="F2841" t="str">
            <v>OK</v>
          </cell>
        </row>
        <row r="2842">
          <cell r="C2842" t="str">
            <v>&lt;-- enter valid PB./Acc. # in this cell!</v>
          </cell>
          <cell r="F2842" t="str">
            <v>OK</v>
          </cell>
        </row>
        <row r="2843">
          <cell r="C2843" t="str">
            <v>&lt;-- enter valid PB./Acc. # in this cell!</v>
          </cell>
          <cell r="F2843" t="str">
            <v>OK</v>
          </cell>
        </row>
        <row r="2844">
          <cell r="C2844" t="str">
            <v>&lt;-- enter valid PB./Acc. # in this cell!</v>
          </cell>
          <cell r="F2844" t="str">
            <v>OK</v>
          </cell>
        </row>
        <row r="2845">
          <cell r="C2845" t="str">
            <v>&lt;-- enter valid PB./Acc. # in this cell!</v>
          </cell>
          <cell r="F2845" t="str">
            <v>OK</v>
          </cell>
        </row>
        <row r="2846">
          <cell r="C2846" t="str">
            <v>&lt;-- enter valid PB./Acc. # in this cell!</v>
          </cell>
          <cell r="F2846" t="str">
            <v>OK</v>
          </cell>
        </row>
        <row r="2847">
          <cell r="C2847" t="str">
            <v>&lt;-- enter valid PB./Acc. # in this cell!</v>
          </cell>
          <cell r="F2847" t="str">
            <v>OK</v>
          </cell>
        </row>
        <row r="2848">
          <cell r="C2848" t="str">
            <v>&lt;-- enter valid PB./Acc. # in this cell!</v>
          </cell>
          <cell r="F2848" t="str">
            <v>OK</v>
          </cell>
        </row>
        <row r="2849">
          <cell r="C2849" t="str">
            <v>&lt;-- enter valid PB./Acc. # in this cell!</v>
          </cell>
          <cell r="F2849" t="str">
            <v>OK</v>
          </cell>
        </row>
        <row r="2850">
          <cell r="C2850" t="str">
            <v>&lt;-- enter valid PB./Acc. # in this cell!</v>
          </cell>
          <cell r="F2850" t="str">
            <v>OK</v>
          </cell>
        </row>
        <row r="2851">
          <cell r="C2851" t="str">
            <v>&lt;-- enter valid PB./Acc. # in this cell!</v>
          </cell>
          <cell r="F2851" t="str">
            <v>OK</v>
          </cell>
        </row>
        <row r="2852">
          <cell r="C2852" t="str">
            <v>&lt;-- enter valid PB./Acc. # in this cell!</v>
          </cell>
          <cell r="F2852" t="str">
            <v>OK</v>
          </cell>
        </row>
        <row r="2853">
          <cell r="C2853" t="str">
            <v>&lt;-- enter valid PB./Acc. # in this cell!</v>
          </cell>
          <cell r="F2853" t="str">
            <v>OK</v>
          </cell>
        </row>
        <row r="2854">
          <cell r="C2854" t="str">
            <v>&lt;-- enter valid PB./Acc. # in this cell!</v>
          </cell>
          <cell r="F2854" t="str">
            <v>OK</v>
          </cell>
        </row>
        <row r="2855">
          <cell r="C2855" t="str">
            <v>&lt;-- enter valid PB./Acc. # in this cell!</v>
          </cell>
          <cell r="F2855" t="str">
            <v>OK</v>
          </cell>
        </row>
        <row r="2856">
          <cell r="C2856" t="str">
            <v>&lt;-- enter valid PB./Acc. # in this cell!</v>
          </cell>
          <cell r="F2856" t="str">
            <v>OK</v>
          </cell>
        </row>
        <row r="2857">
          <cell r="C2857" t="str">
            <v>&lt;-- enter valid PB./Acc. # in this cell!</v>
          </cell>
          <cell r="F2857" t="str">
            <v>OK</v>
          </cell>
        </row>
        <row r="2858">
          <cell r="C2858" t="str">
            <v>&lt;-- enter valid PB./Acc. # in this cell!</v>
          </cell>
          <cell r="F2858" t="str">
            <v>OK</v>
          </cell>
        </row>
        <row r="2859">
          <cell r="C2859" t="str">
            <v>&lt;-- enter valid PB./Acc. # in this cell!</v>
          </cell>
          <cell r="F2859" t="str">
            <v>OK</v>
          </cell>
        </row>
        <row r="2860">
          <cell r="C2860" t="str">
            <v>&lt;-- enter valid PB./Acc. # in this cell!</v>
          </cell>
          <cell r="F2860" t="str">
            <v>OK</v>
          </cell>
        </row>
        <row r="2861">
          <cell r="C2861" t="str">
            <v>&lt;-- enter valid PB./Acc. # in this cell!</v>
          </cell>
          <cell r="F2861" t="str">
            <v>OK</v>
          </cell>
        </row>
        <row r="2862">
          <cell r="C2862" t="str">
            <v>&lt;-- enter valid PB./Acc. # in this cell!</v>
          </cell>
          <cell r="F2862" t="str">
            <v>OK</v>
          </cell>
        </row>
        <row r="2863">
          <cell r="C2863" t="str">
            <v>&lt;-- enter valid PB./Acc. # in this cell!</v>
          </cell>
          <cell r="F2863" t="str">
            <v>OK</v>
          </cell>
        </row>
        <row r="2864">
          <cell r="C2864" t="str">
            <v>&lt;-- enter valid PB./Acc. # in this cell!</v>
          </cell>
          <cell r="F2864" t="str">
            <v>OK</v>
          </cell>
        </row>
        <row r="2865">
          <cell r="C2865" t="str">
            <v>&lt;-- enter valid PB./Acc. # in this cell!</v>
          </cell>
          <cell r="F2865" t="str">
            <v>OK</v>
          </cell>
        </row>
        <row r="2866">
          <cell r="C2866" t="str">
            <v>&lt;-- enter valid PB./Acc. # in this cell!</v>
          </cell>
          <cell r="F2866" t="str">
            <v>OK</v>
          </cell>
        </row>
        <row r="2867">
          <cell r="C2867" t="str">
            <v>&lt;-- enter valid PB./Acc. # in this cell!</v>
          </cell>
          <cell r="F2867" t="str">
            <v>OK</v>
          </cell>
        </row>
        <row r="2868">
          <cell r="C2868" t="str">
            <v>&lt;-- enter valid PB./Acc. # in this cell!</v>
          </cell>
          <cell r="F2868" t="str">
            <v>OK</v>
          </cell>
        </row>
        <row r="2869">
          <cell r="C2869" t="str">
            <v>&lt;-- enter valid PB./Acc. # in this cell!</v>
          </cell>
          <cell r="F2869" t="str">
            <v>OK</v>
          </cell>
        </row>
        <row r="2870">
          <cell r="C2870" t="str">
            <v>&lt;-- enter valid PB./Acc. # in this cell!</v>
          </cell>
          <cell r="F2870" t="str">
            <v>OK</v>
          </cell>
        </row>
        <row r="2871">
          <cell r="C2871" t="str">
            <v>&lt;-- enter valid PB./Acc. # in this cell!</v>
          </cell>
          <cell r="F2871" t="str">
            <v>OK</v>
          </cell>
        </row>
        <row r="2872">
          <cell r="C2872" t="str">
            <v>&lt;-- enter valid PB./Acc. # in this cell!</v>
          </cell>
          <cell r="F2872" t="str">
            <v>OK</v>
          </cell>
        </row>
        <row r="2873">
          <cell r="C2873" t="str">
            <v>&lt;-- enter valid PB./Acc. # in this cell!</v>
          </cell>
          <cell r="F2873" t="str">
            <v>OK</v>
          </cell>
        </row>
        <row r="2874">
          <cell r="C2874" t="str">
            <v>&lt;-- enter valid PB./Acc. # in this cell!</v>
          </cell>
          <cell r="F2874" t="str">
            <v>OK</v>
          </cell>
        </row>
        <row r="2875">
          <cell r="C2875" t="str">
            <v>&lt;-- enter valid PB./Acc. # in this cell!</v>
          </cell>
          <cell r="F2875" t="str">
            <v>OK</v>
          </cell>
        </row>
        <row r="2876">
          <cell r="C2876" t="str">
            <v>&lt;-- enter valid PB./Acc. # in this cell!</v>
          </cell>
          <cell r="F2876" t="str">
            <v>OK</v>
          </cell>
        </row>
        <row r="2877">
          <cell r="C2877" t="str">
            <v>&lt;-- enter valid PB./Acc. # in this cell!</v>
          </cell>
          <cell r="F2877" t="str">
            <v>OK</v>
          </cell>
        </row>
        <row r="2878">
          <cell r="C2878" t="str">
            <v>&lt;-- enter valid PB./Acc. # in this cell!</v>
          </cell>
          <cell r="F2878" t="str">
            <v>OK</v>
          </cell>
        </row>
        <row r="2879">
          <cell r="C2879" t="str">
            <v>&lt;-- enter valid PB./Acc. # in this cell!</v>
          </cell>
          <cell r="F2879" t="str">
            <v>OK</v>
          </cell>
        </row>
        <row r="2880">
          <cell r="C2880" t="str">
            <v>&lt;-- enter valid PB./Acc. # in this cell!</v>
          </cell>
          <cell r="F2880" t="str">
            <v>OK</v>
          </cell>
        </row>
        <row r="2881">
          <cell r="C2881" t="str">
            <v>&lt;-- enter valid PB./Acc. # in this cell!</v>
          </cell>
          <cell r="F2881" t="str">
            <v>OK</v>
          </cell>
        </row>
        <row r="2882">
          <cell r="C2882" t="str">
            <v>&lt;-- enter valid PB./Acc. # in this cell!</v>
          </cell>
          <cell r="F2882" t="str">
            <v>OK</v>
          </cell>
        </row>
        <row r="2883">
          <cell r="C2883" t="str">
            <v>&lt;-- enter valid PB./Acc. # in this cell!</v>
          </cell>
          <cell r="F2883" t="str">
            <v>OK</v>
          </cell>
        </row>
        <row r="2884">
          <cell r="C2884" t="str">
            <v>&lt;-- enter valid PB./Acc. # in this cell!</v>
          </cell>
          <cell r="F2884" t="str">
            <v>OK</v>
          </cell>
        </row>
        <row r="2885">
          <cell r="C2885" t="str">
            <v>&lt;-- enter valid PB./Acc. # in this cell!</v>
          </cell>
          <cell r="F2885" t="str">
            <v>OK</v>
          </cell>
        </row>
        <row r="2886">
          <cell r="C2886" t="str">
            <v>&lt;-- enter valid PB./Acc. # in this cell!</v>
          </cell>
          <cell r="F2886" t="str">
            <v>OK</v>
          </cell>
        </row>
        <row r="2887">
          <cell r="C2887" t="str">
            <v>&lt;-- enter valid PB./Acc. # in this cell!</v>
          </cell>
          <cell r="F2887" t="str">
            <v>OK</v>
          </cell>
        </row>
        <row r="2888">
          <cell r="C2888" t="str">
            <v>&lt;-- enter valid PB./Acc. # in this cell!</v>
          </cell>
          <cell r="F2888" t="str">
            <v>OK</v>
          </cell>
        </row>
        <row r="2889">
          <cell r="C2889" t="str">
            <v>&lt;-- enter valid PB./Acc. # in this cell!</v>
          </cell>
          <cell r="F2889" t="str">
            <v>OK</v>
          </cell>
        </row>
        <row r="2890">
          <cell r="C2890" t="str">
            <v>&lt;-- enter valid PB./Acc. # in this cell!</v>
          </cell>
          <cell r="F2890" t="str">
            <v>OK</v>
          </cell>
        </row>
        <row r="2891">
          <cell r="C2891" t="str">
            <v>&lt;-- enter valid PB./Acc. # in this cell!</v>
          </cell>
          <cell r="F2891" t="str">
            <v>OK</v>
          </cell>
        </row>
        <row r="2892">
          <cell r="C2892" t="str">
            <v>&lt;-- enter valid PB./Acc. # in this cell!</v>
          </cell>
          <cell r="F2892" t="str">
            <v>OK</v>
          </cell>
        </row>
        <row r="2893">
          <cell r="C2893" t="str">
            <v>&lt;-- enter valid PB./Acc. # in this cell!</v>
          </cell>
          <cell r="F2893" t="str">
            <v>OK</v>
          </cell>
        </row>
        <row r="2894">
          <cell r="C2894" t="str">
            <v>&lt;-- enter valid PB./Acc. # in this cell!</v>
          </cell>
          <cell r="F2894" t="str">
            <v>OK</v>
          </cell>
        </row>
        <row r="2895">
          <cell r="C2895" t="str">
            <v>&lt;-- enter valid PB./Acc. # in this cell!</v>
          </cell>
          <cell r="F2895" t="str">
            <v>OK</v>
          </cell>
        </row>
        <row r="2896">
          <cell r="C2896" t="str">
            <v>&lt;-- enter valid PB./Acc. # in this cell!</v>
          </cell>
          <cell r="F2896" t="str">
            <v>OK</v>
          </cell>
        </row>
        <row r="2897">
          <cell r="C2897" t="str">
            <v>&lt;-- enter valid PB./Acc. # in this cell!</v>
          </cell>
          <cell r="F2897" t="str">
            <v>OK</v>
          </cell>
        </row>
        <row r="2898">
          <cell r="C2898" t="str">
            <v>&lt;-- enter valid PB./Acc. # in this cell!</v>
          </cell>
          <cell r="F2898" t="str">
            <v>OK</v>
          </cell>
        </row>
        <row r="2899">
          <cell r="C2899" t="str">
            <v>&lt;-- enter valid PB./Acc. # in this cell!</v>
          </cell>
          <cell r="F2899" t="str">
            <v>OK</v>
          </cell>
        </row>
        <row r="2900">
          <cell r="C2900" t="str">
            <v>&lt;-- enter valid PB./Acc. # in this cell!</v>
          </cell>
          <cell r="F2900" t="str">
            <v>OK</v>
          </cell>
        </row>
        <row r="2901">
          <cell r="C2901" t="str">
            <v>&lt;-- enter valid PB./Acc. # in this cell!</v>
          </cell>
          <cell r="F2901" t="str">
            <v>OK</v>
          </cell>
        </row>
        <row r="2902">
          <cell r="C2902" t="str">
            <v>&lt;-- enter valid PB./Acc. # in this cell!</v>
          </cell>
          <cell r="F2902" t="str">
            <v>OK</v>
          </cell>
        </row>
        <row r="2903">
          <cell r="C2903" t="str">
            <v>&lt;-- enter valid PB./Acc. # in this cell!</v>
          </cell>
          <cell r="F2903" t="str">
            <v>OK</v>
          </cell>
        </row>
        <row r="2904">
          <cell r="C2904" t="str">
            <v>&lt;-- enter valid PB./Acc. # in this cell!</v>
          </cell>
          <cell r="F2904" t="str">
            <v>OK</v>
          </cell>
        </row>
        <row r="2905">
          <cell r="C2905" t="str">
            <v>&lt;-- enter valid PB./Acc. # in this cell!</v>
          </cell>
          <cell r="F2905" t="str">
            <v>OK</v>
          </cell>
        </row>
        <row r="2906">
          <cell r="C2906" t="str">
            <v>&lt;-- enter valid PB./Acc. # in this cell!</v>
          </cell>
          <cell r="F2906" t="str">
            <v>OK</v>
          </cell>
        </row>
        <row r="2907">
          <cell r="C2907" t="str">
            <v>&lt;-- enter valid PB./Acc. # in this cell!</v>
          </cell>
          <cell r="F2907" t="str">
            <v>OK</v>
          </cell>
        </row>
        <row r="2908">
          <cell r="C2908" t="str">
            <v>&lt;-- enter valid PB./Acc. # in this cell!</v>
          </cell>
          <cell r="F2908" t="str">
            <v>OK</v>
          </cell>
        </row>
        <row r="2909">
          <cell r="C2909" t="str">
            <v>&lt;-- enter valid PB./Acc. # in this cell!</v>
          </cell>
          <cell r="F2909" t="str">
            <v>OK</v>
          </cell>
        </row>
        <row r="2910">
          <cell r="C2910" t="str">
            <v>&lt;-- enter valid PB./Acc. # in this cell!</v>
          </cell>
          <cell r="F2910" t="str">
            <v>OK</v>
          </cell>
        </row>
        <row r="2911">
          <cell r="C2911" t="str">
            <v>&lt;-- enter valid PB./Acc. # in this cell!</v>
          </cell>
          <cell r="F2911" t="str">
            <v>OK</v>
          </cell>
        </row>
        <row r="2912">
          <cell r="C2912" t="str">
            <v>&lt;-- enter valid PB./Acc. # in this cell!</v>
          </cell>
          <cell r="F2912" t="str">
            <v>OK</v>
          </cell>
        </row>
        <row r="2913">
          <cell r="C2913" t="str">
            <v>&lt;-- enter valid PB./Acc. # in this cell!</v>
          </cell>
          <cell r="F2913" t="str">
            <v>OK</v>
          </cell>
        </row>
        <row r="2914">
          <cell r="C2914" t="str">
            <v>&lt;-- enter valid PB./Acc. # in this cell!</v>
          </cell>
          <cell r="F2914" t="str">
            <v>OK</v>
          </cell>
        </row>
        <row r="2915">
          <cell r="C2915" t="str">
            <v>&lt;-- enter valid PB./Acc. # in this cell!</v>
          </cell>
          <cell r="F2915" t="str">
            <v>OK</v>
          </cell>
        </row>
        <row r="2916">
          <cell r="C2916" t="str">
            <v>&lt;-- enter valid PB./Acc. # in this cell!</v>
          </cell>
          <cell r="F2916" t="str">
            <v>OK</v>
          </cell>
        </row>
        <row r="2917">
          <cell r="C2917" t="str">
            <v>&lt;-- enter valid PB./Acc. # in this cell!</v>
          </cell>
          <cell r="F2917" t="str">
            <v>OK</v>
          </cell>
        </row>
        <row r="2918">
          <cell r="C2918" t="str">
            <v>&lt;-- enter valid PB./Acc. # in this cell!</v>
          </cell>
          <cell r="F2918" t="str">
            <v>OK</v>
          </cell>
        </row>
        <row r="2919">
          <cell r="C2919" t="str">
            <v>&lt;-- enter valid PB./Acc. # in this cell!</v>
          </cell>
          <cell r="F2919" t="str">
            <v>OK</v>
          </cell>
        </row>
        <row r="2920">
          <cell r="C2920" t="str">
            <v>&lt;-- enter valid PB./Acc. # in this cell!</v>
          </cell>
          <cell r="F2920" t="str">
            <v>OK</v>
          </cell>
        </row>
        <row r="2921">
          <cell r="C2921" t="str">
            <v>&lt;-- enter valid PB./Acc. # in this cell!</v>
          </cell>
          <cell r="F2921" t="str">
            <v>OK</v>
          </cell>
        </row>
        <row r="2922">
          <cell r="C2922" t="str">
            <v>&lt;-- enter valid PB./Acc. # in this cell!</v>
          </cell>
          <cell r="F2922" t="str">
            <v>OK</v>
          </cell>
        </row>
        <row r="2923">
          <cell r="C2923" t="str">
            <v>&lt;-- enter valid PB./Acc. # in this cell!</v>
          </cell>
          <cell r="F2923" t="str">
            <v>OK</v>
          </cell>
        </row>
        <row r="2924">
          <cell r="C2924" t="str">
            <v>&lt;-- enter valid PB./Acc. # in this cell!</v>
          </cell>
          <cell r="F2924" t="str">
            <v>OK</v>
          </cell>
        </row>
        <row r="2925">
          <cell r="C2925" t="str">
            <v>&lt;-- enter valid PB./Acc. # in this cell!</v>
          </cell>
          <cell r="F2925" t="str">
            <v>OK</v>
          </cell>
        </row>
        <row r="2926">
          <cell r="C2926" t="str">
            <v>&lt;-- enter valid PB./Acc. # in this cell!</v>
          </cell>
          <cell r="F2926" t="str">
            <v>OK</v>
          </cell>
        </row>
        <row r="2927">
          <cell r="C2927" t="str">
            <v>&lt;-- enter valid PB./Acc. # in this cell!</v>
          </cell>
          <cell r="F2927" t="str">
            <v>OK</v>
          </cell>
        </row>
        <row r="2928">
          <cell r="C2928" t="str">
            <v>&lt;-- enter valid PB./Acc. # in this cell!</v>
          </cell>
          <cell r="F2928" t="str">
            <v>OK</v>
          </cell>
        </row>
        <row r="2929">
          <cell r="C2929" t="str">
            <v>&lt;-- enter valid PB./Acc. # in this cell!</v>
          </cell>
          <cell r="F2929" t="str">
            <v>OK</v>
          </cell>
        </row>
        <row r="2930">
          <cell r="C2930" t="str">
            <v>&lt;-- enter valid PB./Acc. # in this cell!</v>
          </cell>
          <cell r="F2930" t="str">
            <v>OK</v>
          </cell>
        </row>
        <row r="2931">
          <cell r="C2931" t="str">
            <v>&lt;-- enter valid PB./Acc. # in this cell!</v>
          </cell>
          <cell r="F2931" t="str">
            <v>OK</v>
          </cell>
        </row>
        <row r="2932">
          <cell r="C2932" t="str">
            <v>&lt;-- enter valid PB./Acc. # in this cell!</v>
          </cell>
          <cell r="F2932" t="str">
            <v>OK</v>
          </cell>
        </row>
        <row r="2933">
          <cell r="C2933" t="str">
            <v>&lt;-- enter valid PB./Acc. # in this cell!</v>
          </cell>
          <cell r="F2933" t="str">
            <v>OK</v>
          </cell>
        </row>
        <row r="2934">
          <cell r="C2934" t="str">
            <v>&lt;-- enter valid PB./Acc. # in this cell!</v>
          </cell>
          <cell r="F2934" t="str">
            <v>OK</v>
          </cell>
        </row>
        <row r="2935">
          <cell r="C2935" t="str">
            <v>&lt;-- enter valid PB./Acc. # in this cell!</v>
          </cell>
          <cell r="F2935" t="str">
            <v>OK</v>
          </cell>
        </row>
        <row r="2936">
          <cell r="C2936" t="str">
            <v>&lt;-- enter valid PB./Acc. # in this cell!</v>
          </cell>
          <cell r="F2936" t="str">
            <v>OK</v>
          </cell>
        </row>
        <row r="2937">
          <cell r="C2937" t="str">
            <v>&lt;-- enter valid PB./Acc. # in this cell!</v>
          </cell>
          <cell r="F2937" t="str">
            <v>OK</v>
          </cell>
        </row>
        <row r="2938">
          <cell r="C2938" t="str">
            <v>&lt;-- enter valid PB./Acc. # in this cell!</v>
          </cell>
          <cell r="F2938" t="str">
            <v>OK</v>
          </cell>
        </row>
        <row r="2939">
          <cell r="C2939" t="str">
            <v>&lt;-- enter valid PB./Acc. # in this cell!</v>
          </cell>
          <cell r="F2939" t="str">
            <v>OK</v>
          </cell>
        </row>
        <row r="2940">
          <cell r="C2940" t="str">
            <v>&lt;-- enter valid PB./Acc. # in this cell!</v>
          </cell>
          <cell r="F2940" t="str">
            <v>OK</v>
          </cell>
        </row>
        <row r="2941">
          <cell r="C2941" t="str">
            <v>&lt;-- enter valid PB./Acc. # in this cell!</v>
          </cell>
          <cell r="F2941" t="str">
            <v>OK</v>
          </cell>
        </row>
        <row r="2942">
          <cell r="C2942" t="str">
            <v>&lt;-- enter valid PB./Acc. # in this cell!</v>
          </cell>
          <cell r="F2942" t="str">
            <v>OK</v>
          </cell>
        </row>
        <row r="2943">
          <cell r="C2943" t="str">
            <v>&lt;-- enter valid PB./Acc. # in this cell!</v>
          </cell>
          <cell r="F2943" t="str">
            <v>OK</v>
          </cell>
        </row>
        <row r="2944">
          <cell r="C2944" t="str">
            <v>&lt;-- enter valid PB./Acc. # in this cell!</v>
          </cell>
          <cell r="F2944" t="str">
            <v>OK</v>
          </cell>
        </row>
        <row r="2945">
          <cell r="C2945" t="str">
            <v>&lt;-- enter valid PB./Acc. # in this cell!</v>
          </cell>
          <cell r="F2945" t="str">
            <v>OK</v>
          </cell>
        </row>
        <row r="2946">
          <cell r="C2946" t="str">
            <v>&lt;-- enter valid PB./Acc. # in this cell!</v>
          </cell>
          <cell r="F2946" t="str">
            <v>OK</v>
          </cell>
        </row>
        <row r="2947">
          <cell r="C2947" t="str">
            <v>&lt;-- enter valid PB./Acc. # in this cell!</v>
          </cell>
          <cell r="F2947" t="str">
            <v>OK</v>
          </cell>
        </row>
        <row r="2948">
          <cell r="C2948" t="str">
            <v>&lt;-- enter valid PB./Acc. # in this cell!</v>
          </cell>
          <cell r="F2948" t="str">
            <v>OK</v>
          </cell>
        </row>
        <row r="2949">
          <cell r="C2949" t="str">
            <v>&lt;-- enter valid PB./Acc. # in this cell!</v>
          </cell>
          <cell r="F2949" t="str">
            <v>OK</v>
          </cell>
        </row>
        <row r="2950">
          <cell r="C2950" t="str">
            <v>&lt;-- enter valid PB./Acc. # in this cell!</v>
          </cell>
          <cell r="F2950" t="str">
            <v>OK</v>
          </cell>
        </row>
        <row r="2951">
          <cell r="C2951" t="str">
            <v>&lt;-- enter valid PB./Acc. # in this cell!</v>
          </cell>
          <cell r="F2951" t="str">
            <v>OK</v>
          </cell>
        </row>
        <row r="2952">
          <cell r="C2952" t="str">
            <v>&lt;-- enter valid PB./Acc. # in this cell!</v>
          </cell>
          <cell r="F2952" t="str">
            <v>OK</v>
          </cell>
        </row>
        <row r="2953">
          <cell r="C2953" t="str">
            <v>&lt;-- enter valid PB./Acc. # in this cell!</v>
          </cell>
          <cell r="F2953" t="str">
            <v>OK</v>
          </cell>
        </row>
        <row r="2954">
          <cell r="C2954" t="str">
            <v>&lt;-- enter valid PB./Acc. # in this cell!</v>
          </cell>
          <cell r="F2954" t="str">
            <v>OK</v>
          </cell>
        </row>
        <row r="2955">
          <cell r="C2955" t="str">
            <v>&lt;-- enter valid PB./Acc. # in this cell!</v>
          </cell>
          <cell r="F2955" t="str">
            <v>OK</v>
          </cell>
        </row>
        <row r="2956">
          <cell r="C2956" t="str">
            <v>&lt;-- enter valid PB./Acc. # in this cell!</v>
          </cell>
          <cell r="F2956" t="str">
            <v>OK</v>
          </cell>
        </row>
        <row r="2957">
          <cell r="C2957" t="str">
            <v>&lt;-- enter valid PB./Acc. # in this cell!</v>
          </cell>
          <cell r="F2957" t="str">
            <v>OK</v>
          </cell>
        </row>
        <row r="2958">
          <cell r="C2958" t="str">
            <v>&lt;-- enter valid PB./Acc. # in this cell!</v>
          </cell>
          <cell r="F2958" t="str">
            <v>OK</v>
          </cell>
        </row>
        <row r="2959">
          <cell r="C2959" t="str">
            <v>&lt;-- enter valid PB./Acc. # in this cell!</v>
          </cell>
          <cell r="F2959" t="str">
            <v>OK</v>
          </cell>
        </row>
        <row r="2960">
          <cell r="C2960" t="str">
            <v>&lt;-- enter valid PB./Acc. # in this cell!</v>
          </cell>
          <cell r="F2960" t="str">
            <v>OK</v>
          </cell>
        </row>
        <row r="2961">
          <cell r="C2961" t="str">
            <v>&lt;-- enter valid PB./Acc. # in this cell!</v>
          </cell>
          <cell r="F2961" t="str">
            <v>OK</v>
          </cell>
        </row>
        <row r="2962">
          <cell r="C2962" t="str">
            <v>&lt;-- enter valid PB./Acc. # in this cell!</v>
          </cell>
          <cell r="F2962" t="str">
            <v>OK</v>
          </cell>
        </row>
        <row r="2963">
          <cell r="C2963" t="str">
            <v>&lt;-- enter valid PB./Acc. # in this cell!</v>
          </cell>
          <cell r="F2963" t="str">
            <v>OK</v>
          </cell>
        </row>
        <row r="2964">
          <cell r="C2964" t="str">
            <v>&lt;-- enter valid PB./Acc. # in this cell!</v>
          </cell>
          <cell r="F2964" t="str">
            <v>OK</v>
          </cell>
        </row>
        <row r="2965">
          <cell r="C2965" t="str">
            <v>&lt;-- enter valid PB./Acc. # in this cell!</v>
          </cell>
          <cell r="F2965" t="str">
            <v>OK</v>
          </cell>
        </row>
        <row r="2966">
          <cell r="C2966" t="str">
            <v>&lt;-- enter valid PB./Acc. # in this cell!</v>
          </cell>
          <cell r="F2966" t="str">
            <v>OK</v>
          </cell>
        </row>
        <row r="2967">
          <cell r="C2967" t="str">
            <v>&lt;-- enter valid PB./Acc. # in this cell!</v>
          </cell>
          <cell r="F2967" t="str">
            <v>OK</v>
          </cell>
        </row>
        <row r="2968">
          <cell r="C2968" t="str">
            <v>&lt;-- enter valid PB./Acc. # in this cell!</v>
          </cell>
          <cell r="F2968" t="str">
            <v>OK</v>
          </cell>
        </row>
        <row r="2969">
          <cell r="C2969" t="str">
            <v>&lt;-- enter valid PB./Acc. # in this cell!</v>
          </cell>
          <cell r="F2969" t="str">
            <v>OK</v>
          </cell>
        </row>
        <row r="2970">
          <cell r="C2970" t="str">
            <v>&lt;-- enter valid PB./Acc. # in this cell!</v>
          </cell>
          <cell r="F2970" t="str">
            <v>OK</v>
          </cell>
        </row>
        <row r="2971">
          <cell r="C2971" t="str">
            <v>&lt;-- enter valid PB./Acc. # in this cell!</v>
          </cell>
          <cell r="F2971" t="str">
            <v>OK</v>
          </cell>
        </row>
        <row r="2972">
          <cell r="C2972" t="str">
            <v>&lt;-- enter valid PB./Acc. # in this cell!</v>
          </cell>
          <cell r="F2972" t="str">
            <v>OK</v>
          </cell>
        </row>
        <row r="2973">
          <cell r="C2973" t="str">
            <v>&lt;-- enter valid PB./Acc. # in this cell!</v>
          </cell>
          <cell r="F2973" t="str">
            <v>OK</v>
          </cell>
        </row>
        <row r="2974">
          <cell r="C2974" t="str">
            <v>&lt;-- enter valid PB./Acc. # in this cell!</v>
          </cell>
          <cell r="F2974" t="str">
            <v>OK</v>
          </cell>
        </row>
        <row r="2975">
          <cell r="C2975" t="str">
            <v>&lt;-- enter valid PB./Acc. # in this cell!</v>
          </cell>
          <cell r="F2975" t="str">
            <v>OK</v>
          </cell>
        </row>
        <row r="2976">
          <cell r="C2976" t="str">
            <v>&lt;-- enter valid PB./Acc. # in this cell!</v>
          </cell>
          <cell r="F2976" t="str">
            <v>OK</v>
          </cell>
        </row>
        <row r="2977">
          <cell r="C2977" t="str">
            <v>&lt;-- enter valid PB./Acc. # in this cell!</v>
          </cell>
          <cell r="F2977" t="str">
            <v>OK</v>
          </cell>
        </row>
        <row r="2978">
          <cell r="C2978" t="str">
            <v>&lt;-- enter valid PB./Acc. # in this cell!</v>
          </cell>
          <cell r="F2978" t="str">
            <v>OK</v>
          </cell>
        </row>
        <row r="2979">
          <cell r="C2979" t="str">
            <v>&lt;-- enter valid PB./Acc. # in this cell!</v>
          </cell>
          <cell r="F2979" t="str">
            <v>OK</v>
          </cell>
        </row>
        <row r="2980">
          <cell r="C2980" t="str">
            <v>&lt;-- enter valid PB./Acc. # in this cell!</v>
          </cell>
          <cell r="F2980" t="str">
            <v>OK</v>
          </cell>
        </row>
        <row r="2981">
          <cell r="C2981" t="str">
            <v>&lt;-- enter valid PB./Acc. # in this cell!</v>
          </cell>
          <cell r="F2981" t="str">
            <v>OK</v>
          </cell>
        </row>
        <row r="2982">
          <cell r="C2982" t="str">
            <v>&lt;-- enter valid PB./Acc. # in this cell!</v>
          </cell>
          <cell r="F2982" t="str">
            <v>OK</v>
          </cell>
        </row>
        <row r="2983">
          <cell r="C2983" t="str">
            <v>&lt;-- enter valid PB./Acc. # in this cell!</v>
          </cell>
          <cell r="F2983" t="str">
            <v>OK</v>
          </cell>
        </row>
        <row r="2984">
          <cell r="C2984" t="str">
            <v>&lt;-- enter valid PB./Acc. # in this cell!</v>
          </cell>
          <cell r="F2984" t="str">
            <v>OK</v>
          </cell>
        </row>
        <row r="2985">
          <cell r="C2985" t="str">
            <v>&lt;-- enter valid PB./Acc. # in this cell!</v>
          </cell>
          <cell r="F2985" t="str">
            <v>OK</v>
          </cell>
        </row>
        <row r="2986">
          <cell r="C2986" t="str">
            <v>&lt;-- enter valid PB./Acc. # in this cell!</v>
          </cell>
          <cell r="F2986" t="str">
            <v>OK</v>
          </cell>
        </row>
        <row r="2987">
          <cell r="C2987" t="str">
            <v>&lt;-- enter valid PB./Acc. # in this cell!</v>
          </cell>
          <cell r="F2987" t="str">
            <v>OK</v>
          </cell>
        </row>
        <row r="2988">
          <cell r="C2988" t="str">
            <v>&lt;-- enter valid PB./Acc. # in this cell!</v>
          </cell>
          <cell r="F2988" t="str">
            <v>OK</v>
          </cell>
        </row>
        <row r="2989">
          <cell r="C2989" t="str">
            <v>&lt;-- enter valid PB./Acc. # in this cell!</v>
          </cell>
          <cell r="F2989" t="str">
            <v>OK</v>
          </cell>
        </row>
        <row r="2990">
          <cell r="C2990" t="str">
            <v>&lt;-- enter valid PB./Acc. # in this cell!</v>
          </cell>
          <cell r="F2990" t="str">
            <v>OK</v>
          </cell>
        </row>
        <row r="2991">
          <cell r="C2991" t="str">
            <v>&lt;-- enter valid PB./Acc. # in this cell!</v>
          </cell>
          <cell r="F2991" t="str">
            <v>OK</v>
          </cell>
        </row>
        <row r="2992">
          <cell r="C2992" t="str">
            <v>&lt;-- enter valid PB./Acc. # in this cell!</v>
          </cell>
          <cell r="F2992" t="str">
            <v>OK</v>
          </cell>
        </row>
        <row r="2993">
          <cell r="C2993" t="str">
            <v>&lt;-- enter valid PB./Acc. # in this cell!</v>
          </cell>
          <cell r="F2993" t="str">
            <v>OK</v>
          </cell>
        </row>
        <row r="2994">
          <cell r="C2994" t="str">
            <v>&lt;-- enter valid PB./Acc. # in this cell!</v>
          </cell>
          <cell r="F2994" t="str">
            <v>OK</v>
          </cell>
        </row>
        <row r="2995">
          <cell r="C2995" t="str">
            <v>&lt;-- enter valid PB./Acc. # in this cell!</v>
          </cell>
          <cell r="F2995" t="str">
            <v>OK</v>
          </cell>
        </row>
        <row r="2996">
          <cell r="C2996" t="str">
            <v>&lt;-- enter valid PB./Acc. # in this cell!</v>
          </cell>
          <cell r="F2996" t="str">
            <v>OK</v>
          </cell>
        </row>
        <row r="2997">
          <cell r="C2997" t="str">
            <v>&lt;-- enter valid PB./Acc. # in this cell!</v>
          </cell>
          <cell r="F2997" t="str">
            <v>OK</v>
          </cell>
        </row>
        <row r="2998">
          <cell r="C2998" t="str">
            <v>&lt;-- enter valid PB./Acc. # in this cell!</v>
          </cell>
          <cell r="F2998" t="str">
            <v>OK</v>
          </cell>
        </row>
        <row r="2999">
          <cell r="C2999" t="str">
            <v>&lt;-- enter valid PB./Acc. # in this cell!</v>
          </cell>
          <cell r="F2999" t="str">
            <v>OK</v>
          </cell>
        </row>
        <row r="3000">
          <cell r="A3000" t="str">
            <v>Total Balances of April 2016</v>
          </cell>
          <cell r="F3000" t="str">
            <v>OK</v>
          </cell>
          <cell r="G3000">
            <v>0</v>
          </cell>
          <cell r="H3000">
            <v>0</v>
          </cell>
          <cell r="I3000">
            <v>0</v>
          </cell>
          <cell r="J3000">
            <v>0</v>
          </cell>
          <cell r="K3000">
            <v>0</v>
          </cell>
          <cell r="L3000">
            <v>0</v>
          </cell>
          <cell r="M3000">
            <v>0</v>
          </cell>
          <cell r="N3000">
            <v>0</v>
          </cell>
          <cell r="O3000">
            <v>0</v>
          </cell>
          <cell r="P3000">
            <v>0</v>
          </cell>
          <cell r="Q3000">
            <v>0</v>
          </cell>
          <cell r="R3000">
            <v>0</v>
          </cell>
          <cell r="S3000">
            <v>0</v>
          </cell>
          <cell r="T3000">
            <v>0</v>
          </cell>
          <cell r="AQ3000">
            <v>0</v>
          </cell>
        </row>
        <row r="3001">
          <cell r="A3001">
            <v>42521</v>
          </cell>
        </row>
        <row r="3002">
          <cell r="C3002" t="str">
            <v>&lt;-- enter valid PB./Acc. # in this cell!</v>
          </cell>
          <cell r="F3002" t="str">
            <v>OK</v>
          </cell>
        </row>
        <row r="3003">
          <cell r="C3003" t="str">
            <v>&lt;-- enter valid PB./Acc. # in this cell!</v>
          </cell>
          <cell r="F3003" t="str">
            <v>OK</v>
          </cell>
        </row>
        <row r="3004">
          <cell r="C3004" t="str">
            <v>&lt;-- enter valid PB./Acc. # in this cell!</v>
          </cell>
          <cell r="F3004" t="str">
            <v>OK</v>
          </cell>
        </row>
        <row r="3005">
          <cell r="C3005" t="str">
            <v>&lt;-- enter valid PB./Acc. # in this cell!</v>
          </cell>
          <cell r="F3005" t="str">
            <v>OK</v>
          </cell>
        </row>
        <row r="3006">
          <cell r="C3006" t="str">
            <v>&lt;-- enter valid PB./Acc. # in this cell!</v>
          </cell>
          <cell r="F3006" t="str">
            <v>OK</v>
          </cell>
        </row>
        <row r="3007">
          <cell r="C3007" t="str">
            <v>&lt;-- enter valid PB./Acc. # in this cell!</v>
          </cell>
          <cell r="F3007" t="str">
            <v>OK</v>
          </cell>
        </row>
        <row r="3008">
          <cell r="C3008" t="str">
            <v>&lt;-- enter valid PB./Acc. # in this cell!</v>
          </cell>
          <cell r="F3008" t="str">
            <v>OK</v>
          </cell>
        </row>
        <row r="3009">
          <cell r="C3009" t="str">
            <v>&lt;-- enter valid PB./Acc. # in this cell!</v>
          </cell>
          <cell r="F3009" t="str">
            <v>OK</v>
          </cell>
        </row>
        <row r="3010">
          <cell r="C3010" t="str">
            <v>&lt;-- enter valid PB./Acc. # in this cell!</v>
          </cell>
          <cell r="F3010" t="str">
            <v>OK</v>
          </cell>
        </row>
        <row r="3011">
          <cell r="C3011" t="str">
            <v>&lt;-- enter valid PB./Acc. # in this cell!</v>
          </cell>
          <cell r="F3011" t="str">
            <v>OK</v>
          </cell>
        </row>
        <row r="3012">
          <cell r="C3012" t="str">
            <v>&lt;-- enter valid PB./Acc. # in this cell!</v>
          </cell>
          <cell r="F3012" t="str">
            <v>OK</v>
          </cell>
        </row>
        <row r="3013">
          <cell r="C3013" t="str">
            <v>&lt;-- enter valid PB./Acc. # in this cell!</v>
          </cell>
          <cell r="F3013" t="str">
            <v>OK</v>
          </cell>
        </row>
        <row r="3014">
          <cell r="C3014" t="str">
            <v>&lt;-- enter valid PB./Acc. # in this cell!</v>
          </cell>
          <cell r="F3014" t="str">
            <v>OK</v>
          </cell>
        </row>
        <row r="3015">
          <cell r="C3015" t="str">
            <v>&lt;-- enter valid PB./Acc. # in this cell!</v>
          </cell>
          <cell r="F3015" t="str">
            <v>OK</v>
          </cell>
        </row>
        <row r="3016">
          <cell r="C3016" t="str">
            <v>&lt;-- enter valid PB./Acc. # in this cell!</v>
          </cell>
          <cell r="F3016" t="str">
            <v>OK</v>
          </cell>
        </row>
        <row r="3017">
          <cell r="C3017" t="str">
            <v>&lt;-- enter valid PB./Acc. # in this cell!</v>
          </cell>
          <cell r="F3017" t="str">
            <v>OK</v>
          </cell>
        </row>
        <row r="3018">
          <cell r="C3018" t="str">
            <v>&lt;-- enter valid PB./Acc. # in this cell!</v>
          </cell>
          <cell r="F3018" t="str">
            <v>OK</v>
          </cell>
        </row>
        <row r="3019">
          <cell r="C3019" t="str">
            <v>&lt;-- enter valid PB./Acc. # in this cell!</v>
          </cell>
          <cell r="F3019" t="str">
            <v>OK</v>
          </cell>
        </row>
        <row r="3020">
          <cell r="C3020" t="str">
            <v>&lt;-- enter valid PB./Acc. # in this cell!</v>
          </cell>
          <cell r="F3020" t="str">
            <v>OK</v>
          </cell>
        </row>
        <row r="3021">
          <cell r="C3021" t="str">
            <v>&lt;-- enter valid PB./Acc. # in this cell!</v>
          </cell>
          <cell r="F3021" t="str">
            <v>OK</v>
          </cell>
        </row>
        <row r="3022">
          <cell r="C3022" t="str">
            <v>&lt;-- enter valid PB./Acc. # in this cell!</v>
          </cell>
          <cell r="F3022" t="str">
            <v>OK</v>
          </cell>
        </row>
        <row r="3023">
          <cell r="C3023" t="str">
            <v>&lt;-- enter valid PB./Acc. # in this cell!</v>
          </cell>
          <cell r="F3023" t="str">
            <v>OK</v>
          </cell>
        </row>
        <row r="3024">
          <cell r="C3024" t="str">
            <v>&lt;-- enter valid PB./Acc. # in this cell!</v>
          </cell>
          <cell r="F3024" t="str">
            <v>OK</v>
          </cell>
        </row>
        <row r="3025">
          <cell r="C3025" t="str">
            <v>&lt;-- enter valid PB./Acc. # in this cell!</v>
          </cell>
          <cell r="F3025" t="str">
            <v>OK</v>
          </cell>
        </row>
        <row r="3026">
          <cell r="C3026" t="str">
            <v>&lt;-- enter valid PB./Acc. # in this cell!</v>
          </cell>
          <cell r="F3026" t="str">
            <v>OK</v>
          </cell>
        </row>
        <row r="3027">
          <cell r="C3027" t="str">
            <v>&lt;-- enter valid PB./Acc. # in this cell!</v>
          </cell>
          <cell r="F3027" t="str">
            <v>OK</v>
          </cell>
        </row>
        <row r="3028">
          <cell r="C3028" t="str">
            <v>&lt;-- enter valid PB./Acc. # in this cell!</v>
          </cell>
          <cell r="F3028" t="str">
            <v>OK</v>
          </cell>
        </row>
        <row r="3029">
          <cell r="C3029" t="str">
            <v>&lt;-- enter valid PB./Acc. # in this cell!</v>
          </cell>
          <cell r="F3029" t="str">
            <v>OK</v>
          </cell>
        </row>
        <row r="3030">
          <cell r="C3030" t="str">
            <v>&lt;-- enter valid PB./Acc. # in this cell!</v>
          </cell>
          <cell r="F3030" t="str">
            <v>OK</v>
          </cell>
        </row>
        <row r="3031">
          <cell r="C3031" t="str">
            <v>&lt;-- enter valid PB./Acc. # in this cell!</v>
          </cell>
          <cell r="F3031" t="str">
            <v>OK</v>
          </cell>
        </row>
        <row r="3032">
          <cell r="C3032" t="str">
            <v>&lt;-- enter valid PB./Acc. # in this cell!</v>
          </cell>
          <cell r="F3032" t="str">
            <v>OK</v>
          </cell>
        </row>
        <row r="3033">
          <cell r="C3033" t="str">
            <v>&lt;-- enter valid PB./Acc. # in this cell!</v>
          </cell>
          <cell r="F3033" t="str">
            <v>OK</v>
          </cell>
        </row>
        <row r="3034">
          <cell r="C3034" t="str">
            <v>&lt;-- enter valid PB./Acc. # in this cell!</v>
          </cell>
          <cell r="F3034" t="str">
            <v>OK</v>
          </cell>
        </row>
        <row r="3035">
          <cell r="C3035" t="str">
            <v>&lt;-- enter valid PB./Acc. # in this cell!</v>
          </cell>
          <cell r="F3035" t="str">
            <v>OK</v>
          </cell>
        </row>
        <row r="3036">
          <cell r="C3036" t="str">
            <v>&lt;-- enter valid PB./Acc. # in this cell!</v>
          </cell>
          <cell r="F3036" t="str">
            <v>OK</v>
          </cell>
        </row>
        <row r="3037">
          <cell r="C3037" t="str">
            <v>&lt;-- enter valid PB./Acc. # in this cell!</v>
          </cell>
          <cell r="F3037" t="str">
            <v>OK</v>
          </cell>
        </row>
        <row r="3038">
          <cell r="C3038" t="str">
            <v>&lt;-- enter valid PB./Acc. # in this cell!</v>
          </cell>
          <cell r="F3038" t="str">
            <v>OK</v>
          </cell>
        </row>
        <row r="3039">
          <cell r="C3039" t="str">
            <v>&lt;-- enter valid PB./Acc. # in this cell!</v>
          </cell>
          <cell r="F3039" t="str">
            <v>OK</v>
          </cell>
        </row>
        <row r="3040">
          <cell r="C3040" t="str">
            <v>&lt;-- enter valid PB./Acc. # in this cell!</v>
          </cell>
          <cell r="F3040" t="str">
            <v>OK</v>
          </cell>
        </row>
        <row r="3041">
          <cell r="C3041" t="str">
            <v>&lt;-- enter valid PB./Acc. # in this cell!</v>
          </cell>
          <cell r="F3041" t="str">
            <v>OK</v>
          </cell>
        </row>
        <row r="3042">
          <cell r="C3042" t="str">
            <v>&lt;-- enter valid PB./Acc. # in this cell!</v>
          </cell>
          <cell r="F3042" t="str">
            <v>OK</v>
          </cell>
        </row>
        <row r="3043">
          <cell r="C3043" t="str">
            <v>&lt;-- enter valid PB./Acc. # in this cell!</v>
          </cell>
          <cell r="F3043" t="str">
            <v>OK</v>
          </cell>
        </row>
        <row r="3044">
          <cell r="C3044" t="str">
            <v>&lt;-- enter valid PB./Acc. # in this cell!</v>
          </cell>
          <cell r="F3044" t="str">
            <v>OK</v>
          </cell>
        </row>
        <row r="3045">
          <cell r="C3045" t="str">
            <v>&lt;-- enter valid PB./Acc. # in this cell!</v>
          </cell>
          <cell r="F3045" t="str">
            <v>OK</v>
          </cell>
        </row>
        <row r="3046">
          <cell r="C3046" t="str">
            <v>&lt;-- enter valid PB./Acc. # in this cell!</v>
          </cell>
          <cell r="F3046" t="str">
            <v>OK</v>
          </cell>
        </row>
        <row r="3047">
          <cell r="C3047" t="str">
            <v>&lt;-- enter valid PB./Acc. # in this cell!</v>
          </cell>
          <cell r="F3047" t="str">
            <v>OK</v>
          </cell>
        </row>
        <row r="3048">
          <cell r="C3048" t="str">
            <v>&lt;-- enter valid PB./Acc. # in this cell!</v>
          </cell>
          <cell r="F3048" t="str">
            <v>OK</v>
          </cell>
        </row>
        <row r="3049">
          <cell r="C3049" t="str">
            <v>&lt;-- enter valid PB./Acc. # in this cell!</v>
          </cell>
          <cell r="F3049" t="str">
            <v>OK</v>
          </cell>
        </row>
        <row r="3050">
          <cell r="C3050" t="str">
            <v>&lt;-- enter valid PB./Acc. # in this cell!</v>
          </cell>
          <cell r="F3050" t="str">
            <v>OK</v>
          </cell>
        </row>
        <row r="3051">
          <cell r="C3051" t="str">
            <v>&lt;-- enter valid PB./Acc. # in this cell!</v>
          </cell>
          <cell r="F3051" t="str">
            <v>OK</v>
          </cell>
        </row>
        <row r="3052">
          <cell r="C3052" t="str">
            <v>&lt;-- enter valid PB./Acc. # in this cell!</v>
          </cell>
          <cell r="F3052" t="str">
            <v>OK</v>
          </cell>
        </row>
        <row r="3053">
          <cell r="C3053" t="str">
            <v>&lt;-- enter valid PB./Acc. # in this cell!</v>
          </cell>
          <cell r="F3053" t="str">
            <v>OK</v>
          </cell>
        </row>
        <row r="3054">
          <cell r="C3054" t="str">
            <v>&lt;-- enter valid PB./Acc. # in this cell!</v>
          </cell>
          <cell r="F3054" t="str">
            <v>OK</v>
          </cell>
        </row>
        <row r="3055">
          <cell r="C3055" t="str">
            <v>&lt;-- enter valid PB./Acc. # in this cell!</v>
          </cell>
          <cell r="F3055" t="str">
            <v>OK</v>
          </cell>
        </row>
        <row r="3056">
          <cell r="C3056" t="str">
            <v>&lt;-- enter valid PB./Acc. # in this cell!</v>
          </cell>
          <cell r="F3056" t="str">
            <v>OK</v>
          </cell>
        </row>
        <row r="3057">
          <cell r="C3057" t="str">
            <v>&lt;-- enter valid PB./Acc. # in this cell!</v>
          </cell>
          <cell r="F3057" t="str">
            <v>OK</v>
          </cell>
        </row>
        <row r="3058">
          <cell r="C3058" t="str">
            <v>&lt;-- enter valid PB./Acc. # in this cell!</v>
          </cell>
          <cell r="F3058" t="str">
            <v>OK</v>
          </cell>
        </row>
        <row r="3059">
          <cell r="C3059" t="str">
            <v>&lt;-- enter valid PB./Acc. # in this cell!</v>
          </cell>
          <cell r="F3059" t="str">
            <v>OK</v>
          </cell>
        </row>
        <row r="3060">
          <cell r="C3060" t="str">
            <v>&lt;-- enter valid PB./Acc. # in this cell!</v>
          </cell>
          <cell r="F3060" t="str">
            <v>OK</v>
          </cell>
        </row>
        <row r="3061">
          <cell r="C3061" t="str">
            <v>&lt;-- enter valid PB./Acc. # in this cell!</v>
          </cell>
          <cell r="F3061" t="str">
            <v>OK</v>
          </cell>
        </row>
        <row r="3062">
          <cell r="C3062" t="str">
            <v>&lt;-- enter valid PB./Acc. # in this cell!</v>
          </cell>
          <cell r="F3062" t="str">
            <v>OK</v>
          </cell>
        </row>
        <row r="3063">
          <cell r="C3063" t="str">
            <v>&lt;-- enter valid PB./Acc. # in this cell!</v>
          </cell>
          <cell r="F3063" t="str">
            <v>OK</v>
          </cell>
        </row>
        <row r="3064">
          <cell r="C3064" t="str">
            <v>&lt;-- enter valid PB./Acc. # in this cell!</v>
          </cell>
          <cell r="F3064" t="str">
            <v>OK</v>
          </cell>
        </row>
        <row r="3065">
          <cell r="C3065" t="str">
            <v>&lt;-- enter valid PB./Acc. # in this cell!</v>
          </cell>
          <cell r="F3065" t="str">
            <v>OK</v>
          </cell>
        </row>
        <row r="3066">
          <cell r="C3066" t="str">
            <v>&lt;-- enter valid PB./Acc. # in this cell!</v>
          </cell>
          <cell r="F3066" t="str">
            <v>OK</v>
          </cell>
        </row>
        <row r="3067">
          <cell r="C3067" t="str">
            <v>&lt;-- enter valid PB./Acc. # in this cell!</v>
          </cell>
          <cell r="F3067" t="str">
            <v>OK</v>
          </cell>
        </row>
        <row r="3068">
          <cell r="C3068" t="str">
            <v>&lt;-- enter valid PB./Acc. # in this cell!</v>
          </cell>
          <cell r="F3068" t="str">
            <v>OK</v>
          </cell>
        </row>
        <row r="3069">
          <cell r="C3069" t="str">
            <v>&lt;-- enter valid PB./Acc. # in this cell!</v>
          </cell>
          <cell r="F3069" t="str">
            <v>OK</v>
          </cell>
        </row>
        <row r="3070">
          <cell r="C3070" t="str">
            <v>&lt;-- enter valid PB./Acc. # in this cell!</v>
          </cell>
          <cell r="F3070" t="str">
            <v>OK</v>
          </cell>
        </row>
        <row r="3071">
          <cell r="C3071" t="str">
            <v>&lt;-- enter valid PB./Acc. # in this cell!</v>
          </cell>
          <cell r="F3071" t="str">
            <v>OK</v>
          </cell>
        </row>
        <row r="3072">
          <cell r="C3072" t="str">
            <v>&lt;-- enter valid PB./Acc. # in this cell!</v>
          </cell>
          <cell r="F3072" t="str">
            <v>OK</v>
          </cell>
        </row>
        <row r="3073">
          <cell r="C3073" t="str">
            <v>&lt;-- enter valid PB./Acc. # in this cell!</v>
          </cell>
          <cell r="F3073" t="str">
            <v>OK</v>
          </cell>
        </row>
        <row r="3074">
          <cell r="C3074" t="str">
            <v>&lt;-- enter valid PB./Acc. # in this cell!</v>
          </cell>
          <cell r="F3074" t="str">
            <v>OK</v>
          </cell>
        </row>
        <row r="3075">
          <cell r="C3075" t="str">
            <v>&lt;-- enter valid PB./Acc. # in this cell!</v>
          </cell>
          <cell r="F3075" t="str">
            <v>OK</v>
          </cell>
        </row>
        <row r="3076">
          <cell r="C3076" t="str">
            <v>&lt;-- enter valid PB./Acc. # in this cell!</v>
          </cell>
          <cell r="F3076" t="str">
            <v>OK</v>
          </cell>
        </row>
        <row r="3077">
          <cell r="C3077" t="str">
            <v>&lt;-- enter valid PB./Acc. # in this cell!</v>
          </cell>
          <cell r="F3077" t="str">
            <v>OK</v>
          </cell>
        </row>
        <row r="3078">
          <cell r="C3078" t="str">
            <v>&lt;-- enter valid PB./Acc. # in this cell!</v>
          </cell>
          <cell r="F3078" t="str">
            <v>OK</v>
          </cell>
        </row>
        <row r="3079">
          <cell r="C3079" t="str">
            <v>&lt;-- enter valid PB./Acc. # in this cell!</v>
          </cell>
          <cell r="F3079" t="str">
            <v>OK</v>
          </cell>
        </row>
        <row r="3080">
          <cell r="C3080" t="str">
            <v>&lt;-- enter valid PB./Acc. # in this cell!</v>
          </cell>
          <cell r="F3080" t="str">
            <v>OK</v>
          </cell>
        </row>
        <row r="3081">
          <cell r="C3081" t="str">
            <v>&lt;-- enter valid PB./Acc. # in this cell!</v>
          </cell>
          <cell r="F3081" t="str">
            <v>OK</v>
          </cell>
        </row>
        <row r="3082">
          <cell r="C3082" t="str">
            <v>&lt;-- enter valid PB./Acc. # in this cell!</v>
          </cell>
          <cell r="F3082" t="str">
            <v>OK</v>
          </cell>
        </row>
        <row r="3083">
          <cell r="C3083" t="str">
            <v>&lt;-- enter valid PB./Acc. # in this cell!</v>
          </cell>
          <cell r="F3083" t="str">
            <v>OK</v>
          </cell>
        </row>
        <row r="3084">
          <cell r="C3084" t="str">
            <v>&lt;-- enter valid PB./Acc. # in this cell!</v>
          </cell>
          <cell r="F3084" t="str">
            <v>OK</v>
          </cell>
        </row>
        <row r="3085">
          <cell r="C3085" t="str">
            <v>&lt;-- enter valid PB./Acc. # in this cell!</v>
          </cell>
          <cell r="F3085" t="str">
            <v>OK</v>
          </cell>
        </row>
        <row r="3086">
          <cell r="C3086" t="str">
            <v>&lt;-- enter valid PB./Acc. # in this cell!</v>
          </cell>
          <cell r="F3086" t="str">
            <v>OK</v>
          </cell>
        </row>
        <row r="3087">
          <cell r="C3087" t="str">
            <v>&lt;-- enter valid PB./Acc. # in this cell!</v>
          </cell>
          <cell r="F3087" t="str">
            <v>OK</v>
          </cell>
        </row>
        <row r="3088">
          <cell r="C3088" t="str">
            <v>&lt;-- enter valid PB./Acc. # in this cell!</v>
          </cell>
          <cell r="F3088" t="str">
            <v>OK</v>
          </cell>
        </row>
        <row r="3089">
          <cell r="C3089" t="str">
            <v>&lt;-- enter valid PB./Acc. # in this cell!</v>
          </cell>
          <cell r="F3089" t="str">
            <v>OK</v>
          </cell>
        </row>
        <row r="3090">
          <cell r="C3090" t="str">
            <v>&lt;-- enter valid PB./Acc. # in this cell!</v>
          </cell>
          <cell r="F3090" t="str">
            <v>OK</v>
          </cell>
        </row>
        <row r="3091">
          <cell r="C3091" t="str">
            <v>&lt;-- enter valid PB./Acc. # in this cell!</v>
          </cell>
          <cell r="F3091" t="str">
            <v>OK</v>
          </cell>
        </row>
        <row r="3092">
          <cell r="C3092" t="str">
            <v>&lt;-- enter valid PB./Acc. # in this cell!</v>
          </cell>
          <cell r="F3092" t="str">
            <v>OK</v>
          </cell>
        </row>
        <row r="3093">
          <cell r="C3093" t="str">
            <v>&lt;-- enter valid PB./Acc. # in this cell!</v>
          </cell>
          <cell r="F3093" t="str">
            <v>OK</v>
          </cell>
        </row>
        <row r="3094">
          <cell r="C3094" t="str">
            <v>&lt;-- enter valid PB./Acc. # in this cell!</v>
          </cell>
          <cell r="F3094" t="str">
            <v>OK</v>
          </cell>
        </row>
        <row r="3095">
          <cell r="C3095" t="str">
            <v>&lt;-- enter valid PB./Acc. # in this cell!</v>
          </cell>
          <cell r="F3095" t="str">
            <v>OK</v>
          </cell>
        </row>
        <row r="3096">
          <cell r="C3096" t="str">
            <v>&lt;-- enter valid PB./Acc. # in this cell!</v>
          </cell>
          <cell r="F3096" t="str">
            <v>OK</v>
          </cell>
        </row>
        <row r="3097">
          <cell r="C3097" t="str">
            <v>&lt;-- enter valid PB./Acc. # in this cell!</v>
          </cell>
          <cell r="F3097" t="str">
            <v>OK</v>
          </cell>
        </row>
        <row r="3098">
          <cell r="C3098" t="str">
            <v>&lt;-- enter valid PB./Acc. # in this cell!</v>
          </cell>
          <cell r="F3098" t="str">
            <v>OK</v>
          </cell>
        </row>
        <row r="3099">
          <cell r="C3099" t="str">
            <v>&lt;-- enter valid PB./Acc. # in this cell!</v>
          </cell>
          <cell r="F3099" t="str">
            <v>OK</v>
          </cell>
        </row>
        <row r="3100">
          <cell r="C3100" t="str">
            <v>&lt;-- enter valid PB./Acc. # in this cell!</v>
          </cell>
          <cell r="F3100" t="str">
            <v>OK</v>
          </cell>
        </row>
        <row r="3101">
          <cell r="C3101" t="str">
            <v>&lt;-- enter valid PB./Acc. # in this cell!</v>
          </cell>
          <cell r="F3101" t="str">
            <v>OK</v>
          </cell>
        </row>
        <row r="3102">
          <cell r="C3102" t="str">
            <v>&lt;-- enter valid PB./Acc. # in this cell!</v>
          </cell>
          <cell r="F3102" t="str">
            <v>OK</v>
          </cell>
        </row>
        <row r="3103">
          <cell r="C3103" t="str">
            <v>&lt;-- enter valid PB./Acc. # in this cell!</v>
          </cell>
          <cell r="F3103" t="str">
            <v>OK</v>
          </cell>
        </row>
        <row r="3104">
          <cell r="C3104" t="str">
            <v>&lt;-- enter valid PB./Acc. # in this cell!</v>
          </cell>
          <cell r="F3104" t="str">
            <v>OK</v>
          </cell>
        </row>
        <row r="3105">
          <cell r="C3105" t="str">
            <v>&lt;-- enter valid PB./Acc. # in this cell!</v>
          </cell>
          <cell r="F3105" t="str">
            <v>OK</v>
          </cell>
        </row>
        <row r="3106">
          <cell r="C3106" t="str">
            <v>&lt;-- enter valid PB./Acc. # in this cell!</v>
          </cell>
          <cell r="F3106" t="str">
            <v>OK</v>
          </cell>
        </row>
        <row r="3107">
          <cell r="C3107" t="str">
            <v>&lt;-- enter valid PB./Acc. # in this cell!</v>
          </cell>
          <cell r="F3107" t="str">
            <v>OK</v>
          </cell>
        </row>
        <row r="3108">
          <cell r="C3108" t="str">
            <v>&lt;-- enter valid PB./Acc. # in this cell!</v>
          </cell>
          <cell r="F3108" t="str">
            <v>OK</v>
          </cell>
        </row>
        <row r="3109">
          <cell r="C3109" t="str">
            <v>&lt;-- enter valid PB./Acc. # in this cell!</v>
          </cell>
          <cell r="F3109" t="str">
            <v>OK</v>
          </cell>
        </row>
        <row r="3110">
          <cell r="C3110" t="str">
            <v>&lt;-- enter valid PB./Acc. # in this cell!</v>
          </cell>
          <cell r="F3110" t="str">
            <v>OK</v>
          </cell>
        </row>
        <row r="3111">
          <cell r="C3111" t="str">
            <v>&lt;-- enter valid PB./Acc. # in this cell!</v>
          </cell>
          <cell r="F3111" t="str">
            <v>OK</v>
          </cell>
        </row>
        <row r="3112">
          <cell r="C3112" t="str">
            <v>&lt;-- enter valid PB./Acc. # in this cell!</v>
          </cell>
          <cell r="F3112" t="str">
            <v>OK</v>
          </cell>
        </row>
        <row r="3113">
          <cell r="C3113" t="str">
            <v>&lt;-- enter valid PB./Acc. # in this cell!</v>
          </cell>
          <cell r="F3113" t="str">
            <v>OK</v>
          </cell>
        </row>
        <row r="3114">
          <cell r="C3114" t="str">
            <v>&lt;-- enter valid PB./Acc. # in this cell!</v>
          </cell>
          <cell r="F3114" t="str">
            <v>OK</v>
          </cell>
        </row>
        <row r="3115">
          <cell r="C3115" t="str">
            <v>&lt;-- enter valid PB./Acc. # in this cell!</v>
          </cell>
          <cell r="F3115" t="str">
            <v>OK</v>
          </cell>
        </row>
        <row r="3116">
          <cell r="C3116" t="str">
            <v>&lt;-- enter valid PB./Acc. # in this cell!</v>
          </cell>
          <cell r="F3116" t="str">
            <v>OK</v>
          </cell>
        </row>
        <row r="3117">
          <cell r="C3117" t="str">
            <v>&lt;-- enter valid PB./Acc. # in this cell!</v>
          </cell>
          <cell r="F3117" t="str">
            <v>OK</v>
          </cell>
        </row>
        <row r="3118">
          <cell r="C3118" t="str">
            <v>&lt;-- enter valid PB./Acc. # in this cell!</v>
          </cell>
          <cell r="F3118" t="str">
            <v>OK</v>
          </cell>
        </row>
        <row r="3119">
          <cell r="C3119" t="str">
            <v>&lt;-- enter valid PB./Acc. # in this cell!</v>
          </cell>
          <cell r="F3119" t="str">
            <v>OK</v>
          </cell>
        </row>
        <row r="3120">
          <cell r="C3120" t="str">
            <v>&lt;-- enter valid PB./Acc. # in this cell!</v>
          </cell>
          <cell r="F3120" t="str">
            <v>OK</v>
          </cell>
        </row>
        <row r="3121">
          <cell r="C3121" t="str">
            <v>&lt;-- enter valid PB./Acc. # in this cell!</v>
          </cell>
          <cell r="F3121" t="str">
            <v>OK</v>
          </cell>
        </row>
        <row r="3122">
          <cell r="C3122" t="str">
            <v>&lt;-- enter valid PB./Acc. # in this cell!</v>
          </cell>
          <cell r="F3122" t="str">
            <v>OK</v>
          </cell>
        </row>
        <row r="3123">
          <cell r="C3123" t="str">
            <v>&lt;-- enter valid PB./Acc. # in this cell!</v>
          </cell>
          <cell r="F3123" t="str">
            <v>OK</v>
          </cell>
        </row>
        <row r="3124">
          <cell r="C3124" t="str">
            <v>&lt;-- enter valid PB./Acc. # in this cell!</v>
          </cell>
          <cell r="F3124" t="str">
            <v>OK</v>
          </cell>
        </row>
        <row r="3125">
          <cell r="C3125" t="str">
            <v>&lt;-- enter valid PB./Acc. # in this cell!</v>
          </cell>
          <cell r="F3125" t="str">
            <v>OK</v>
          </cell>
        </row>
        <row r="3126">
          <cell r="C3126" t="str">
            <v>&lt;-- enter valid PB./Acc. # in this cell!</v>
          </cell>
          <cell r="F3126" t="str">
            <v>OK</v>
          </cell>
        </row>
        <row r="3127">
          <cell r="C3127" t="str">
            <v>&lt;-- enter valid PB./Acc. # in this cell!</v>
          </cell>
          <cell r="F3127" t="str">
            <v>OK</v>
          </cell>
        </row>
        <row r="3128">
          <cell r="C3128" t="str">
            <v>&lt;-- enter valid PB./Acc. # in this cell!</v>
          </cell>
          <cell r="F3128" t="str">
            <v>OK</v>
          </cell>
        </row>
        <row r="3129">
          <cell r="C3129" t="str">
            <v>&lt;-- enter valid PB./Acc. # in this cell!</v>
          </cell>
          <cell r="F3129" t="str">
            <v>OK</v>
          </cell>
        </row>
        <row r="3130">
          <cell r="C3130" t="str">
            <v>&lt;-- enter valid PB./Acc. # in this cell!</v>
          </cell>
          <cell r="F3130" t="str">
            <v>OK</v>
          </cell>
        </row>
        <row r="3131">
          <cell r="C3131" t="str">
            <v>&lt;-- enter valid PB./Acc. # in this cell!</v>
          </cell>
          <cell r="F3131" t="str">
            <v>OK</v>
          </cell>
        </row>
        <row r="3132">
          <cell r="C3132" t="str">
            <v>&lt;-- enter valid PB./Acc. # in this cell!</v>
          </cell>
          <cell r="F3132" t="str">
            <v>OK</v>
          </cell>
        </row>
        <row r="3133">
          <cell r="C3133" t="str">
            <v>&lt;-- enter valid PB./Acc. # in this cell!</v>
          </cell>
          <cell r="F3133" t="str">
            <v>OK</v>
          </cell>
        </row>
        <row r="3134">
          <cell r="C3134" t="str">
            <v>&lt;-- enter valid PB./Acc. # in this cell!</v>
          </cell>
          <cell r="F3134" t="str">
            <v>OK</v>
          </cell>
        </row>
        <row r="3135">
          <cell r="C3135" t="str">
            <v>&lt;-- enter valid PB./Acc. # in this cell!</v>
          </cell>
          <cell r="F3135" t="str">
            <v>OK</v>
          </cell>
        </row>
        <row r="3136">
          <cell r="C3136" t="str">
            <v>&lt;-- enter valid PB./Acc. # in this cell!</v>
          </cell>
          <cell r="F3136" t="str">
            <v>OK</v>
          </cell>
        </row>
        <row r="3137">
          <cell r="C3137" t="str">
            <v>&lt;-- enter valid PB./Acc. # in this cell!</v>
          </cell>
          <cell r="F3137" t="str">
            <v>OK</v>
          </cell>
        </row>
        <row r="3138">
          <cell r="C3138" t="str">
            <v>&lt;-- enter valid PB./Acc. # in this cell!</v>
          </cell>
          <cell r="F3138" t="str">
            <v>OK</v>
          </cell>
        </row>
        <row r="3139">
          <cell r="C3139" t="str">
            <v>&lt;-- enter valid PB./Acc. # in this cell!</v>
          </cell>
          <cell r="F3139" t="str">
            <v>OK</v>
          </cell>
        </row>
        <row r="3140">
          <cell r="C3140" t="str">
            <v>&lt;-- enter valid PB./Acc. # in this cell!</v>
          </cell>
          <cell r="F3140" t="str">
            <v>OK</v>
          </cell>
        </row>
        <row r="3141">
          <cell r="C3141" t="str">
            <v>&lt;-- enter valid PB./Acc. # in this cell!</v>
          </cell>
          <cell r="F3141" t="str">
            <v>OK</v>
          </cell>
        </row>
        <row r="3142">
          <cell r="C3142" t="str">
            <v>&lt;-- enter valid PB./Acc. # in this cell!</v>
          </cell>
          <cell r="F3142" t="str">
            <v>OK</v>
          </cell>
        </row>
        <row r="3143">
          <cell r="C3143" t="str">
            <v>&lt;-- enter valid PB./Acc. # in this cell!</v>
          </cell>
          <cell r="F3143" t="str">
            <v>OK</v>
          </cell>
        </row>
        <row r="3144">
          <cell r="C3144" t="str">
            <v>&lt;-- enter valid PB./Acc. # in this cell!</v>
          </cell>
          <cell r="F3144" t="str">
            <v>OK</v>
          </cell>
        </row>
        <row r="3145">
          <cell r="C3145" t="str">
            <v>&lt;-- enter valid PB./Acc. # in this cell!</v>
          </cell>
          <cell r="F3145" t="str">
            <v>OK</v>
          </cell>
        </row>
        <row r="3146">
          <cell r="C3146" t="str">
            <v>&lt;-- enter valid PB./Acc. # in this cell!</v>
          </cell>
          <cell r="F3146" t="str">
            <v>OK</v>
          </cell>
        </row>
        <row r="3147">
          <cell r="C3147" t="str">
            <v>&lt;-- enter valid PB./Acc. # in this cell!</v>
          </cell>
          <cell r="F3147" t="str">
            <v>OK</v>
          </cell>
        </row>
        <row r="3148">
          <cell r="C3148" t="str">
            <v>&lt;-- enter valid PB./Acc. # in this cell!</v>
          </cell>
          <cell r="F3148" t="str">
            <v>OK</v>
          </cell>
        </row>
        <row r="3149">
          <cell r="C3149" t="str">
            <v>&lt;-- enter valid PB./Acc. # in this cell!</v>
          </cell>
          <cell r="F3149" t="str">
            <v>OK</v>
          </cell>
        </row>
        <row r="3150">
          <cell r="C3150" t="str">
            <v>&lt;-- enter valid PB./Acc. # in this cell!</v>
          </cell>
          <cell r="F3150" t="str">
            <v>OK</v>
          </cell>
        </row>
        <row r="3151">
          <cell r="C3151" t="str">
            <v>&lt;-- enter valid PB./Acc. # in this cell!</v>
          </cell>
          <cell r="F3151" t="str">
            <v>OK</v>
          </cell>
        </row>
        <row r="3152">
          <cell r="C3152" t="str">
            <v>&lt;-- enter valid PB./Acc. # in this cell!</v>
          </cell>
          <cell r="F3152" t="str">
            <v>OK</v>
          </cell>
        </row>
        <row r="3153">
          <cell r="C3153" t="str">
            <v>&lt;-- enter valid PB./Acc. # in this cell!</v>
          </cell>
          <cell r="F3153" t="str">
            <v>OK</v>
          </cell>
        </row>
        <row r="3154">
          <cell r="C3154" t="str">
            <v>&lt;-- enter valid PB./Acc. # in this cell!</v>
          </cell>
          <cell r="F3154" t="str">
            <v>OK</v>
          </cell>
        </row>
        <row r="3155">
          <cell r="C3155" t="str">
            <v>&lt;-- enter valid PB./Acc. # in this cell!</v>
          </cell>
          <cell r="F3155" t="str">
            <v>OK</v>
          </cell>
        </row>
        <row r="3156">
          <cell r="C3156" t="str">
            <v>&lt;-- enter valid PB./Acc. # in this cell!</v>
          </cell>
          <cell r="F3156" t="str">
            <v>OK</v>
          </cell>
        </row>
        <row r="3157">
          <cell r="C3157" t="str">
            <v>&lt;-- enter valid PB./Acc. # in this cell!</v>
          </cell>
          <cell r="F3157" t="str">
            <v>OK</v>
          </cell>
        </row>
        <row r="3158">
          <cell r="C3158" t="str">
            <v>&lt;-- enter valid PB./Acc. # in this cell!</v>
          </cell>
          <cell r="F3158" t="str">
            <v>OK</v>
          </cell>
        </row>
        <row r="3159">
          <cell r="C3159" t="str">
            <v>&lt;-- enter valid PB./Acc. # in this cell!</v>
          </cell>
          <cell r="F3159" t="str">
            <v>OK</v>
          </cell>
        </row>
        <row r="3160">
          <cell r="C3160" t="str">
            <v>&lt;-- enter valid PB./Acc. # in this cell!</v>
          </cell>
          <cell r="F3160" t="str">
            <v>OK</v>
          </cell>
        </row>
        <row r="3161">
          <cell r="C3161" t="str">
            <v>&lt;-- enter valid PB./Acc. # in this cell!</v>
          </cell>
          <cell r="F3161" t="str">
            <v>OK</v>
          </cell>
        </row>
        <row r="3162">
          <cell r="C3162" t="str">
            <v>&lt;-- enter valid PB./Acc. # in this cell!</v>
          </cell>
          <cell r="F3162" t="str">
            <v>OK</v>
          </cell>
        </row>
        <row r="3163">
          <cell r="C3163" t="str">
            <v>&lt;-- enter valid PB./Acc. # in this cell!</v>
          </cell>
          <cell r="F3163" t="str">
            <v>OK</v>
          </cell>
        </row>
        <row r="3164">
          <cell r="C3164" t="str">
            <v>&lt;-- enter valid PB./Acc. # in this cell!</v>
          </cell>
          <cell r="F3164" t="str">
            <v>OK</v>
          </cell>
        </row>
        <row r="3165">
          <cell r="C3165" t="str">
            <v>&lt;-- enter valid PB./Acc. # in this cell!</v>
          </cell>
          <cell r="F3165" t="str">
            <v>OK</v>
          </cell>
        </row>
        <row r="3166">
          <cell r="C3166" t="str">
            <v>&lt;-- enter valid PB./Acc. # in this cell!</v>
          </cell>
          <cell r="F3166" t="str">
            <v>OK</v>
          </cell>
        </row>
        <row r="3167">
          <cell r="C3167" t="str">
            <v>&lt;-- enter valid PB./Acc. # in this cell!</v>
          </cell>
          <cell r="F3167" t="str">
            <v>OK</v>
          </cell>
        </row>
        <row r="3168">
          <cell r="C3168" t="str">
            <v>&lt;-- enter valid PB./Acc. # in this cell!</v>
          </cell>
          <cell r="F3168" t="str">
            <v>OK</v>
          </cell>
        </row>
        <row r="3169">
          <cell r="C3169" t="str">
            <v>&lt;-- enter valid PB./Acc. # in this cell!</v>
          </cell>
          <cell r="F3169" t="str">
            <v>OK</v>
          </cell>
        </row>
        <row r="3170">
          <cell r="C3170" t="str">
            <v>&lt;-- enter valid PB./Acc. # in this cell!</v>
          </cell>
          <cell r="F3170" t="str">
            <v>OK</v>
          </cell>
        </row>
        <row r="3171">
          <cell r="C3171" t="str">
            <v>&lt;-- enter valid PB./Acc. # in this cell!</v>
          </cell>
          <cell r="F3171" t="str">
            <v>OK</v>
          </cell>
        </row>
        <row r="3172">
          <cell r="C3172" t="str">
            <v>&lt;-- enter valid PB./Acc. # in this cell!</v>
          </cell>
          <cell r="F3172" t="str">
            <v>OK</v>
          </cell>
        </row>
        <row r="3173">
          <cell r="C3173" t="str">
            <v>&lt;-- enter valid PB./Acc. # in this cell!</v>
          </cell>
          <cell r="F3173" t="str">
            <v>OK</v>
          </cell>
        </row>
        <row r="3174">
          <cell r="C3174" t="str">
            <v>&lt;-- enter valid PB./Acc. # in this cell!</v>
          </cell>
          <cell r="F3174" t="str">
            <v>OK</v>
          </cell>
        </row>
        <row r="3175">
          <cell r="C3175" t="str">
            <v>&lt;-- enter valid PB./Acc. # in this cell!</v>
          </cell>
          <cell r="F3175" t="str">
            <v>OK</v>
          </cell>
        </row>
        <row r="3176">
          <cell r="C3176" t="str">
            <v>&lt;-- enter valid PB./Acc. # in this cell!</v>
          </cell>
          <cell r="F3176" t="str">
            <v>OK</v>
          </cell>
        </row>
        <row r="3177">
          <cell r="C3177" t="str">
            <v>&lt;-- enter valid PB./Acc. # in this cell!</v>
          </cell>
          <cell r="F3177" t="str">
            <v>OK</v>
          </cell>
        </row>
        <row r="3178">
          <cell r="C3178" t="str">
            <v>&lt;-- enter valid PB./Acc. # in this cell!</v>
          </cell>
          <cell r="F3178" t="str">
            <v>OK</v>
          </cell>
        </row>
        <row r="3179">
          <cell r="C3179" t="str">
            <v>&lt;-- enter valid PB./Acc. # in this cell!</v>
          </cell>
          <cell r="F3179" t="str">
            <v>OK</v>
          </cell>
        </row>
        <row r="3180">
          <cell r="C3180" t="str">
            <v>&lt;-- enter valid PB./Acc. # in this cell!</v>
          </cell>
          <cell r="F3180" t="str">
            <v>OK</v>
          </cell>
        </row>
        <row r="3181">
          <cell r="C3181" t="str">
            <v>&lt;-- enter valid PB./Acc. # in this cell!</v>
          </cell>
          <cell r="F3181" t="str">
            <v>OK</v>
          </cell>
        </row>
        <row r="3182">
          <cell r="C3182" t="str">
            <v>&lt;-- enter valid PB./Acc. # in this cell!</v>
          </cell>
          <cell r="F3182" t="str">
            <v>OK</v>
          </cell>
        </row>
        <row r="3183">
          <cell r="C3183" t="str">
            <v>&lt;-- enter valid PB./Acc. # in this cell!</v>
          </cell>
          <cell r="F3183" t="str">
            <v>OK</v>
          </cell>
        </row>
        <row r="3184">
          <cell r="C3184" t="str">
            <v>&lt;-- enter valid PB./Acc. # in this cell!</v>
          </cell>
          <cell r="F3184" t="str">
            <v>OK</v>
          </cell>
        </row>
        <row r="3185">
          <cell r="C3185" t="str">
            <v>&lt;-- enter valid PB./Acc. # in this cell!</v>
          </cell>
          <cell r="F3185" t="str">
            <v>OK</v>
          </cell>
        </row>
        <row r="3186">
          <cell r="C3186" t="str">
            <v>&lt;-- enter valid PB./Acc. # in this cell!</v>
          </cell>
          <cell r="F3186" t="str">
            <v>OK</v>
          </cell>
        </row>
        <row r="3187">
          <cell r="C3187" t="str">
            <v>&lt;-- enter valid PB./Acc. # in this cell!</v>
          </cell>
          <cell r="F3187" t="str">
            <v>OK</v>
          </cell>
        </row>
        <row r="3188">
          <cell r="C3188" t="str">
            <v>&lt;-- enter valid PB./Acc. # in this cell!</v>
          </cell>
          <cell r="F3188" t="str">
            <v>OK</v>
          </cell>
        </row>
        <row r="3189">
          <cell r="C3189" t="str">
            <v>&lt;-- enter valid PB./Acc. # in this cell!</v>
          </cell>
          <cell r="F3189" t="str">
            <v>OK</v>
          </cell>
        </row>
        <row r="3190">
          <cell r="C3190" t="str">
            <v>&lt;-- enter valid PB./Acc. # in this cell!</v>
          </cell>
          <cell r="F3190" t="str">
            <v>OK</v>
          </cell>
        </row>
        <row r="3191">
          <cell r="C3191" t="str">
            <v>&lt;-- enter valid PB./Acc. # in this cell!</v>
          </cell>
          <cell r="F3191" t="str">
            <v>OK</v>
          </cell>
        </row>
        <row r="3192">
          <cell r="C3192" t="str">
            <v>&lt;-- enter valid PB./Acc. # in this cell!</v>
          </cell>
          <cell r="F3192" t="str">
            <v>OK</v>
          </cell>
        </row>
        <row r="3193">
          <cell r="C3193" t="str">
            <v>&lt;-- enter valid PB./Acc. # in this cell!</v>
          </cell>
          <cell r="F3193" t="str">
            <v>OK</v>
          </cell>
        </row>
        <row r="3194">
          <cell r="C3194" t="str">
            <v>&lt;-- enter valid PB./Acc. # in this cell!</v>
          </cell>
          <cell r="F3194" t="str">
            <v>OK</v>
          </cell>
        </row>
        <row r="3195">
          <cell r="C3195" t="str">
            <v>&lt;-- enter valid PB./Acc. # in this cell!</v>
          </cell>
          <cell r="F3195" t="str">
            <v>OK</v>
          </cell>
        </row>
        <row r="3196">
          <cell r="C3196" t="str">
            <v>&lt;-- enter valid PB./Acc. # in this cell!</v>
          </cell>
          <cell r="F3196" t="str">
            <v>OK</v>
          </cell>
        </row>
        <row r="3197">
          <cell r="C3197" t="str">
            <v>&lt;-- enter valid PB./Acc. # in this cell!</v>
          </cell>
          <cell r="F3197" t="str">
            <v>OK</v>
          </cell>
        </row>
        <row r="3198">
          <cell r="C3198" t="str">
            <v>&lt;-- enter valid PB./Acc. # in this cell!</v>
          </cell>
          <cell r="F3198" t="str">
            <v>OK</v>
          </cell>
        </row>
        <row r="3199">
          <cell r="C3199" t="str">
            <v>&lt;-- enter valid PB./Acc. # in this cell!</v>
          </cell>
          <cell r="F3199" t="str">
            <v>OK</v>
          </cell>
        </row>
        <row r="3200">
          <cell r="C3200" t="str">
            <v>&lt;-- enter valid PB./Acc. # in this cell!</v>
          </cell>
          <cell r="F3200" t="str">
            <v>OK</v>
          </cell>
        </row>
        <row r="3201">
          <cell r="C3201" t="str">
            <v>&lt;-- enter valid PB./Acc. # in this cell!</v>
          </cell>
          <cell r="F3201" t="str">
            <v>OK</v>
          </cell>
        </row>
        <row r="3202">
          <cell r="C3202" t="str">
            <v>&lt;-- enter valid PB./Acc. # in this cell!</v>
          </cell>
          <cell r="F3202" t="str">
            <v>OK</v>
          </cell>
        </row>
        <row r="3203">
          <cell r="C3203" t="str">
            <v>&lt;-- enter valid PB./Acc. # in this cell!</v>
          </cell>
          <cell r="F3203" t="str">
            <v>OK</v>
          </cell>
        </row>
        <row r="3204">
          <cell r="C3204" t="str">
            <v>&lt;-- enter valid PB./Acc. # in this cell!</v>
          </cell>
          <cell r="F3204" t="str">
            <v>OK</v>
          </cell>
        </row>
        <row r="3205">
          <cell r="C3205" t="str">
            <v>&lt;-- enter valid PB./Acc. # in this cell!</v>
          </cell>
          <cell r="F3205" t="str">
            <v>OK</v>
          </cell>
        </row>
        <row r="3206">
          <cell r="C3206" t="str">
            <v>&lt;-- enter valid PB./Acc. # in this cell!</v>
          </cell>
          <cell r="F3206" t="str">
            <v>OK</v>
          </cell>
        </row>
        <row r="3207">
          <cell r="C3207" t="str">
            <v>&lt;-- enter valid PB./Acc. # in this cell!</v>
          </cell>
          <cell r="F3207" t="str">
            <v>OK</v>
          </cell>
        </row>
        <row r="3208">
          <cell r="C3208" t="str">
            <v>&lt;-- enter valid PB./Acc. # in this cell!</v>
          </cell>
          <cell r="F3208" t="str">
            <v>OK</v>
          </cell>
        </row>
        <row r="3209">
          <cell r="C3209" t="str">
            <v>&lt;-- enter valid PB./Acc. # in this cell!</v>
          </cell>
          <cell r="F3209" t="str">
            <v>OK</v>
          </cell>
        </row>
        <row r="3210">
          <cell r="C3210" t="str">
            <v>&lt;-- enter valid PB./Acc. # in this cell!</v>
          </cell>
          <cell r="F3210" t="str">
            <v>OK</v>
          </cell>
        </row>
        <row r="3211">
          <cell r="C3211" t="str">
            <v>&lt;-- enter valid PB./Acc. # in this cell!</v>
          </cell>
          <cell r="F3211" t="str">
            <v>OK</v>
          </cell>
        </row>
        <row r="3212">
          <cell r="C3212" t="str">
            <v>&lt;-- enter valid PB./Acc. # in this cell!</v>
          </cell>
          <cell r="F3212" t="str">
            <v>OK</v>
          </cell>
        </row>
        <row r="3213">
          <cell r="C3213" t="str">
            <v>&lt;-- enter valid PB./Acc. # in this cell!</v>
          </cell>
          <cell r="F3213" t="str">
            <v>OK</v>
          </cell>
        </row>
        <row r="3214">
          <cell r="C3214" t="str">
            <v>&lt;-- enter valid PB./Acc. # in this cell!</v>
          </cell>
          <cell r="F3214" t="str">
            <v>OK</v>
          </cell>
        </row>
        <row r="3215">
          <cell r="C3215" t="str">
            <v>&lt;-- enter valid PB./Acc. # in this cell!</v>
          </cell>
          <cell r="F3215" t="str">
            <v>OK</v>
          </cell>
        </row>
        <row r="3216">
          <cell r="C3216" t="str">
            <v>&lt;-- enter valid PB./Acc. # in this cell!</v>
          </cell>
          <cell r="F3216" t="str">
            <v>OK</v>
          </cell>
        </row>
        <row r="3217">
          <cell r="C3217" t="str">
            <v>&lt;-- enter valid PB./Acc. # in this cell!</v>
          </cell>
          <cell r="F3217" t="str">
            <v>OK</v>
          </cell>
        </row>
        <row r="3218">
          <cell r="C3218" t="str">
            <v>&lt;-- enter valid PB./Acc. # in this cell!</v>
          </cell>
          <cell r="F3218" t="str">
            <v>OK</v>
          </cell>
        </row>
        <row r="3219">
          <cell r="C3219" t="str">
            <v>&lt;-- enter valid PB./Acc. # in this cell!</v>
          </cell>
          <cell r="F3219" t="str">
            <v>OK</v>
          </cell>
        </row>
        <row r="3220">
          <cell r="C3220" t="str">
            <v>&lt;-- enter valid PB./Acc. # in this cell!</v>
          </cell>
          <cell r="F3220" t="str">
            <v>OK</v>
          </cell>
        </row>
        <row r="3221">
          <cell r="C3221" t="str">
            <v>&lt;-- enter valid PB./Acc. # in this cell!</v>
          </cell>
          <cell r="F3221" t="str">
            <v>OK</v>
          </cell>
        </row>
        <row r="3222">
          <cell r="C3222" t="str">
            <v>&lt;-- enter valid PB./Acc. # in this cell!</v>
          </cell>
          <cell r="F3222" t="str">
            <v>OK</v>
          </cell>
        </row>
        <row r="3223">
          <cell r="C3223" t="str">
            <v>&lt;-- enter valid PB./Acc. # in this cell!</v>
          </cell>
          <cell r="F3223" t="str">
            <v>OK</v>
          </cell>
        </row>
        <row r="3224">
          <cell r="C3224" t="str">
            <v>&lt;-- enter valid PB./Acc. # in this cell!</v>
          </cell>
          <cell r="F3224" t="str">
            <v>OK</v>
          </cell>
        </row>
        <row r="3225">
          <cell r="C3225" t="str">
            <v>&lt;-- enter valid PB./Acc. # in this cell!</v>
          </cell>
          <cell r="F3225" t="str">
            <v>OK</v>
          </cell>
        </row>
        <row r="3226">
          <cell r="C3226" t="str">
            <v>&lt;-- enter valid PB./Acc. # in this cell!</v>
          </cell>
          <cell r="F3226" t="str">
            <v>OK</v>
          </cell>
        </row>
        <row r="3227">
          <cell r="C3227" t="str">
            <v>&lt;-- enter valid PB./Acc. # in this cell!</v>
          </cell>
          <cell r="F3227" t="str">
            <v>OK</v>
          </cell>
        </row>
        <row r="3228">
          <cell r="C3228" t="str">
            <v>&lt;-- enter valid PB./Acc. # in this cell!</v>
          </cell>
          <cell r="F3228" t="str">
            <v>OK</v>
          </cell>
        </row>
        <row r="3229">
          <cell r="C3229" t="str">
            <v>&lt;-- enter valid PB./Acc. # in this cell!</v>
          </cell>
          <cell r="F3229" t="str">
            <v>OK</v>
          </cell>
        </row>
        <row r="3230">
          <cell r="C3230" t="str">
            <v>&lt;-- enter valid PB./Acc. # in this cell!</v>
          </cell>
          <cell r="F3230" t="str">
            <v>OK</v>
          </cell>
        </row>
        <row r="3231">
          <cell r="C3231" t="str">
            <v>&lt;-- enter valid PB./Acc. # in this cell!</v>
          </cell>
          <cell r="F3231" t="str">
            <v>OK</v>
          </cell>
        </row>
        <row r="3232">
          <cell r="C3232" t="str">
            <v>&lt;-- enter valid PB./Acc. # in this cell!</v>
          </cell>
          <cell r="F3232" t="str">
            <v>OK</v>
          </cell>
        </row>
        <row r="3233">
          <cell r="C3233" t="str">
            <v>&lt;-- enter valid PB./Acc. # in this cell!</v>
          </cell>
          <cell r="F3233" t="str">
            <v>OK</v>
          </cell>
        </row>
        <row r="3234">
          <cell r="C3234" t="str">
            <v>&lt;-- enter valid PB./Acc. # in this cell!</v>
          </cell>
          <cell r="F3234" t="str">
            <v>OK</v>
          </cell>
        </row>
        <row r="3235">
          <cell r="C3235" t="str">
            <v>&lt;-- enter valid PB./Acc. # in this cell!</v>
          </cell>
          <cell r="F3235" t="str">
            <v>OK</v>
          </cell>
        </row>
        <row r="3236">
          <cell r="C3236" t="str">
            <v>&lt;-- enter valid PB./Acc. # in this cell!</v>
          </cell>
          <cell r="F3236" t="str">
            <v>OK</v>
          </cell>
        </row>
        <row r="3237">
          <cell r="C3237" t="str">
            <v>&lt;-- enter valid PB./Acc. # in this cell!</v>
          </cell>
          <cell r="F3237" t="str">
            <v>OK</v>
          </cell>
        </row>
        <row r="3238">
          <cell r="C3238" t="str">
            <v>&lt;-- enter valid PB./Acc. # in this cell!</v>
          </cell>
          <cell r="F3238" t="str">
            <v>OK</v>
          </cell>
        </row>
        <row r="3239">
          <cell r="C3239" t="str">
            <v>&lt;-- enter valid PB./Acc. # in this cell!</v>
          </cell>
          <cell r="F3239" t="str">
            <v>OK</v>
          </cell>
        </row>
        <row r="3240">
          <cell r="C3240" t="str">
            <v>&lt;-- enter valid PB./Acc. # in this cell!</v>
          </cell>
          <cell r="F3240" t="str">
            <v>OK</v>
          </cell>
        </row>
        <row r="3241">
          <cell r="C3241" t="str">
            <v>&lt;-- enter valid PB./Acc. # in this cell!</v>
          </cell>
          <cell r="F3241" t="str">
            <v>OK</v>
          </cell>
        </row>
        <row r="3242">
          <cell r="C3242" t="str">
            <v>&lt;-- enter valid PB./Acc. # in this cell!</v>
          </cell>
          <cell r="F3242" t="str">
            <v>OK</v>
          </cell>
        </row>
        <row r="3243">
          <cell r="C3243" t="str">
            <v>&lt;-- enter valid PB./Acc. # in this cell!</v>
          </cell>
          <cell r="F3243" t="str">
            <v>OK</v>
          </cell>
        </row>
        <row r="3244">
          <cell r="C3244" t="str">
            <v>&lt;-- enter valid PB./Acc. # in this cell!</v>
          </cell>
          <cell r="F3244" t="str">
            <v>OK</v>
          </cell>
        </row>
        <row r="3245">
          <cell r="C3245" t="str">
            <v>&lt;-- enter valid PB./Acc. # in this cell!</v>
          </cell>
          <cell r="F3245" t="str">
            <v>OK</v>
          </cell>
        </row>
        <row r="3246">
          <cell r="C3246" t="str">
            <v>&lt;-- enter valid PB./Acc. # in this cell!</v>
          </cell>
          <cell r="F3246" t="str">
            <v>OK</v>
          </cell>
        </row>
        <row r="3247">
          <cell r="C3247" t="str">
            <v>&lt;-- enter valid PB./Acc. # in this cell!</v>
          </cell>
          <cell r="F3247" t="str">
            <v>OK</v>
          </cell>
        </row>
        <row r="3248">
          <cell r="C3248" t="str">
            <v>&lt;-- enter valid PB./Acc. # in this cell!</v>
          </cell>
          <cell r="F3248" t="str">
            <v>OK</v>
          </cell>
        </row>
        <row r="3249">
          <cell r="C3249" t="str">
            <v>&lt;-- enter valid PB./Acc. # in this cell!</v>
          </cell>
          <cell r="F3249" t="str">
            <v>OK</v>
          </cell>
        </row>
        <row r="3250">
          <cell r="C3250" t="str">
            <v>&lt;-- enter valid PB./Acc. # in this cell!</v>
          </cell>
          <cell r="F3250" t="str">
            <v>OK</v>
          </cell>
        </row>
        <row r="3251">
          <cell r="C3251" t="str">
            <v>&lt;-- enter valid PB./Acc. # in this cell!</v>
          </cell>
          <cell r="F3251" t="str">
            <v>OK</v>
          </cell>
        </row>
        <row r="3252">
          <cell r="C3252" t="str">
            <v>&lt;-- enter valid PB./Acc. # in this cell!</v>
          </cell>
          <cell r="F3252" t="str">
            <v>OK</v>
          </cell>
        </row>
        <row r="3253">
          <cell r="C3253" t="str">
            <v>&lt;-- enter valid PB./Acc. # in this cell!</v>
          </cell>
          <cell r="F3253" t="str">
            <v>OK</v>
          </cell>
        </row>
        <row r="3254">
          <cell r="C3254" t="str">
            <v>&lt;-- enter valid PB./Acc. # in this cell!</v>
          </cell>
          <cell r="F3254" t="str">
            <v>OK</v>
          </cell>
        </row>
        <row r="3255">
          <cell r="C3255" t="str">
            <v>&lt;-- enter valid PB./Acc. # in this cell!</v>
          </cell>
          <cell r="F3255" t="str">
            <v>OK</v>
          </cell>
        </row>
        <row r="3256">
          <cell r="C3256" t="str">
            <v>&lt;-- enter valid PB./Acc. # in this cell!</v>
          </cell>
          <cell r="F3256" t="str">
            <v>OK</v>
          </cell>
        </row>
        <row r="3257">
          <cell r="C3257" t="str">
            <v>&lt;-- enter valid PB./Acc. # in this cell!</v>
          </cell>
          <cell r="F3257" t="str">
            <v>OK</v>
          </cell>
        </row>
        <row r="3258">
          <cell r="C3258" t="str">
            <v>&lt;-- enter valid PB./Acc. # in this cell!</v>
          </cell>
          <cell r="F3258" t="str">
            <v>OK</v>
          </cell>
        </row>
        <row r="3259">
          <cell r="C3259" t="str">
            <v>&lt;-- enter valid PB./Acc. # in this cell!</v>
          </cell>
          <cell r="F3259" t="str">
            <v>OK</v>
          </cell>
        </row>
        <row r="3260">
          <cell r="C3260" t="str">
            <v>&lt;-- enter valid PB./Acc. # in this cell!</v>
          </cell>
          <cell r="F3260" t="str">
            <v>OK</v>
          </cell>
        </row>
        <row r="3261">
          <cell r="C3261" t="str">
            <v>&lt;-- enter valid PB./Acc. # in this cell!</v>
          </cell>
          <cell r="F3261" t="str">
            <v>OK</v>
          </cell>
        </row>
        <row r="3262">
          <cell r="C3262" t="str">
            <v>&lt;-- enter valid PB./Acc. # in this cell!</v>
          </cell>
          <cell r="F3262" t="str">
            <v>OK</v>
          </cell>
        </row>
        <row r="3263">
          <cell r="C3263" t="str">
            <v>&lt;-- enter valid PB./Acc. # in this cell!</v>
          </cell>
          <cell r="F3263" t="str">
            <v>OK</v>
          </cell>
        </row>
        <row r="3264">
          <cell r="C3264" t="str">
            <v>&lt;-- enter valid PB./Acc. # in this cell!</v>
          </cell>
          <cell r="F3264" t="str">
            <v>OK</v>
          </cell>
        </row>
        <row r="3265">
          <cell r="C3265" t="str">
            <v>&lt;-- enter valid PB./Acc. # in this cell!</v>
          </cell>
          <cell r="F3265" t="str">
            <v>OK</v>
          </cell>
        </row>
        <row r="3266">
          <cell r="C3266" t="str">
            <v>&lt;-- enter valid PB./Acc. # in this cell!</v>
          </cell>
          <cell r="F3266" t="str">
            <v>OK</v>
          </cell>
        </row>
        <row r="3267">
          <cell r="C3267" t="str">
            <v>&lt;-- enter valid PB./Acc. # in this cell!</v>
          </cell>
          <cell r="F3267" t="str">
            <v>OK</v>
          </cell>
        </row>
        <row r="3268">
          <cell r="C3268" t="str">
            <v>&lt;-- enter valid PB./Acc. # in this cell!</v>
          </cell>
          <cell r="F3268" t="str">
            <v>OK</v>
          </cell>
        </row>
        <row r="3269">
          <cell r="C3269" t="str">
            <v>&lt;-- enter valid PB./Acc. # in this cell!</v>
          </cell>
          <cell r="F3269" t="str">
            <v>OK</v>
          </cell>
        </row>
        <row r="3270">
          <cell r="C3270" t="str">
            <v>&lt;-- enter valid PB./Acc. # in this cell!</v>
          </cell>
          <cell r="F3270" t="str">
            <v>OK</v>
          </cell>
        </row>
        <row r="3271">
          <cell r="C3271" t="str">
            <v>&lt;-- enter valid PB./Acc. # in this cell!</v>
          </cell>
          <cell r="F3271" t="str">
            <v>OK</v>
          </cell>
        </row>
        <row r="3272">
          <cell r="C3272" t="str">
            <v>&lt;-- enter valid PB./Acc. # in this cell!</v>
          </cell>
          <cell r="F3272" t="str">
            <v>OK</v>
          </cell>
        </row>
        <row r="3273">
          <cell r="C3273" t="str">
            <v>&lt;-- enter valid PB./Acc. # in this cell!</v>
          </cell>
          <cell r="F3273" t="str">
            <v>OK</v>
          </cell>
        </row>
        <row r="3274">
          <cell r="C3274" t="str">
            <v>&lt;-- enter valid PB./Acc. # in this cell!</v>
          </cell>
          <cell r="F3274" t="str">
            <v>OK</v>
          </cell>
        </row>
        <row r="3275">
          <cell r="C3275" t="str">
            <v>&lt;-- enter valid PB./Acc. # in this cell!</v>
          </cell>
          <cell r="F3275" t="str">
            <v>OK</v>
          </cell>
        </row>
        <row r="3276">
          <cell r="C3276" t="str">
            <v>&lt;-- enter valid PB./Acc. # in this cell!</v>
          </cell>
          <cell r="F3276" t="str">
            <v>OK</v>
          </cell>
        </row>
        <row r="3277">
          <cell r="C3277" t="str">
            <v>&lt;-- enter valid PB./Acc. # in this cell!</v>
          </cell>
          <cell r="F3277" t="str">
            <v>OK</v>
          </cell>
        </row>
        <row r="3278">
          <cell r="C3278" t="str">
            <v>&lt;-- enter valid PB./Acc. # in this cell!</v>
          </cell>
          <cell r="F3278" t="str">
            <v>OK</v>
          </cell>
        </row>
        <row r="3279">
          <cell r="C3279" t="str">
            <v>&lt;-- enter valid PB./Acc. # in this cell!</v>
          </cell>
          <cell r="F3279" t="str">
            <v>OK</v>
          </cell>
        </row>
        <row r="3280">
          <cell r="C3280" t="str">
            <v>&lt;-- enter valid PB./Acc. # in this cell!</v>
          </cell>
          <cell r="F3280" t="str">
            <v>OK</v>
          </cell>
        </row>
        <row r="3281">
          <cell r="C3281" t="str">
            <v>&lt;-- enter valid PB./Acc. # in this cell!</v>
          </cell>
          <cell r="F3281" t="str">
            <v>OK</v>
          </cell>
        </row>
        <row r="3282">
          <cell r="C3282" t="str">
            <v>&lt;-- enter valid PB./Acc. # in this cell!</v>
          </cell>
          <cell r="F3282" t="str">
            <v>OK</v>
          </cell>
        </row>
        <row r="3283">
          <cell r="C3283" t="str">
            <v>&lt;-- enter valid PB./Acc. # in this cell!</v>
          </cell>
          <cell r="F3283" t="str">
            <v>OK</v>
          </cell>
        </row>
        <row r="3284">
          <cell r="C3284" t="str">
            <v>&lt;-- enter valid PB./Acc. # in this cell!</v>
          </cell>
          <cell r="F3284" t="str">
            <v>OK</v>
          </cell>
        </row>
        <row r="3285">
          <cell r="C3285" t="str">
            <v>&lt;-- enter valid PB./Acc. # in this cell!</v>
          </cell>
          <cell r="F3285" t="str">
            <v>OK</v>
          </cell>
        </row>
        <row r="3286">
          <cell r="C3286" t="str">
            <v>&lt;-- enter valid PB./Acc. # in this cell!</v>
          </cell>
          <cell r="F3286" t="str">
            <v>OK</v>
          </cell>
        </row>
        <row r="3287">
          <cell r="C3287" t="str">
            <v>&lt;-- enter valid PB./Acc. # in this cell!</v>
          </cell>
          <cell r="F3287" t="str">
            <v>OK</v>
          </cell>
        </row>
        <row r="3288">
          <cell r="C3288" t="str">
            <v>&lt;-- enter valid PB./Acc. # in this cell!</v>
          </cell>
          <cell r="F3288" t="str">
            <v>OK</v>
          </cell>
        </row>
        <row r="3289">
          <cell r="C3289" t="str">
            <v>&lt;-- enter valid PB./Acc. # in this cell!</v>
          </cell>
          <cell r="F3289" t="str">
            <v>OK</v>
          </cell>
        </row>
        <row r="3290">
          <cell r="C3290" t="str">
            <v>&lt;-- enter valid PB./Acc. # in this cell!</v>
          </cell>
          <cell r="F3290" t="str">
            <v>OK</v>
          </cell>
        </row>
        <row r="3291">
          <cell r="C3291" t="str">
            <v>&lt;-- enter valid PB./Acc. # in this cell!</v>
          </cell>
          <cell r="F3291" t="str">
            <v>OK</v>
          </cell>
        </row>
        <row r="3292">
          <cell r="C3292" t="str">
            <v>&lt;-- enter valid PB./Acc. # in this cell!</v>
          </cell>
          <cell r="F3292" t="str">
            <v>OK</v>
          </cell>
        </row>
        <row r="3293">
          <cell r="C3293" t="str">
            <v>&lt;-- enter valid PB./Acc. # in this cell!</v>
          </cell>
          <cell r="F3293" t="str">
            <v>OK</v>
          </cell>
        </row>
        <row r="3294">
          <cell r="C3294" t="str">
            <v>&lt;-- enter valid PB./Acc. # in this cell!</v>
          </cell>
          <cell r="F3294" t="str">
            <v>OK</v>
          </cell>
        </row>
        <row r="3295">
          <cell r="C3295" t="str">
            <v>&lt;-- enter valid PB./Acc. # in this cell!</v>
          </cell>
          <cell r="F3295" t="str">
            <v>OK</v>
          </cell>
        </row>
        <row r="3296">
          <cell r="C3296" t="str">
            <v>&lt;-- enter valid PB./Acc. # in this cell!</v>
          </cell>
          <cell r="F3296" t="str">
            <v>OK</v>
          </cell>
        </row>
        <row r="3297">
          <cell r="C3297" t="str">
            <v>&lt;-- enter valid PB./Acc. # in this cell!</v>
          </cell>
          <cell r="F3297" t="str">
            <v>OK</v>
          </cell>
        </row>
        <row r="3298">
          <cell r="C3298" t="str">
            <v>&lt;-- enter valid PB./Acc. # in this cell!</v>
          </cell>
          <cell r="F3298" t="str">
            <v>OK</v>
          </cell>
        </row>
        <row r="3299">
          <cell r="C3299" t="str">
            <v>&lt;-- enter valid PB./Acc. # in this cell!</v>
          </cell>
          <cell r="F3299" t="str">
            <v>OK</v>
          </cell>
        </row>
        <row r="3300">
          <cell r="A3300" t="str">
            <v>Total Balances of May 2016</v>
          </cell>
          <cell r="F3300" t="str">
            <v>OK</v>
          </cell>
          <cell r="G3300">
            <v>0</v>
          </cell>
          <cell r="H3300">
            <v>0</v>
          </cell>
          <cell r="I3300">
            <v>0</v>
          </cell>
          <cell r="J3300">
            <v>0</v>
          </cell>
          <cell r="K3300">
            <v>0</v>
          </cell>
          <cell r="L3300">
            <v>0</v>
          </cell>
          <cell r="M3300">
            <v>0</v>
          </cell>
          <cell r="N3300">
            <v>0</v>
          </cell>
          <cell r="O3300">
            <v>0</v>
          </cell>
          <cell r="P3300">
            <v>0</v>
          </cell>
          <cell r="Q3300">
            <v>0</v>
          </cell>
          <cell r="R3300">
            <v>0</v>
          </cell>
          <cell r="S3300">
            <v>0</v>
          </cell>
          <cell r="T3300">
            <v>0</v>
          </cell>
          <cell r="AQ3300">
            <v>0</v>
          </cell>
        </row>
        <row r="3301">
          <cell r="A3301">
            <v>42551</v>
          </cell>
        </row>
        <row r="3302">
          <cell r="C3302" t="str">
            <v>&lt;-- enter valid PB./Acc. # in this cell!</v>
          </cell>
          <cell r="F3302" t="str">
            <v>OK</v>
          </cell>
        </row>
        <row r="3303">
          <cell r="C3303" t="str">
            <v>&lt;-- enter valid PB./Acc. # in this cell!</v>
          </cell>
          <cell r="F3303" t="str">
            <v>OK</v>
          </cell>
        </row>
        <row r="3304">
          <cell r="C3304" t="str">
            <v>&lt;-- enter valid PB./Acc. # in this cell!</v>
          </cell>
          <cell r="F3304" t="str">
            <v>OK</v>
          </cell>
        </row>
        <row r="3305">
          <cell r="C3305" t="str">
            <v>&lt;-- enter valid PB./Acc. # in this cell!</v>
          </cell>
          <cell r="F3305" t="str">
            <v>OK</v>
          </cell>
        </row>
        <row r="3306">
          <cell r="C3306" t="str">
            <v>&lt;-- enter valid PB./Acc. # in this cell!</v>
          </cell>
          <cell r="F3306" t="str">
            <v>OK</v>
          </cell>
        </row>
        <row r="3307">
          <cell r="C3307" t="str">
            <v>&lt;-- enter valid PB./Acc. # in this cell!</v>
          </cell>
          <cell r="F3307" t="str">
            <v>OK</v>
          </cell>
        </row>
        <row r="3308">
          <cell r="C3308" t="str">
            <v>&lt;-- enter valid PB./Acc. # in this cell!</v>
          </cell>
          <cell r="F3308" t="str">
            <v>OK</v>
          </cell>
        </row>
        <row r="3309">
          <cell r="C3309" t="str">
            <v>&lt;-- enter valid PB./Acc. # in this cell!</v>
          </cell>
          <cell r="F3309" t="str">
            <v>OK</v>
          </cell>
        </row>
        <row r="3310">
          <cell r="C3310" t="str">
            <v>&lt;-- enter valid PB./Acc. # in this cell!</v>
          </cell>
          <cell r="F3310" t="str">
            <v>OK</v>
          </cell>
        </row>
        <row r="3311">
          <cell r="C3311" t="str">
            <v>&lt;-- enter valid PB./Acc. # in this cell!</v>
          </cell>
          <cell r="F3311" t="str">
            <v>OK</v>
          </cell>
        </row>
        <row r="3312">
          <cell r="C3312" t="str">
            <v>&lt;-- enter valid PB./Acc. # in this cell!</v>
          </cell>
          <cell r="F3312" t="str">
            <v>OK</v>
          </cell>
        </row>
        <row r="3313">
          <cell r="C3313" t="str">
            <v>&lt;-- enter valid PB./Acc. # in this cell!</v>
          </cell>
          <cell r="F3313" t="str">
            <v>OK</v>
          </cell>
        </row>
        <row r="3314">
          <cell r="C3314" t="str">
            <v>&lt;-- enter valid PB./Acc. # in this cell!</v>
          </cell>
          <cell r="F3314" t="str">
            <v>OK</v>
          </cell>
        </row>
        <row r="3315">
          <cell r="C3315" t="str">
            <v>&lt;-- enter valid PB./Acc. # in this cell!</v>
          </cell>
          <cell r="F3315" t="str">
            <v>OK</v>
          </cell>
        </row>
        <row r="3316">
          <cell r="C3316" t="str">
            <v>&lt;-- enter valid PB./Acc. # in this cell!</v>
          </cell>
          <cell r="F3316" t="str">
            <v>OK</v>
          </cell>
        </row>
        <row r="3317">
          <cell r="C3317" t="str">
            <v>&lt;-- enter valid PB./Acc. # in this cell!</v>
          </cell>
          <cell r="F3317" t="str">
            <v>OK</v>
          </cell>
        </row>
        <row r="3318">
          <cell r="C3318" t="str">
            <v>&lt;-- enter valid PB./Acc. # in this cell!</v>
          </cell>
          <cell r="F3318" t="str">
            <v>OK</v>
          </cell>
        </row>
        <row r="3319">
          <cell r="C3319" t="str">
            <v>&lt;-- enter valid PB./Acc. # in this cell!</v>
          </cell>
          <cell r="F3319" t="str">
            <v>OK</v>
          </cell>
        </row>
        <row r="3320">
          <cell r="C3320" t="str">
            <v>&lt;-- enter valid PB./Acc. # in this cell!</v>
          </cell>
          <cell r="F3320" t="str">
            <v>OK</v>
          </cell>
        </row>
        <row r="3321">
          <cell r="C3321" t="str">
            <v>&lt;-- enter valid PB./Acc. # in this cell!</v>
          </cell>
          <cell r="F3321" t="str">
            <v>OK</v>
          </cell>
        </row>
        <row r="3322">
          <cell r="C3322" t="str">
            <v>&lt;-- enter valid PB./Acc. # in this cell!</v>
          </cell>
          <cell r="F3322" t="str">
            <v>OK</v>
          </cell>
        </row>
        <row r="3323">
          <cell r="C3323" t="str">
            <v>&lt;-- enter valid PB./Acc. # in this cell!</v>
          </cell>
          <cell r="F3323" t="str">
            <v>OK</v>
          </cell>
        </row>
        <row r="3324">
          <cell r="C3324" t="str">
            <v>&lt;-- enter valid PB./Acc. # in this cell!</v>
          </cell>
          <cell r="F3324" t="str">
            <v>OK</v>
          </cell>
        </row>
        <row r="3325">
          <cell r="C3325" t="str">
            <v>&lt;-- enter valid PB./Acc. # in this cell!</v>
          </cell>
          <cell r="F3325" t="str">
            <v>OK</v>
          </cell>
        </row>
        <row r="3326">
          <cell r="C3326" t="str">
            <v>&lt;-- enter valid PB./Acc. # in this cell!</v>
          </cell>
          <cell r="F3326" t="str">
            <v>OK</v>
          </cell>
        </row>
        <row r="3327">
          <cell r="C3327" t="str">
            <v>&lt;-- enter valid PB./Acc. # in this cell!</v>
          </cell>
          <cell r="F3327" t="str">
            <v>OK</v>
          </cell>
        </row>
        <row r="3328">
          <cell r="C3328" t="str">
            <v>&lt;-- enter valid PB./Acc. # in this cell!</v>
          </cell>
          <cell r="F3328" t="str">
            <v>OK</v>
          </cell>
        </row>
        <row r="3329">
          <cell r="C3329" t="str">
            <v>&lt;-- enter valid PB./Acc. # in this cell!</v>
          </cell>
          <cell r="F3329" t="str">
            <v>OK</v>
          </cell>
        </row>
        <row r="3330">
          <cell r="C3330" t="str">
            <v>&lt;-- enter valid PB./Acc. # in this cell!</v>
          </cell>
          <cell r="F3330" t="str">
            <v>OK</v>
          </cell>
        </row>
        <row r="3331">
          <cell r="C3331" t="str">
            <v>&lt;-- enter valid PB./Acc. # in this cell!</v>
          </cell>
          <cell r="F3331" t="str">
            <v>OK</v>
          </cell>
        </row>
        <row r="3332">
          <cell r="C3332" t="str">
            <v>&lt;-- enter valid PB./Acc. # in this cell!</v>
          </cell>
          <cell r="F3332" t="str">
            <v>OK</v>
          </cell>
        </row>
        <row r="3333">
          <cell r="C3333" t="str">
            <v>&lt;-- enter valid PB./Acc. # in this cell!</v>
          </cell>
          <cell r="F3333" t="str">
            <v>OK</v>
          </cell>
        </row>
        <row r="3334">
          <cell r="C3334" t="str">
            <v>&lt;-- enter valid PB./Acc. # in this cell!</v>
          </cell>
          <cell r="F3334" t="str">
            <v>OK</v>
          </cell>
        </row>
        <row r="3335">
          <cell r="C3335" t="str">
            <v>&lt;-- enter valid PB./Acc. # in this cell!</v>
          </cell>
          <cell r="F3335" t="str">
            <v>OK</v>
          </cell>
        </row>
        <row r="3336">
          <cell r="C3336" t="str">
            <v>&lt;-- enter valid PB./Acc. # in this cell!</v>
          </cell>
          <cell r="F3336" t="str">
            <v>OK</v>
          </cell>
        </row>
        <row r="3337">
          <cell r="C3337" t="str">
            <v>&lt;-- enter valid PB./Acc. # in this cell!</v>
          </cell>
          <cell r="F3337" t="str">
            <v>OK</v>
          </cell>
        </row>
        <row r="3338">
          <cell r="C3338" t="str">
            <v>&lt;-- enter valid PB./Acc. # in this cell!</v>
          </cell>
          <cell r="F3338" t="str">
            <v>OK</v>
          </cell>
        </row>
        <row r="3339">
          <cell r="C3339" t="str">
            <v>&lt;-- enter valid PB./Acc. # in this cell!</v>
          </cell>
          <cell r="F3339" t="str">
            <v>OK</v>
          </cell>
        </row>
        <row r="3340">
          <cell r="C3340" t="str">
            <v>&lt;-- enter valid PB./Acc. # in this cell!</v>
          </cell>
          <cell r="F3340" t="str">
            <v>OK</v>
          </cell>
        </row>
        <row r="3341">
          <cell r="C3341" t="str">
            <v>&lt;-- enter valid PB./Acc. # in this cell!</v>
          </cell>
          <cell r="F3341" t="str">
            <v>OK</v>
          </cell>
        </row>
        <row r="3342">
          <cell r="C3342" t="str">
            <v>&lt;-- enter valid PB./Acc. # in this cell!</v>
          </cell>
          <cell r="F3342" t="str">
            <v>OK</v>
          </cell>
        </row>
        <row r="3343">
          <cell r="C3343" t="str">
            <v>&lt;-- enter valid PB./Acc. # in this cell!</v>
          </cell>
          <cell r="F3343" t="str">
            <v>OK</v>
          </cell>
        </row>
        <row r="3344">
          <cell r="C3344" t="str">
            <v>&lt;-- enter valid PB./Acc. # in this cell!</v>
          </cell>
          <cell r="F3344" t="str">
            <v>OK</v>
          </cell>
        </row>
        <row r="3345">
          <cell r="C3345" t="str">
            <v>&lt;-- enter valid PB./Acc. # in this cell!</v>
          </cell>
          <cell r="F3345" t="str">
            <v>OK</v>
          </cell>
        </row>
        <row r="3346">
          <cell r="C3346" t="str">
            <v>&lt;-- enter valid PB./Acc. # in this cell!</v>
          </cell>
          <cell r="F3346" t="str">
            <v>OK</v>
          </cell>
        </row>
        <row r="3347">
          <cell r="C3347" t="str">
            <v>&lt;-- enter valid PB./Acc. # in this cell!</v>
          </cell>
          <cell r="F3347" t="str">
            <v>OK</v>
          </cell>
        </row>
        <row r="3348">
          <cell r="C3348" t="str">
            <v>&lt;-- enter valid PB./Acc. # in this cell!</v>
          </cell>
          <cell r="F3348" t="str">
            <v>OK</v>
          </cell>
        </row>
        <row r="3349">
          <cell r="C3349" t="str">
            <v>&lt;-- enter valid PB./Acc. # in this cell!</v>
          </cell>
          <cell r="F3349" t="str">
            <v>OK</v>
          </cell>
        </row>
        <row r="3350">
          <cell r="C3350" t="str">
            <v>&lt;-- enter valid PB./Acc. # in this cell!</v>
          </cell>
          <cell r="F3350" t="str">
            <v>OK</v>
          </cell>
        </row>
        <row r="3351">
          <cell r="C3351" t="str">
            <v>&lt;-- enter valid PB./Acc. # in this cell!</v>
          </cell>
          <cell r="F3351" t="str">
            <v>OK</v>
          </cell>
        </row>
        <row r="3352">
          <cell r="C3352" t="str">
            <v>&lt;-- enter valid PB./Acc. # in this cell!</v>
          </cell>
          <cell r="F3352" t="str">
            <v>OK</v>
          </cell>
        </row>
        <row r="3353">
          <cell r="C3353" t="str">
            <v>&lt;-- enter valid PB./Acc. # in this cell!</v>
          </cell>
          <cell r="F3353" t="str">
            <v>OK</v>
          </cell>
        </row>
        <row r="3354">
          <cell r="C3354" t="str">
            <v>&lt;-- enter valid PB./Acc. # in this cell!</v>
          </cell>
          <cell r="F3354" t="str">
            <v>OK</v>
          </cell>
        </row>
        <row r="3355">
          <cell r="C3355" t="str">
            <v>&lt;-- enter valid PB./Acc. # in this cell!</v>
          </cell>
          <cell r="F3355" t="str">
            <v>OK</v>
          </cell>
        </row>
        <row r="3356">
          <cell r="C3356" t="str">
            <v>&lt;-- enter valid PB./Acc. # in this cell!</v>
          </cell>
          <cell r="F3356" t="str">
            <v>OK</v>
          </cell>
        </row>
        <row r="3357">
          <cell r="C3357" t="str">
            <v>&lt;-- enter valid PB./Acc. # in this cell!</v>
          </cell>
          <cell r="F3357" t="str">
            <v>OK</v>
          </cell>
        </row>
        <row r="3358">
          <cell r="C3358" t="str">
            <v>&lt;-- enter valid PB./Acc. # in this cell!</v>
          </cell>
          <cell r="F3358" t="str">
            <v>OK</v>
          </cell>
        </row>
        <row r="3359">
          <cell r="C3359" t="str">
            <v>&lt;-- enter valid PB./Acc. # in this cell!</v>
          </cell>
          <cell r="F3359" t="str">
            <v>OK</v>
          </cell>
        </row>
        <row r="3360">
          <cell r="C3360" t="str">
            <v>&lt;-- enter valid PB./Acc. # in this cell!</v>
          </cell>
          <cell r="F3360" t="str">
            <v>OK</v>
          </cell>
        </row>
        <row r="3361">
          <cell r="C3361" t="str">
            <v>&lt;-- enter valid PB./Acc. # in this cell!</v>
          </cell>
          <cell r="F3361" t="str">
            <v>OK</v>
          </cell>
        </row>
        <row r="3362">
          <cell r="C3362" t="str">
            <v>&lt;-- enter valid PB./Acc. # in this cell!</v>
          </cell>
          <cell r="F3362" t="str">
            <v>OK</v>
          </cell>
        </row>
        <row r="3363">
          <cell r="C3363" t="str">
            <v>&lt;-- enter valid PB./Acc. # in this cell!</v>
          </cell>
          <cell r="F3363" t="str">
            <v>OK</v>
          </cell>
        </row>
        <row r="3364">
          <cell r="C3364" t="str">
            <v>&lt;-- enter valid PB./Acc. # in this cell!</v>
          </cell>
          <cell r="F3364" t="str">
            <v>OK</v>
          </cell>
        </row>
        <row r="3365">
          <cell r="C3365" t="str">
            <v>&lt;-- enter valid PB./Acc. # in this cell!</v>
          </cell>
          <cell r="F3365" t="str">
            <v>OK</v>
          </cell>
        </row>
        <row r="3366">
          <cell r="C3366" t="str">
            <v>&lt;-- enter valid PB./Acc. # in this cell!</v>
          </cell>
          <cell r="F3366" t="str">
            <v>OK</v>
          </cell>
        </row>
        <row r="3367">
          <cell r="C3367" t="str">
            <v>&lt;-- enter valid PB./Acc. # in this cell!</v>
          </cell>
          <cell r="F3367" t="str">
            <v>OK</v>
          </cell>
        </row>
        <row r="3368">
          <cell r="C3368" t="str">
            <v>&lt;-- enter valid PB./Acc. # in this cell!</v>
          </cell>
          <cell r="F3368" t="str">
            <v>OK</v>
          </cell>
        </row>
        <row r="3369">
          <cell r="C3369" t="str">
            <v>&lt;-- enter valid PB./Acc. # in this cell!</v>
          </cell>
          <cell r="F3369" t="str">
            <v>OK</v>
          </cell>
        </row>
        <row r="3370">
          <cell r="C3370" t="str">
            <v>&lt;-- enter valid PB./Acc. # in this cell!</v>
          </cell>
          <cell r="F3370" t="str">
            <v>OK</v>
          </cell>
        </row>
        <row r="3371">
          <cell r="C3371" t="str">
            <v>&lt;-- enter valid PB./Acc. # in this cell!</v>
          </cell>
          <cell r="F3371" t="str">
            <v>OK</v>
          </cell>
        </row>
        <row r="3372">
          <cell r="C3372" t="str">
            <v>&lt;-- enter valid PB./Acc. # in this cell!</v>
          </cell>
          <cell r="F3372" t="str">
            <v>OK</v>
          </cell>
        </row>
        <row r="3373">
          <cell r="C3373" t="str">
            <v>&lt;-- enter valid PB./Acc. # in this cell!</v>
          </cell>
          <cell r="F3373" t="str">
            <v>OK</v>
          </cell>
        </row>
        <row r="3374">
          <cell r="C3374" t="str">
            <v>&lt;-- enter valid PB./Acc. # in this cell!</v>
          </cell>
          <cell r="F3374" t="str">
            <v>OK</v>
          </cell>
        </row>
        <row r="3375">
          <cell r="C3375" t="str">
            <v>&lt;-- enter valid PB./Acc. # in this cell!</v>
          </cell>
          <cell r="F3375" t="str">
            <v>OK</v>
          </cell>
        </row>
        <row r="3376">
          <cell r="C3376" t="str">
            <v>&lt;-- enter valid PB./Acc. # in this cell!</v>
          </cell>
          <cell r="F3376" t="str">
            <v>OK</v>
          </cell>
        </row>
        <row r="3377">
          <cell r="C3377" t="str">
            <v>&lt;-- enter valid PB./Acc. # in this cell!</v>
          </cell>
          <cell r="F3377" t="str">
            <v>OK</v>
          </cell>
        </row>
        <row r="3378">
          <cell r="C3378" t="str">
            <v>&lt;-- enter valid PB./Acc. # in this cell!</v>
          </cell>
          <cell r="F3378" t="str">
            <v>OK</v>
          </cell>
        </row>
        <row r="3379">
          <cell r="C3379" t="str">
            <v>&lt;-- enter valid PB./Acc. # in this cell!</v>
          </cell>
          <cell r="F3379" t="str">
            <v>OK</v>
          </cell>
        </row>
        <row r="3380">
          <cell r="C3380" t="str">
            <v>&lt;-- enter valid PB./Acc. # in this cell!</v>
          </cell>
          <cell r="F3380" t="str">
            <v>OK</v>
          </cell>
        </row>
        <row r="3381">
          <cell r="C3381" t="str">
            <v>&lt;-- enter valid PB./Acc. # in this cell!</v>
          </cell>
          <cell r="F3381" t="str">
            <v>OK</v>
          </cell>
        </row>
        <row r="3382">
          <cell r="C3382" t="str">
            <v>&lt;-- enter valid PB./Acc. # in this cell!</v>
          </cell>
          <cell r="F3382" t="str">
            <v>OK</v>
          </cell>
        </row>
        <row r="3383">
          <cell r="C3383" t="str">
            <v>&lt;-- enter valid PB./Acc. # in this cell!</v>
          </cell>
          <cell r="F3383" t="str">
            <v>OK</v>
          </cell>
        </row>
        <row r="3384">
          <cell r="C3384" t="str">
            <v>&lt;-- enter valid PB./Acc. # in this cell!</v>
          </cell>
          <cell r="F3384" t="str">
            <v>OK</v>
          </cell>
        </row>
        <row r="3385">
          <cell r="C3385" t="str">
            <v>&lt;-- enter valid PB./Acc. # in this cell!</v>
          </cell>
          <cell r="F3385" t="str">
            <v>OK</v>
          </cell>
        </row>
        <row r="3386">
          <cell r="C3386" t="str">
            <v>&lt;-- enter valid PB./Acc. # in this cell!</v>
          </cell>
          <cell r="F3386" t="str">
            <v>OK</v>
          </cell>
        </row>
        <row r="3387">
          <cell r="C3387" t="str">
            <v>&lt;-- enter valid PB./Acc. # in this cell!</v>
          </cell>
          <cell r="F3387" t="str">
            <v>OK</v>
          </cell>
        </row>
        <row r="3388">
          <cell r="C3388" t="str">
            <v>&lt;-- enter valid PB./Acc. # in this cell!</v>
          </cell>
          <cell r="F3388" t="str">
            <v>OK</v>
          </cell>
        </row>
        <row r="3389">
          <cell r="C3389" t="str">
            <v>&lt;-- enter valid PB./Acc. # in this cell!</v>
          </cell>
          <cell r="F3389" t="str">
            <v>OK</v>
          </cell>
        </row>
        <row r="3390">
          <cell r="C3390" t="str">
            <v>&lt;-- enter valid PB./Acc. # in this cell!</v>
          </cell>
          <cell r="F3390" t="str">
            <v>OK</v>
          </cell>
        </row>
        <row r="3391">
          <cell r="C3391" t="str">
            <v>&lt;-- enter valid PB./Acc. # in this cell!</v>
          </cell>
          <cell r="F3391" t="str">
            <v>OK</v>
          </cell>
        </row>
        <row r="3392">
          <cell r="C3392" t="str">
            <v>&lt;-- enter valid PB./Acc. # in this cell!</v>
          </cell>
          <cell r="F3392" t="str">
            <v>OK</v>
          </cell>
        </row>
        <row r="3393">
          <cell r="C3393" t="str">
            <v>&lt;-- enter valid PB./Acc. # in this cell!</v>
          </cell>
          <cell r="F3393" t="str">
            <v>OK</v>
          </cell>
        </row>
        <row r="3394">
          <cell r="C3394" t="str">
            <v>&lt;-- enter valid PB./Acc. # in this cell!</v>
          </cell>
          <cell r="F3394" t="str">
            <v>OK</v>
          </cell>
        </row>
        <row r="3395">
          <cell r="C3395" t="str">
            <v>&lt;-- enter valid PB./Acc. # in this cell!</v>
          </cell>
          <cell r="F3395" t="str">
            <v>OK</v>
          </cell>
        </row>
        <row r="3396">
          <cell r="C3396" t="str">
            <v>&lt;-- enter valid PB./Acc. # in this cell!</v>
          </cell>
          <cell r="F3396" t="str">
            <v>OK</v>
          </cell>
        </row>
        <row r="3397">
          <cell r="C3397" t="str">
            <v>&lt;-- enter valid PB./Acc. # in this cell!</v>
          </cell>
          <cell r="F3397" t="str">
            <v>OK</v>
          </cell>
        </row>
        <row r="3398">
          <cell r="C3398" t="str">
            <v>&lt;-- enter valid PB./Acc. # in this cell!</v>
          </cell>
          <cell r="F3398" t="str">
            <v>OK</v>
          </cell>
        </row>
        <row r="3399">
          <cell r="C3399" t="str">
            <v>&lt;-- enter valid PB./Acc. # in this cell!</v>
          </cell>
          <cell r="F3399" t="str">
            <v>OK</v>
          </cell>
        </row>
        <row r="3400">
          <cell r="C3400" t="str">
            <v>&lt;-- enter valid PB./Acc. # in this cell!</v>
          </cell>
          <cell r="F3400" t="str">
            <v>OK</v>
          </cell>
        </row>
        <row r="3401">
          <cell r="C3401" t="str">
            <v>&lt;-- enter valid PB./Acc. # in this cell!</v>
          </cell>
          <cell r="F3401" t="str">
            <v>OK</v>
          </cell>
        </row>
        <row r="3402">
          <cell r="C3402" t="str">
            <v>&lt;-- enter valid PB./Acc. # in this cell!</v>
          </cell>
          <cell r="F3402" t="str">
            <v>OK</v>
          </cell>
        </row>
        <row r="3403">
          <cell r="C3403" t="str">
            <v>&lt;-- enter valid PB./Acc. # in this cell!</v>
          </cell>
          <cell r="F3403" t="str">
            <v>OK</v>
          </cell>
        </row>
        <row r="3404">
          <cell r="C3404" t="str">
            <v>&lt;-- enter valid PB./Acc. # in this cell!</v>
          </cell>
          <cell r="F3404" t="str">
            <v>OK</v>
          </cell>
        </row>
        <row r="3405">
          <cell r="C3405" t="str">
            <v>&lt;-- enter valid PB./Acc. # in this cell!</v>
          </cell>
          <cell r="F3405" t="str">
            <v>OK</v>
          </cell>
        </row>
        <row r="3406">
          <cell r="C3406" t="str">
            <v>&lt;-- enter valid PB./Acc. # in this cell!</v>
          </cell>
          <cell r="F3406" t="str">
            <v>OK</v>
          </cell>
        </row>
        <row r="3407">
          <cell r="C3407" t="str">
            <v>&lt;-- enter valid PB./Acc. # in this cell!</v>
          </cell>
          <cell r="F3407" t="str">
            <v>OK</v>
          </cell>
        </row>
        <row r="3408">
          <cell r="C3408" t="str">
            <v>&lt;-- enter valid PB./Acc. # in this cell!</v>
          </cell>
          <cell r="F3408" t="str">
            <v>OK</v>
          </cell>
        </row>
        <row r="3409">
          <cell r="C3409" t="str">
            <v>&lt;-- enter valid PB./Acc. # in this cell!</v>
          </cell>
          <cell r="F3409" t="str">
            <v>OK</v>
          </cell>
        </row>
        <row r="3410">
          <cell r="C3410" t="str">
            <v>&lt;-- enter valid PB./Acc. # in this cell!</v>
          </cell>
          <cell r="F3410" t="str">
            <v>OK</v>
          </cell>
        </row>
        <row r="3411">
          <cell r="C3411" t="str">
            <v>&lt;-- enter valid PB./Acc. # in this cell!</v>
          </cell>
          <cell r="F3411" t="str">
            <v>OK</v>
          </cell>
        </row>
        <row r="3412">
          <cell r="C3412" t="str">
            <v>&lt;-- enter valid PB./Acc. # in this cell!</v>
          </cell>
          <cell r="F3412" t="str">
            <v>OK</v>
          </cell>
        </row>
        <row r="3413">
          <cell r="C3413" t="str">
            <v>&lt;-- enter valid PB./Acc. # in this cell!</v>
          </cell>
          <cell r="F3413" t="str">
            <v>OK</v>
          </cell>
        </row>
        <row r="3414">
          <cell r="C3414" t="str">
            <v>&lt;-- enter valid PB./Acc. # in this cell!</v>
          </cell>
          <cell r="F3414" t="str">
            <v>OK</v>
          </cell>
        </row>
        <row r="3415">
          <cell r="C3415" t="str">
            <v>&lt;-- enter valid PB./Acc. # in this cell!</v>
          </cell>
          <cell r="F3415" t="str">
            <v>OK</v>
          </cell>
        </row>
        <row r="3416">
          <cell r="C3416" t="str">
            <v>&lt;-- enter valid PB./Acc. # in this cell!</v>
          </cell>
          <cell r="F3416" t="str">
            <v>OK</v>
          </cell>
        </row>
        <row r="3417">
          <cell r="C3417" t="str">
            <v>&lt;-- enter valid PB./Acc. # in this cell!</v>
          </cell>
          <cell r="F3417" t="str">
            <v>OK</v>
          </cell>
        </row>
        <row r="3418">
          <cell r="C3418" t="str">
            <v>&lt;-- enter valid PB./Acc. # in this cell!</v>
          </cell>
          <cell r="F3418" t="str">
            <v>OK</v>
          </cell>
        </row>
        <row r="3419">
          <cell r="C3419" t="str">
            <v>&lt;-- enter valid PB./Acc. # in this cell!</v>
          </cell>
          <cell r="F3419" t="str">
            <v>OK</v>
          </cell>
        </row>
        <row r="3420">
          <cell r="C3420" t="str">
            <v>&lt;-- enter valid PB./Acc. # in this cell!</v>
          </cell>
          <cell r="F3420" t="str">
            <v>OK</v>
          </cell>
        </row>
        <row r="3421">
          <cell r="C3421" t="str">
            <v>&lt;-- enter valid PB./Acc. # in this cell!</v>
          </cell>
          <cell r="F3421" t="str">
            <v>OK</v>
          </cell>
        </row>
        <row r="3422">
          <cell r="C3422" t="str">
            <v>&lt;-- enter valid PB./Acc. # in this cell!</v>
          </cell>
          <cell r="F3422" t="str">
            <v>OK</v>
          </cell>
        </row>
        <row r="3423">
          <cell r="C3423" t="str">
            <v>&lt;-- enter valid PB./Acc. # in this cell!</v>
          </cell>
          <cell r="F3423" t="str">
            <v>OK</v>
          </cell>
        </row>
        <row r="3424">
          <cell r="C3424" t="str">
            <v>&lt;-- enter valid PB./Acc. # in this cell!</v>
          </cell>
          <cell r="F3424" t="str">
            <v>OK</v>
          </cell>
        </row>
        <row r="3425">
          <cell r="C3425" t="str">
            <v>&lt;-- enter valid PB./Acc. # in this cell!</v>
          </cell>
          <cell r="F3425" t="str">
            <v>OK</v>
          </cell>
        </row>
        <row r="3426">
          <cell r="C3426" t="str">
            <v>&lt;-- enter valid PB./Acc. # in this cell!</v>
          </cell>
          <cell r="F3426" t="str">
            <v>OK</v>
          </cell>
        </row>
        <row r="3427">
          <cell r="C3427" t="str">
            <v>&lt;-- enter valid PB./Acc. # in this cell!</v>
          </cell>
          <cell r="F3427" t="str">
            <v>OK</v>
          </cell>
        </row>
        <row r="3428">
          <cell r="C3428" t="str">
            <v>&lt;-- enter valid PB./Acc. # in this cell!</v>
          </cell>
          <cell r="F3428" t="str">
            <v>OK</v>
          </cell>
        </row>
        <row r="3429">
          <cell r="C3429" t="str">
            <v>&lt;-- enter valid PB./Acc. # in this cell!</v>
          </cell>
          <cell r="F3429" t="str">
            <v>OK</v>
          </cell>
        </row>
        <row r="3430">
          <cell r="C3430" t="str">
            <v>&lt;-- enter valid PB./Acc. # in this cell!</v>
          </cell>
          <cell r="F3430" t="str">
            <v>OK</v>
          </cell>
        </row>
        <row r="3431">
          <cell r="C3431" t="str">
            <v>&lt;-- enter valid PB./Acc. # in this cell!</v>
          </cell>
          <cell r="F3431" t="str">
            <v>OK</v>
          </cell>
        </row>
        <row r="3432">
          <cell r="C3432" t="str">
            <v>&lt;-- enter valid PB./Acc. # in this cell!</v>
          </cell>
          <cell r="F3432" t="str">
            <v>OK</v>
          </cell>
        </row>
        <row r="3433">
          <cell r="C3433" t="str">
            <v>&lt;-- enter valid PB./Acc. # in this cell!</v>
          </cell>
          <cell r="F3433" t="str">
            <v>OK</v>
          </cell>
        </row>
        <row r="3434">
          <cell r="C3434" t="str">
            <v>&lt;-- enter valid PB./Acc. # in this cell!</v>
          </cell>
          <cell r="F3434" t="str">
            <v>OK</v>
          </cell>
        </row>
        <row r="3435">
          <cell r="C3435" t="str">
            <v>&lt;-- enter valid PB./Acc. # in this cell!</v>
          </cell>
          <cell r="F3435" t="str">
            <v>OK</v>
          </cell>
        </row>
        <row r="3436">
          <cell r="C3436" t="str">
            <v>&lt;-- enter valid PB./Acc. # in this cell!</v>
          </cell>
          <cell r="F3436" t="str">
            <v>OK</v>
          </cell>
        </row>
        <row r="3437">
          <cell r="C3437" t="str">
            <v>&lt;-- enter valid PB./Acc. # in this cell!</v>
          </cell>
          <cell r="F3437" t="str">
            <v>OK</v>
          </cell>
        </row>
        <row r="3438">
          <cell r="C3438" t="str">
            <v>&lt;-- enter valid PB./Acc. # in this cell!</v>
          </cell>
          <cell r="F3438" t="str">
            <v>OK</v>
          </cell>
        </row>
        <row r="3439">
          <cell r="C3439" t="str">
            <v>&lt;-- enter valid PB./Acc. # in this cell!</v>
          </cell>
          <cell r="F3439" t="str">
            <v>OK</v>
          </cell>
        </row>
        <row r="3440">
          <cell r="C3440" t="str">
            <v>&lt;-- enter valid PB./Acc. # in this cell!</v>
          </cell>
          <cell r="F3440" t="str">
            <v>OK</v>
          </cell>
        </row>
        <row r="3441">
          <cell r="C3441" t="str">
            <v>&lt;-- enter valid PB./Acc. # in this cell!</v>
          </cell>
          <cell r="F3441" t="str">
            <v>OK</v>
          </cell>
        </row>
        <row r="3442">
          <cell r="C3442" t="str">
            <v>&lt;-- enter valid PB./Acc. # in this cell!</v>
          </cell>
          <cell r="F3442" t="str">
            <v>OK</v>
          </cell>
        </row>
        <row r="3443">
          <cell r="C3443" t="str">
            <v>&lt;-- enter valid PB./Acc. # in this cell!</v>
          </cell>
          <cell r="F3443" t="str">
            <v>OK</v>
          </cell>
        </row>
        <row r="3444">
          <cell r="C3444" t="str">
            <v>&lt;-- enter valid PB./Acc. # in this cell!</v>
          </cell>
          <cell r="F3444" t="str">
            <v>OK</v>
          </cell>
        </row>
        <row r="3445">
          <cell r="C3445" t="str">
            <v>&lt;-- enter valid PB./Acc. # in this cell!</v>
          </cell>
          <cell r="F3445" t="str">
            <v>OK</v>
          </cell>
        </row>
        <row r="3446">
          <cell r="C3446" t="str">
            <v>&lt;-- enter valid PB./Acc. # in this cell!</v>
          </cell>
          <cell r="F3446" t="str">
            <v>OK</v>
          </cell>
        </row>
        <row r="3447">
          <cell r="C3447" t="str">
            <v>&lt;-- enter valid PB./Acc. # in this cell!</v>
          </cell>
          <cell r="F3447" t="str">
            <v>OK</v>
          </cell>
        </row>
        <row r="3448">
          <cell r="C3448" t="str">
            <v>&lt;-- enter valid PB./Acc. # in this cell!</v>
          </cell>
          <cell r="F3448" t="str">
            <v>OK</v>
          </cell>
        </row>
        <row r="3449">
          <cell r="C3449" t="str">
            <v>&lt;-- enter valid PB./Acc. # in this cell!</v>
          </cell>
          <cell r="F3449" t="str">
            <v>OK</v>
          </cell>
        </row>
        <row r="3450">
          <cell r="C3450" t="str">
            <v>&lt;-- enter valid PB./Acc. # in this cell!</v>
          </cell>
          <cell r="F3450" t="str">
            <v>OK</v>
          </cell>
        </row>
        <row r="3451">
          <cell r="C3451" t="str">
            <v>&lt;-- enter valid PB./Acc. # in this cell!</v>
          </cell>
          <cell r="F3451" t="str">
            <v>OK</v>
          </cell>
        </row>
        <row r="3452">
          <cell r="C3452" t="str">
            <v>&lt;-- enter valid PB./Acc. # in this cell!</v>
          </cell>
          <cell r="F3452" t="str">
            <v>OK</v>
          </cell>
        </row>
        <row r="3453">
          <cell r="C3453" t="str">
            <v>&lt;-- enter valid PB./Acc. # in this cell!</v>
          </cell>
          <cell r="F3453" t="str">
            <v>OK</v>
          </cell>
        </row>
        <row r="3454">
          <cell r="C3454" t="str">
            <v>&lt;-- enter valid PB./Acc. # in this cell!</v>
          </cell>
          <cell r="F3454" t="str">
            <v>OK</v>
          </cell>
        </row>
        <row r="3455">
          <cell r="C3455" t="str">
            <v>&lt;-- enter valid PB./Acc. # in this cell!</v>
          </cell>
          <cell r="F3455" t="str">
            <v>OK</v>
          </cell>
        </row>
        <row r="3456">
          <cell r="C3456" t="str">
            <v>&lt;-- enter valid PB./Acc. # in this cell!</v>
          </cell>
          <cell r="F3456" t="str">
            <v>OK</v>
          </cell>
        </row>
        <row r="3457">
          <cell r="C3457" t="str">
            <v>&lt;-- enter valid PB./Acc. # in this cell!</v>
          </cell>
          <cell r="F3457" t="str">
            <v>OK</v>
          </cell>
        </row>
        <row r="3458">
          <cell r="C3458" t="str">
            <v>&lt;-- enter valid PB./Acc. # in this cell!</v>
          </cell>
          <cell r="F3458" t="str">
            <v>OK</v>
          </cell>
        </row>
        <row r="3459">
          <cell r="C3459" t="str">
            <v>&lt;-- enter valid PB./Acc. # in this cell!</v>
          </cell>
          <cell r="F3459" t="str">
            <v>OK</v>
          </cell>
        </row>
        <row r="3460">
          <cell r="C3460" t="str">
            <v>&lt;-- enter valid PB./Acc. # in this cell!</v>
          </cell>
          <cell r="F3460" t="str">
            <v>OK</v>
          </cell>
        </row>
        <row r="3461">
          <cell r="C3461" t="str">
            <v>&lt;-- enter valid PB./Acc. # in this cell!</v>
          </cell>
          <cell r="F3461" t="str">
            <v>OK</v>
          </cell>
        </row>
        <row r="3462">
          <cell r="C3462" t="str">
            <v>&lt;-- enter valid PB./Acc. # in this cell!</v>
          </cell>
          <cell r="F3462" t="str">
            <v>OK</v>
          </cell>
        </row>
        <row r="3463">
          <cell r="C3463" t="str">
            <v>&lt;-- enter valid PB./Acc. # in this cell!</v>
          </cell>
          <cell r="F3463" t="str">
            <v>OK</v>
          </cell>
        </row>
        <row r="3464">
          <cell r="C3464" t="str">
            <v>&lt;-- enter valid PB./Acc. # in this cell!</v>
          </cell>
          <cell r="F3464" t="str">
            <v>OK</v>
          </cell>
        </row>
        <row r="3465">
          <cell r="C3465" t="str">
            <v>&lt;-- enter valid PB./Acc. # in this cell!</v>
          </cell>
          <cell r="F3465" t="str">
            <v>OK</v>
          </cell>
        </row>
        <row r="3466">
          <cell r="C3466" t="str">
            <v>&lt;-- enter valid PB./Acc. # in this cell!</v>
          </cell>
          <cell r="F3466" t="str">
            <v>OK</v>
          </cell>
        </row>
        <row r="3467">
          <cell r="C3467" t="str">
            <v>&lt;-- enter valid PB./Acc. # in this cell!</v>
          </cell>
          <cell r="F3467" t="str">
            <v>OK</v>
          </cell>
        </row>
        <row r="3468">
          <cell r="C3468" t="str">
            <v>&lt;-- enter valid PB./Acc. # in this cell!</v>
          </cell>
          <cell r="F3468" t="str">
            <v>OK</v>
          </cell>
        </row>
        <row r="3469">
          <cell r="C3469" t="str">
            <v>&lt;-- enter valid PB./Acc. # in this cell!</v>
          </cell>
          <cell r="F3469" t="str">
            <v>OK</v>
          </cell>
        </row>
        <row r="3470">
          <cell r="C3470" t="str">
            <v>&lt;-- enter valid PB./Acc. # in this cell!</v>
          </cell>
          <cell r="F3470" t="str">
            <v>OK</v>
          </cell>
        </row>
        <row r="3471">
          <cell r="C3471" t="str">
            <v>&lt;-- enter valid PB./Acc. # in this cell!</v>
          </cell>
          <cell r="F3471" t="str">
            <v>OK</v>
          </cell>
        </row>
        <row r="3472">
          <cell r="C3472" t="str">
            <v>&lt;-- enter valid PB./Acc. # in this cell!</v>
          </cell>
          <cell r="F3472" t="str">
            <v>OK</v>
          </cell>
        </row>
        <row r="3473">
          <cell r="C3473" t="str">
            <v>&lt;-- enter valid PB./Acc. # in this cell!</v>
          </cell>
          <cell r="F3473" t="str">
            <v>OK</v>
          </cell>
        </row>
        <row r="3474">
          <cell r="C3474" t="str">
            <v>&lt;-- enter valid PB./Acc. # in this cell!</v>
          </cell>
          <cell r="F3474" t="str">
            <v>OK</v>
          </cell>
        </row>
        <row r="3475">
          <cell r="C3475" t="str">
            <v>&lt;-- enter valid PB./Acc. # in this cell!</v>
          </cell>
          <cell r="F3475" t="str">
            <v>OK</v>
          </cell>
        </row>
        <row r="3476">
          <cell r="C3476" t="str">
            <v>&lt;-- enter valid PB./Acc. # in this cell!</v>
          </cell>
          <cell r="F3476" t="str">
            <v>OK</v>
          </cell>
        </row>
        <row r="3477">
          <cell r="C3477" t="str">
            <v>&lt;-- enter valid PB./Acc. # in this cell!</v>
          </cell>
          <cell r="F3477" t="str">
            <v>OK</v>
          </cell>
        </row>
        <row r="3478">
          <cell r="C3478" t="str">
            <v>&lt;-- enter valid PB./Acc. # in this cell!</v>
          </cell>
          <cell r="F3478" t="str">
            <v>OK</v>
          </cell>
        </row>
        <row r="3479">
          <cell r="C3479" t="str">
            <v>&lt;-- enter valid PB./Acc. # in this cell!</v>
          </cell>
          <cell r="F3479" t="str">
            <v>OK</v>
          </cell>
        </row>
        <row r="3480">
          <cell r="C3480" t="str">
            <v>&lt;-- enter valid PB./Acc. # in this cell!</v>
          </cell>
          <cell r="F3480" t="str">
            <v>OK</v>
          </cell>
        </row>
        <row r="3481">
          <cell r="C3481" t="str">
            <v>&lt;-- enter valid PB./Acc. # in this cell!</v>
          </cell>
          <cell r="F3481" t="str">
            <v>OK</v>
          </cell>
        </row>
        <row r="3482">
          <cell r="C3482" t="str">
            <v>&lt;-- enter valid PB./Acc. # in this cell!</v>
          </cell>
          <cell r="F3482" t="str">
            <v>OK</v>
          </cell>
        </row>
        <row r="3483">
          <cell r="C3483" t="str">
            <v>&lt;-- enter valid PB./Acc. # in this cell!</v>
          </cell>
          <cell r="F3483" t="str">
            <v>OK</v>
          </cell>
        </row>
        <row r="3484">
          <cell r="C3484" t="str">
            <v>&lt;-- enter valid PB./Acc. # in this cell!</v>
          </cell>
          <cell r="F3484" t="str">
            <v>OK</v>
          </cell>
        </row>
        <row r="3485">
          <cell r="C3485" t="str">
            <v>&lt;-- enter valid PB./Acc. # in this cell!</v>
          </cell>
          <cell r="F3485" t="str">
            <v>OK</v>
          </cell>
        </row>
        <row r="3486">
          <cell r="C3486" t="str">
            <v>&lt;-- enter valid PB./Acc. # in this cell!</v>
          </cell>
          <cell r="F3486" t="str">
            <v>OK</v>
          </cell>
        </row>
        <row r="3487">
          <cell r="C3487" t="str">
            <v>&lt;-- enter valid PB./Acc. # in this cell!</v>
          </cell>
          <cell r="F3487" t="str">
            <v>OK</v>
          </cell>
        </row>
        <row r="3488">
          <cell r="C3488" t="str">
            <v>&lt;-- enter valid PB./Acc. # in this cell!</v>
          </cell>
          <cell r="F3488" t="str">
            <v>OK</v>
          </cell>
        </row>
        <row r="3489">
          <cell r="C3489" t="str">
            <v>&lt;-- enter valid PB./Acc. # in this cell!</v>
          </cell>
          <cell r="F3489" t="str">
            <v>OK</v>
          </cell>
        </row>
        <row r="3490">
          <cell r="C3490" t="str">
            <v>&lt;-- enter valid PB./Acc. # in this cell!</v>
          </cell>
          <cell r="F3490" t="str">
            <v>OK</v>
          </cell>
        </row>
        <row r="3491">
          <cell r="C3491" t="str">
            <v>&lt;-- enter valid PB./Acc. # in this cell!</v>
          </cell>
          <cell r="F3491" t="str">
            <v>OK</v>
          </cell>
        </row>
        <row r="3492">
          <cell r="C3492" t="str">
            <v>&lt;-- enter valid PB./Acc. # in this cell!</v>
          </cell>
          <cell r="F3492" t="str">
            <v>OK</v>
          </cell>
        </row>
        <row r="3493">
          <cell r="C3493" t="str">
            <v>&lt;-- enter valid PB./Acc. # in this cell!</v>
          </cell>
          <cell r="F3493" t="str">
            <v>OK</v>
          </cell>
        </row>
        <row r="3494">
          <cell r="C3494" t="str">
            <v>&lt;-- enter valid PB./Acc. # in this cell!</v>
          </cell>
          <cell r="F3494" t="str">
            <v>OK</v>
          </cell>
        </row>
        <row r="3495">
          <cell r="C3495" t="str">
            <v>&lt;-- enter valid PB./Acc. # in this cell!</v>
          </cell>
          <cell r="F3495" t="str">
            <v>OK</v>
          </cell>
        </row>
        <row r="3496">
          <cell r="C3496" t="str">
            <v>&lt;-- enter valid PB./Acc. # in this cell!</v>
          </cell>
          <cell r="F3496" t="str">
            <v>OK</v>
          </cell>
        </row>
        <row r="3497">
          <cell r="C3497" t="str">
            <v>&lt;-- enter valid PB./Acc. # in this cell!</v>
          </cell>
          <cell r="F3497" t="str">
            <v>OK</v>
          </cell>
        </row>
        <row r="3498">
          <cell r="C3498" t="str">
            <v>&lt;-- enter valid PB./Acc. # in this cell!</v>
          </cell>
          <cell r="F3498" t="str">
            <v>OK</v>
          </cell>
        </row>
        <row r="3499">
          <cell r="C3499" t="str">
            <v>&lt;-- enter valid PB./Acc. # in this cell!</v>
          </cell>
          <cell r="F3499" t="str">
            <v>OK</v>
          </cell>
        </row>
        <row r="3500">
          <cell r="C3500" t="str">
            <v>&lt;-- enter valid PB./Acc. # in this cell!</v>
          </cell>
          <cell r="F3500" t="str">
            <v>OK</v>
          </cell>
        </row>
        <row r="3501">
          <cell r="C3501" t="str">
            <v>&lt;-- enter valid PB./Acc. # in this cell!</v>
          </cell>
          <cell r="F3501" t="str">
            <v>OK</v>
          </cell>
        </row>
        <row r="3502">
          <cell r="C3502" t="str">
            <v>&lt;-- enter valid PB./Acc. # in this cell!</v>
          </cell>
          <cell r="F3502" t="str">
            <v>OK</v>
          </cell>
        </row>
        <row r="3503">
          <cell r="C3503" t="str">
            <v>&lt;-- enter valid PB./Acc. # in this cell!</v>
          </cell>
          <cell r="F3503" t="str">
            <v>OK</v>
          </cell>
        </row>
        <row r="3504">
          <cell r="C3504" t="str">
            <v>&lt;-- enter valid PB./Acc. # in this cell!</v>
          </cell>
          <cell r="F3504" t="str">
            <v>OK</v>
          </cell>
        </row>
        <row r="3505">
          <cell r="C3505" t="str">
            <v>&lt;-- enter valid PB./Acc. # in this cell!</v>
          </cell>
          <cell r="F3505" t="str">
            <v>OK</v>
          </cell>
        </row>
        <row r="3506">
          <cell r="C3506" t="str">
            <v>&lt;-- enter valid PB./Acc. # in this cell!</v>
          </cell>
          <cell r="F3506" t="str">
            <v>OK</v>
          </cell>
        </row>
        <row r="3507">
          <cell r="C3507" t="str">
            <v>&lt;-- enter valid PB./Acc. # in this cell!</v>
          </cell>
          <cell r="F3507" t="str">
            <v>OK</v>
          </cell>
        </row>
        <row r="3508">
          <cell r="C3508" t="str">
            <v>&lt;-- enter valid PB./Acc. # in this cell!</v>
          </cell>
          <cell r="F3508" t="str">
            <v>OK</v>
          </cell>
        </row>
        <row r="3509">
          <cell r="C3509" t="str">
            <v>&lt;-- enter valid PB./Acc. # in this cell!</v>
          </cell>
          <cell r="F3509" t="str">
            <v>OK</v>
          </cell>
        </row>
        <row r="3510">
          <cell r="C3510" t="str">
            <v>&lt;-- enter valid PB./Acc. # in this cell!</v>
          </cell>
          <cell r="F3510" t="str">
            <v>OK</v>
          </cell>
        </row>
        <row r="3511">
          <cell r="C3511" t="str">
            <v>&lt;-- enter valid PB./Acc. # in this cell!</v>
          </cell>
          <cell r="F3511" t="str">
            <v>OK</v>
          </cell>
        </row>
        <row r="3512">
          <cell r="C3512" t="str">
            <v>&lt;-- enter valid PB./Acc. # in this cell!</v>
          </cell>
          <cell r="F3512" t="str">
            <v>OK</v>
          </cell>
        </row>
        <row r="3513">
          <cell r="C3513" t="str">
            <v>&lt;-- enter valid PB./Acc. # in this cell!</v>
          </cell>
          <cell r="F3513" t="str">
            <v>OK</v>
          </cell>
        </row>
        <row r="3514">
          <cell r="C3514" t="str">
            <v>&lt;-- enter valid PB./Acc. # in this cell!</v>
          </cell>
          <cell r="F3514" t="str">
            <v>OK</v>
          </cell>
        </row>
        <row r="3515">
          <cell r="C3515" t="str">
            <v>&lt;-- enter valid PB./Acc. # in this cell!</v>
          </cell>
          <cell r="F3515" t="str">
            <v>OK</v>
          </cell>
        </row>
        <row r="3516">
          <cell r="C3516" t="str">
            <v>&lt;-- enter valid PB./Acc. # in this cell!</v>
          </cell>
          <cell r="F3516" t="str">
            <v>OK</v>
          </cell>
        </row>
        <row r="3517">
          <cell r="C3517" t="str">
            <v>&lt;-- enter valid PB./Acc. # in this cell!</v>
          </cell>
          <cell r="F3517" t="str">
            <v>OK</v>
          </cell>
        </row>
        <row r="3518">
          <cell r="C3518" t="str">
            <v>&lt;-- enter valid PB./Acc. # in this cell!</v>
          </cell>
          <cell r="F3518" t="str">
            <v>OK</v>
          </cell>
        </row>
        <row r="3519">
          <cell r="C3519" t="str">
            <v>&lt;-- enter valid PB./Acc. # in this cell!</v>
          </cell>
          <cell r="F3519" t="str">
            <v>OK</v>
          </cell>
        </row>
        <row r="3520">
          <cell r="C3520" t="str">
            <v>&lt;-- enter valid PB./Acc. # in this cell!</v>
          </cell>
          <cell r="F3520" t="str">
            <v>OK</v>
          </cell>
        </row>
        <row r="3521">
          <cell r="C3521" t="str">
            <v>&lt;-- enter valid PB./Acc. # in this cell!</v>
          </cell>
          <cell r="F3521" t="str">
            <v>OK</v>
          </cell>
        </row>
        <row r="3522">
          <cell r="C3522" t="str">
            <v>&lt;-- enter valid PB./Acc. # in this cell!</v>
          </cell>
          <cell r="F3522" t="str">
            <v>OK</v>
          </cell>
        </row>
        <row r="3523">
          <cell r="C3523" t="str">
            <v>&lt;-- enter valid PB./Acc. # in this cell!</v>
          </cell>
          <cell r="F3523" t="str">
            <v>OK</v>
          </cell>
        </row>
        <row r="3524">
          <cell r="C3524" t="str">
            <v>&lt;-- enter valid PB./Acc. # in this cell!</v>
          </cell>
          <cell r="F3524" t="str">
            <v>OK</v>
          </cell>
        </row>
        <row r="3525">
          <cell r="C3525" t="str">
            <v>&lt;-- enter valid PB./Acc. # in this cell!</v>
          </cell>
          <cell r="F3525" t="str">
            <v>OK</v>
          </cell>
        </row>
        <row r="3526">
          <cell r="C3526" t="str">
            <v>&lt;-- enter valid PB./Acc. # in this cell!</v>
          </cell>
          <cell r="F3526" t="str">
            <v>OK</v>
          </cell>
        </row>
        <row r="3527">
          <cell r="C3527" t="str">
            <v>&lt;-- enter valid PB./Acc. # in this cell!</v>
          </cell>
          <cell r="F3527" t="str">
            <v>OK</v>
          </cell>
        </row>
        <row r="3528">
          <cell r="C3528" t="str">
            <v>&lt;-- enter valid PB./Acc. # in this cell!</v>
          </cell>
          <cell r="F3528" t="str">
            <v>OK</v>
          </cell>
        </row>
        <row r="3529">
          <cell r="C3529" t="str">
            <v>&lt;-- enter valid PB./Acc. # in this cell!</v>
          </cell>
          <cell r="F3529" t="str">
            <v>OK</v>
          </cell>
        </row>
        <row r="3530">
          <cell r="C3530" t="str">
            <v>&lt;-- enter valid PB./Acc. # in this cell!</v>
          </cell>
          <cell r="F3530" t="str">
            <v>OK</v>
          </cell>
        </row>
        <row r="3531">
          <cell r="C3531" t="str">
            <v>&lt;-- enter valid PB./Acc. # in this cell!</v>
          </cell>
          <cell r="F3531" t="str">
            <v>OK</v>
          </cell>
        </row>
        <row r="3532">
          <cell r="C3532" t="str">
            <v>&lt;-- enter valid PB./Acc. # in this cell!</v>
          </cell>
          <cell r="F3532" t="str">
            <v>OK</v>
          </cell>
        </row>
        <row r="3533">
          <cell r="C3533" t="str">
            <v>&lt;-- enter valid PB./Acc. # in this cell!</v>
          </cell>
          <cell r="F3533" t="str">
            <v>OK</v>
          </cell>
        </row>
        <row r="3534">
          <cell r="C3534" t="str">
            <v>&lt;-- enter valid PB./Acc. # in this cell!</v>
          </cell>
          <cell r="F3534" t="str">
            <v>OK</v>
          </cell>
        </row>
        <row r="3535">
          <cell r="C3535" t="str">
            <v>&lt;-- enter valid PB./Acc. # in this cell!</v>
          </cell>
          <cell r="F3535" t="str">
            <v>OK</v>
          </cell>
        </row>
        <row r="3536">
          <cell r="C3536" t="str">
            <v>&lt;-- enter valid PB./Acc. # in this cell!</v>
          </cell>
          <cell r="F3536" t="str">
            <v>OK</v>
          </cell>
        </row>
        <row r="3537">
          <cell r="C3537" t="str">
            <v>&lt;-- enter valid PB./Acc. # in this cell!</v>
          </cell>
          <cell r="F3537" t="str">
            <v>OK</v>
          </cell>
        </row>
        <row r="3538">
          <cell r="C3538" t="str">
            <v>&lt;-- enter valid PB./Acc. # in this cell!</v>
          </cell>
          <cell r="F3538" t="str">
            <v>OK</v>
          </cell>
        </row>
        <row r="3539">
          <cell r="C3539" t="str">
            <v>&lt;-- enter valid PB./Acc. # in this cell!</v>
          </cell>
          <cell r="F3539" t="str">
            <v>OK</v>
          </cell>
        </row>
        <row r="3540">
          <cell r="C3540" t="str">
            <v>&lt;-- enter valid PB./Acc. # in this cell!</v>
          </cell>
          <cell r="F3540" t="str">
            <v>OK</v>
          </cell>
        </row>
        <row r="3541">
          <cell r="C3541" t="str">
            <v>&lt;-- enter valid PB./Acc. # in this cell!</v>
          </cell>
          <cell r="F3541" t="str">
            <v>OK</v>
          </cell>
        </row>
        <row r="3542">
          <cell r="C3542" t="str">
            <v>&lt;-- enter valid PB./Acc. # in this cell!</v>
          </cell>
          <cell r="F3542" t="str">
            <v>OK</v>
          </cell>
        </row>
        <row r="3543">
          <cell r="C3543" t="str">
            <v>&lt;-- enter valid PB./Acc. # in this cell!</v>
          </cell>
          <cell r="F3543" t="str">
            <v>OK</v>
          </cell>
        </row>
        <row r="3544">
          <cell r="C3544" t="str">
            <v>&lt;-- enter valid PB./Acc. # in this cell!</v>
          </cell>
          <cell r="F3544" t="str">
            <v>OK</v>
          </cell>
        </row>
        <row r="3545">
          <cell r="C3545" t="str">
            <v>&lt;-- enter valid PB./Acc. # in this cell!</v>
          </cell>
          <cell r="F3545" t="str">
            <v>OK</v>
          </cell>
        </row>
        <row r="3546">
          <cell r="C3546" t="str">
            <v>&lt;-- enter valid PB./Acc. # in this cell!</v>
          </cell>
          <cell r="F3546" t="str">
            <v>OK</v>
          </cell>
        </row>
        <row r="3547">
          <cell r="C3547" t="str">
            <v>&lt;-- enter valid PB./Acc. # in this cell!</v>
          </cell>
          <cell r="F3547" t="str">
            <v>OK</v>
          </cell>
        </row>
        <row r="3548">
          <cell r="C3548" t="str">
            <v>&lt;-- enter valid PB./Acc. # in this cell!</v>
          </cell>
          <cell r="F3548" t="str">
            <v>OK</v>
          </cell>
        </row>
        <row r="3549">
          <cell r="C3549" t="str">
            <v>&lt;-- enter valid PB./Acc. # in this cell!</v>
          </cell>
          <cell r="F3549" t="str">
            <v>OK</v>
          </cell>
        </row>
        <row r="3550">
          <cell r="C3550" t="str">
            <v>&lt;-- enter valid PB./Acc. # in this cell!</v>
          </cell>
          <cell r="F3550" t="str">
            <v>OK</v>
          </cell>
        </row>
        <row r="3551">
          <cell r="C3551" t="str">
            <v>&lt;-- enter valid PB./Acc. # in this cell!</v>
          </cell>
          <cell r="F3551" t="str">
            <v>OK</v>
          </cell>
        </row>
        <row r="3552">
          <cell r="C3552" t="str">
            <v>&lt;-- enter valid PB./Acc. # in this cell!</v>
          </cell>
          <cell r="F3552" t="str">
            <v>OK</v>
          </cell>
        </row>
        <row r="3553">
          <cell r="C3553" t="str">
            <v>&lt;-- enter valid PB./Acc. # in this cell!</v>
          </cell>
          <cell r="F3553" t="str">
            <v>OK</v>
          </cell>
        </row>
        <row r="3554">
          <cell r="C3554" t="str">
            <v>&lt;-- enter valid PB./Acc. # in this cell!</v>
          </cell>
          <cell r="F3554" t="str">
            <v>OK</v>
          </cell>
        </row>
        <row r="3555">
          <cell r="C3555" t="str">
            <v>&lt;-- enter valid PB./Acc. # in this cell!</v>
          </cell>
          <cell r="F3555" t="str">
            <v>OK</v>
          </cell>
        </row>
        <row r="3556">
          <cell r="C3556" t="str">
            <v>&lt;-- enter valid PB./Acc. # in this cell!</v>
          </cell>
          <cell r="F3556" t="str">
            <v>OK</v>
          </cell>
        </row>
        <row r="3557">
          <cell r="C3557" t="str">
            <v>&lt;-- enter valid PB./Acc. # in this cell!</v>
          </cell>
          <cell r="F3557" t="str">
            <v>OK</v>
          </cell>
        </row>
        <row r="3558">
          <cell r="C3558" t="str">
            <v>&lt;-- enter valid PB./Acc. # in this cell!</v>
          </cell>
          <cell r="F3558" t="str">
            <v>OK</v>
          </cell>
        </row>
        <row r="3559">
          <cell r="C3559" t="str">
            <v>&lt;-- enter valid PB./Acc. # in this cell!</v>
          </cell>
          <cell r="F3559" t="str">
            <v>OK</v>
          </cell>
        </row>
        <row r="3560">
          <cell r="C3560" t="str">
            <v>&lt;-- enter valid PB./Acc. # in this cell!</v>
          </cell>
          <cell r="F3560" t="str">
            <v>OK</v>
          </cell>
        </row>
        <row r="3561">
          <cell r="C3561" t="str">
            <v>&lt;-- enter valid PB./Acc. # in this cell!</v>
          </cell>
          <cell r="F3561" t="str">
            <v>OK</v>
          </cell>
        </row>
        <row r="3562">
          <cell r="C3562" t="str">
            <v>&lt;-- enter valid PB./Acc. # in this cell!</v>
          </cell>
          <cell r="F3562" t="str">
            <v>OK</v>
          </cell>
        </row>
        <row r="3563">
          <cell r="C3563" t="str">
            <v>&lt;-- enter valid PB./Acc. # in this cell!</v>
          </cell>
          <cell r="F3563" t="str">
            <v>OK</v>
          </cell>
        </row>
        <row r="3564">
          <cell r="C3564" t="str">
            <v>&lt;-- enter valid PB./Acc. # in this cell!</v>
          </cell>
          <cell r="F3564" t="str">
            <v>OK</v>
          </cell>
        </row>
        <row r="3565">
          <cell r="C3565" t="str">
            <v>&lt;-- enter valid PB./Acc. # in this cell!</v>
          </cell>
          <cell r="F3565" t="str">
            <v>OK</v>
          </cell>
        </row>
        <row r="3566">
          <cell r="C3566" t="str">
            <v>&lt;-- enter valid PB./Acc. # in this cell!</v>
          </cell>
          <cell r="F3566" t="str">
            <v>OK</v>
          </cell>
        </row>
        <row r="3567">
          <cell r="C3567" t="str">
            <v>&lt;-- enter valid PB./Acc. # in this cell!</v>
          </cell>
          <cell r="F3567" t="str">
            <v>OK</v>
          </cell>
        </row>
        <row r="3568">
          <cell r="C3568" t="str">
            <v>&lt;-- enter valid PB./Acc. # in this cell!</v>
          </cell>
          <cell r="F3568" t="str">
            <v>OK</v>
          </cell>
        </row>
        <row r="3569">
          <cell r="C3569" t="str">
            <v>&lt;-- enter valid PB./Acc. # in this cell!</v>
          </cell>
          <cell r="F3569" t="str">
            <v>OK</v>
          </cell>
        </row>
        <row r="3570">
          <cell r="C3570" t="str">
            <v>&lt;-- enter valid PB./Acc. # in this cell!</v>
          </cell>
          <cell r="F3570" t="str">
            <v>OK</v>
          </cell>
        </row>
        <row r="3571">
          <cell r="C3571" t="str">
            <v>&lt;-- enter valid PB./Acc. # in this cell!</v>
          </cell>
          <cell r="F3571" t="str">
            <v>OK</v>
          </cell>
        </row>
        <row r="3572">
          <cell r="C3572" t="str">
            <v>&lt;-- enter valid PB./Acc. # in this cell!</v>
          </cell>
          <cell r="F3572" t="str">
            <v>OK</v>
          </cell>
        </row>
        <row r="3573">
          <cell r="C3573" t="str">
            <v>&lt;-- enter valid PB./Acc. # in this cell!</v>
          </cell>
          <cell r="F3573" t="str">
            <v>OK</v>
          </cell>
        </row>
        <row r="3574">
          <cell r="C3574" t="str">
            <v>&lt;-- enter valid PB./Acc. # in this cell!</v>
          </cell>
          <cell r="F3574" t="str">
            <v>OK</v>
          </cell>
        </row>
        <row r="3575">
          <cell r="C3575" t="str">
            <v>&lt;-- enter valid PB./Acc. # in this cell!</v>
          </cell>
          <cell r="F3575" t="str">
            <v>OK</v>
          </cell>
        </row>
        <row r="3576">
          <cell r="C3576" t="str">
            <v>&lt;-- enter valid PB./Acc. # in this cell!</v>
          </cell>
          <cell r="F3576" t="str">
            <v>OK</v>
          </cell>
        </row>
        <row r="3577">
          <cell r="C3577" t="str">
            <v>&lt;-- enter valid PB./Acc. # in this cell!</v>
          </cell>
          <cell r="F3577" t="str">
            <v>OK</v>
          </cell>
        </row>
        <row r="3578">
          <cell r="C3578" t="str">
            <v>&lt;-- enter valid PB./Acc. # in this cell!</v>
          </cell>
          <cell r="F3578" t="str">
            <v>OK</v>
          </cell>
        </row>
        <row r="3579">
          <cell r="C3579" t="str">
            <v>&lt;-- enter valid PB./Acc. # in this cell!</v>
          </cell>
          <cell r="F3579" t="str">
            <v>OK</v>
          </cell>
        </row>
        <row r="3580">
          <cell r="C3580" t="str">
            <v>&lt;-- enter valid PB./Acc. # in this cell!</v>
          </cell>
          <cell r="F3580" t="str">
            <v>OK</v>
          </cell>
        </row>
        <row r="3581">
          <cell r="C3581" t="str">
            <v>&lt;-- enter valid PB./Acc. # in this cell!</v>
          </cell>
          <cell r="F3581" t="str">
            <v>OK</v>
          </cell>
        </row>
        <row r="3582">
          <cell r="C3582" t="str">
            <v>&lt;-- enter valid PB./Acc. # in this cell!</v>
          </cell>
          <cell r="F3582" t="str">
            <v>OK</v>
          </cell>
        </row>
        <row r="3583">
          <cell r="C3583" t="str">
            <v>&lt;-- enter valid PB./Acc. # in this cell!</v>
          </cell>
          <cell r="F3583" t="str">
            <v>OK</v>
          </cell>
        </row>
        <row r="3584">
          <cell r="C3584" t="str">
            <v>&lt;-- enter valid PB./Acc. # in this cell!</v>
          </cell>
          <cell r="F3584" t="str">
            <v>OK</v>
          </cell>
        </row>
        <row r="3585">
          <cell r="C3585" t="str">
            <v>&lt;-- enter valid PB./Acc. # in this cell!</v>
          </cell>
          <cell r="F3585" t="str">
            <v>OK</v>
          </cell>
        </row>
        <row r="3586">
          <cell r="C3586" t="str">
            <v>&lt;-- enter valid PB./Acc. # in this cell!</v>
          </cell>
          <cell r="F3586" t="str">
            <v>OK</v>
          </cell>
        </row>
        <row r="3587">
          <cell r="C3587" t="str">
            <v>&lt;-- enter valid PB./Acc. # in this cell!</v>
          </cell>
          <cell r="F3587" t="str">
            <v>OK</v>
          </cell>
        </row>
        <row r="3588">
          <cell r="C3588" t="str">
            <v>&lt;-- enter valid PB./Acc. # in this cell!</v>
          </cell>
          <cell r="F3588" t="str">
            <v>OK</v>
          </cell>
        </row>
        <row r="3589">
          <cell r="C3589" t="str">
            <v>&lt;-- enter valid PB./Acc. # in this cell!</v>
          </cell>
          <cell r="F3589" t="str">
            <v>OK</v>
          </cell>
          <cell r="N3589">
            <v>0</v>
          </cell>
        </row>
        <row r="3590">
          <cell r="C3590" t="str">
            <v>&lt;-- enter valid PB./Acc. # in this cell!</v>
          </cell>
          <cell r="F3590" t="str">
            <v>OK</v>
          </cell>
        </row>
        <row r="3591">
          <cell r="C3591" t="str">
            <v>&lt;-- enter valid PB./Acc. # in this cell!</v>
          </cell>
          <cell r="F3591" t="str">
            <v>OK</v>
          </cell>
        </row>
        <row r="3592">
          <cell r="C3592" t="str">
            <v>&lt;-- enter valid PB./Acc. # in this cell!</v>
          </cell>
          <cell r="F3592" t="str">
            <v>OK</v>
          </cell>
        </row>
        <row r="3593">
          <cell r="C3593" t="str">
            <v>&lt;-- enter valid PB./Acc. # in this cell!</v>
          </cell>
          <cell r="F3593" t="str">
            <v>OK</v>
          </cell>
        </row>
        <row r="3594">
          <cell r="C3594" t="str">
            <v>&lt;-- enter valid PB./Acc. # in this cell!</v>
          </cell>
          <cell r="F3594" t="str">
            <v>OK</v>
          </cell>
        </row>
        <row r="3595">
          <cell r="C3595" t="str">
            <v>&lt;-- enter valid PB./Acc. # in this cell!</v>
          </cell>
          <cell r="F3595" t="str">
            <v>OK</v>
          </cell>
        </row>
        <row r="3596">
          <cell r="C3596" t="str">
            <v>&lt;-- enter valid PB./Acc. # in this cell!</v>
          </cell>
          <cell r="F3596" t="str">
            <v>OK</v>
          </cell>
        </row>
        <row r="3597">
          <cell r="C3597" t="str">
            <v>&lt;-- enter valid PB./Acc. # in this cell!</v>
          </cell>
          <cell r="F3597" t="str">
            <v>OK</v>
          </cell>
        </row>
        <row r="3598">
          <cell r="C3598" t="str">
            <v>&lt;-- enter valid PB./Acc. # in this cell!</v>
          </cell>
          <cell r="F3598" t="str">
            <v>OK</v>
          </cell>
        </row>
        <row r="3599">
          <cell r="C3599" t="str">
            <v>&lt;-- enter valid PB./Acc. # in this cell!</v>
          </cell>
          <cell r="F3599" t="str">
            <v>OK</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CR"/>
      <sheetName val="OBS"/>
      <sheetName val="PRTR07"/>
      <sheetName val="07"/>
      <sheetName val="PRTR08"/>
      <sheetName val="08"/>
      <sheetName val="PRTR09"/>
      <sheetName val="09"/>
      <sheetName val="PRTR10"/>
      <sheetName val="10"/>
      <sheetName val="PRTR11"/>
      <sheetName val="11"/>
      <sheetName val="PRTR12"/>
      <sheetName val="12"/>
      <sheetName val="PRTR01"/>
      <sheetName val="01"/>
      <sheetName val="PRTR02"/>
      <sheetName val="02"/>
      <sheetName val="PRTR03"/>
      <sheetName val="03"/>
      <sheetName val="PRTR04"/>
      <sheetName val="04"/>
      <sheetName val="PRTR05"/>
      <sheetName val="05"/>
      <sheetName val="PRTR06"/>
      <sheetName val="06"/>
      <sheetName val="RMFIDC12"/>
      <sheetName val="RMFIDC06"/>
      <sheetName val="GENERAL"/>
      <sheetName val="BoG"/>
      <sheetName val="Highlights"/>
      <sheetName val="EWS"/>
      <sheetName val="Classific"/>
      <sheetName val="Classific OLD"/>
      <sheetName val="GRMRanking"/>
      <sheetName val="PEARLS"/>
      <sheetName val="MFRatios"/>
      <sheetName val="Data"/>
      <sheetName val="Graphs"/>
      <sheetName val="Target"/>
      <sheetName val="Budget"/>
      <sheetName val="Quality report"/>
      <sheetName val="LPP"/>
      <sheetName val="LSP"/>
      <sheetName val="Invest"/>
      <sheetName val="Fixed"/>
      <sheetName val="Payroll"/>
      <sheetName val="CashCount"/>
      <sheetName val="BankRecon"/>
      <sheetName val="CashRecon"/>
      <sheetName val="ContrSum"/>
      <sheetName val="RSCI+M-ILC"/>
      <sheetName val="Control"/>
    </sheetNames>
    <sheetDataSet>
      <sheetData sheetId="0">
        <row r="10">
          <cell r="A10">
            <v>42187</v>
          </cell>
          <cell r="B10">
            <v>338</v>
          </cell>
          <cell r="C10" t="str">
            <v>AGARTHA BOTCHWAY</v>
          </cell>
          <cell r="D10" t="str">
            <v>RV0142680</v>
          </cell>
          <cell r="E10" t="str">
            <v>CASH DEPOSIT</v>
          </cell>
          <cell r="F10" t="str">
            <v>OK</v>
          </cell>
          <cell r="G10">
            <v>20</v>
          </cell>
          <cell r="N10">
            <v>20</v>
          </cell>
        </row>
        <row r="11">
          <cell r="A11">
            <v>42187</v>
          </cell>
          <cell r="B11">
            <v>326</v>
          </cell>
          <cell r="C11" t="str">
            <v>OPEIKUMA TOWN METHODIST CH.</v>
          </cell>
          <cell r="D11" t="str">
            <v>RV0142681</v>
          </cell>
          <cell r="E11" t="str">
            <v>CASH DEPOSIT</v>
          </cell>
          <cell r="F11" t="str">
            <v>OK</v>
          </cell>
          <cell r="G11">
            <v>342.2</v>
          </cell>
          <cell r="N11">
            <v>342.2</v>
          </cell>
        </row>
        <row r="12">
          <cell r="A12">
            <v>42187</v>
          </cell>
          <cell r="B12">
            <v>374</v>
          </cell>
          <cell r="C12" t="str">
            <v>DOM-BAYOR GAD KOBINA</v>
          </cell>
          <cell r="D12" t="str">
            <v>RV0142682</v>
          </cell>
          <cell r="E12" t="str">
            <v>LOAN REPAYMENT / INTEREST</v>
          </cell>
          <cell r="F12" t="str">
            <v>OK</v>
          </cell>
          <cell r="G12">
            <v>400</v>
          </cell>
          <cell r="R12">
            <v>334</v>
          </cell>
          <cell r="AQ12">
            <v>66</v>
          </cell>
        </row>
        <row r="13">
          <cell r="A13">
            <v>42187</v>
          </cell>
          <cell r="B13">
            <v>317</v>
          </cell>
          <cell r="C13" t="str">
            <v>JOANA ODOOM</v>
          </cell>
          <cell r="D13" t="str">
            <v>RV0142683</v>
          </cell>
          <cell r="E13" t="str">
            <v>LOAN REPAYMENT / DEPOSIT</v>
          </cell>
          <cell r="F13" t="str">
            <v>OK</v>
          </cell>
          <cell r="G13">
            <v>200</v>
          </cell>
          <cell r="N13">
            <v>20</v>
          </cell>
          <cell r="R13">
            <v>150</v>
          </cell>
          <cell r="AQ13">
            <v>30</v>
          </cell>
        </row>
        <row r="14">
          <cell r="A14">
            <v>42188</v>
          </cell>
          <cell r="B14">
            <v>223</v>
          </cell>
          <cell r="C14" t="str">
            <v>BETHEL METHODIST YOUTH FELLOSHIP</v>
          </cell>
          <cell r="D14" t="str">
            <v>PV0054118</v>
          </cell>
          <cell r="E14" t="str">
            <v>SAVINGS WITHDRAWAL</v>
          </cell>
          <cell r="F14" t="str">
            <v>OK</v>
          </cell>
          <cell r="H14">
            <v>200</v>
          </cell>
          <cell r="M14">
            <v>200</v>
          </cell>
        </row>
        <row r="15">
          <cell r="A15">
            <v>42187</v>
          </cell>
          <cell r="B15">
            <v>54350</v>
          </cell>
          <cell r="C15" t="str">
            <v>Protocol Expenses</v>
          </cell>
          <cell r="D15" t="str">
            <v>PV0054119</v>
          </cell>
          <cell r="E15" t="str">
            <v>T&amp;T FOR CUA OFFICIAL</v>
          </cell>
          <cell r="F15" t="str">
            <v>OK</v>
          </cell>
          <cell r="H15">
            <v>30</v>
          </cell>
        </row>
        <row r="16">
          <cell r="A16">
            <v>42187</v>
          </cell>
          <cell r="B16">
            <v>179</v>
          </cell>
          <cell r="C16" t="str">
            <v>BRO.OTABIL CLASS</v>
          </cell>
          <cell r="D16" t="str">
            <v>PV0054120</v>
          </cell>
          <cell r="E16" t="str">
            <v>SAVINGS WITHDRAWAL</v>
          </cell>
          <cell r="F16" t="str">
            <v>OK</v>
          </cell>
          <cell r="H16">
            <v>100</v>
          </cell>
          <cell r="M16">
            <v>100</v>
          </cell>
        </row>
        <row r="17">
          <cell r="A17">
            <v>42188</v>
          </cell>
          <cell r="B17">
            <v>5</v>
          </cell>
          <cell r="C17" t="str">
            <v>GEORGE K.DANQUAH</v>
          </cell>
          <cell r="D17" t="str">
            <v>PV0054122</v>
          </cell>
          <cell r="E17" t="str">
            <v>SAVINGS WITHDRAWAL</v>
          </cell>
          <cell r="F17" t="str">
            <v>OK</v>
          </cell>
          <cell r="H17">
            <v>200</v>
          </cell>
          <cell r="M17">
            <v>200</v>
          </cell>
        </row>
        <row r="18">
          <cell r="A18">
            <v>42188</v>
          </cell>
          <cell r="B18">
            <v>56310</v>
          </cell>
          <cell r="C18" t="str">
            <v>Postage &amp; Communication</v>
          </cell>
          <cell r="D18" t="str">
            <v>PV0054123</v>
          </cell>
          <cell r="E18" t="str">
            <v>PURCHASE OF CALL CREDIT</v>
          </cell>
          <cell r="F18" t="str">
            <v>OK</v>
          </cell>
          <cell r="H18">
            <v>30</v>
          </cell>
        </row>
        <row r="19">
          <cell r="A19">
            <v>42188</v>
          </cell>
          <cell r="B19">
            <v>56400</v>
          </cell>
          <cell r="C19" t="str">
            <v>Travel &amp; Transport (T &amp; T)</v>
          </cell>
          <cell r="D19" t="str">
            <v>PV0054124</v>
          </cell>
          <cell r="E19" t="str">
            <v>T&amp;T TO BANK</v>
          </cell>
          <cell r="F19" t="str">
            <v>OK</v>
          </cell>
          <cell r="H19">
            <v>7</v>
          </cell>
        </row>
        <row r="20">
          <cell r="A20">
            <v>42188</v>
          </cell>
          <cell r="B20">
            <v>56900</v>
          </cell>
          <cell r="C20" t="str">
            <v>Office Expenses</v>
          </cell>
          <cell r="D20" t="str">
            <v>PV0054125</v>
          </cell>
          <cell r="E20" t="str">
            <v>GABBAGE DISPOSAL</v>
          </cell>
          <cell r="F20" t="str">
            <v>OK</v>
          </cell>
          <cell r="H20">
            <v>1</v>
          </cell>
        </row>
        <row r="21">
          <cell r="A21">
            <v>42188</v>
          </cell>
          <cell r="B21">
            <v>54330</v>
          </cell>
          <cell r="C21" t="str">
            <v>Travel and Transport expenses for BoD and Committee executives</v>
          </cell>
          <cell r="D21" t="str">
            <v>PV0054126</v>
          </cell>
          <cell r="E21" t="str">
            <v>T&amp;T TO CHAPTER MEETING</v>
          </cell>
          <cell r="F21" t="str">
            <v>OK</v>
          </cell>
          <cell r="H21">
            <v>200</v>
          </cell>
        </row>
        <row r="22">
          <cell r="A22">
            <v>42188</v>
          </cell>
          <cell r="B22">
            <v>11201</v>
          </cell>
          <cell r="C22" t="str">
            <v>Bawjiase Area Rural Bank</v>
          </cell>
          <cell r="E22" t="str">
            <v>CASH DEPOSIT TO BANK</v>
          </cell>
          <cell r="F22" t="str">
            <v>OK</v>
          </cell>
          <cell r="H22">
            <v>1265</v>
          </cell>
          <cell r="I22">
            <v>1265</v>
          </cell>
        </row>
        <row r="23">
          <cell r="A23">
            <v>42190</v>
          </cell>
          <cell r="B23">
            <v>318</v>
          </cell>
          <cell r="C23" t="str">
            <v>DORCAS BOTCHWAY</v>
          </cell>
          <cell r="D23" t="str">
            <v>RV0142684</v>
          </cell>
          <cell r="E23" t="str">
            <v>CASH DEPOSIT</v>
          </cell>
          <cell r="F23" t="str">
            <v>OK</v>
          </cell>
          <cell r="G23">
            <v>10</v>
          </cell>
          <cell r="N23">
            <v>10</v>
          </cell>
        </row>
        <row r="24">
          <cell r="A24">
            <v>42190</v>
          </cell>
          <cell r="B24">
            <v>355</v>
          </cell>
          <cell r="C24" t="str">
            <v>JAMES CLASS</v>
          </cell>
          <cell r="D24" t="str">
            <v>RV0142685</v>
          </cell>
          <cell r="E24" t="str">
            <v>CASH DEPOSIT</v>
          </cell>
          <cell r="F24" t="str">
            <v>OK</v>
          </cell>
          <cell r="G24">
            <v>27.6</v>
          </cell>
          <cell r="N24">
            <v>27.6</v>
          </cell>
        </row>
        <row r="25">
          <cell r="A25">
            <v>42190</v>
          </cell>
          <cell r="B25">
            <v>177</v>
          </cell>
          <cell r="C25" t="str">
            <v>WEDNESDAY CLASS</v>
          </cell>
          <cell r="D25" t="str">
            <v>RV0142686</v>
          </cell>
          <cell r="E25" t="str">
            <v>CASH DEPOSIT</v>
          </cell>
          <cell r="F25" t="str">
            <v>OK</v>
          </cell>
          <cell r="G25">
            <v>157</v>
          </cell>
          <cell r="N25">
            <v>157</v>
          </cell>
        </row>
        <row r="26">
          <cell r="A26">
            <v>42190</v>
          </cell>
          <cell r="B26">
            <v>345</v>
          </cell>
          <cell r="C26" t="str">
            <v>SAMUEL ESSILFIE</v>
          </cell>
          <cell r="D26" t="str">
            <v>RV0142687</v>
          </cell>
          <cell r="E26" t="str">
            <v>CASH DEPOSIT</v>
          </cell>
          <cell r="F26" t="str">
            <v>OK</v>
          </cell>
          <cell r="G26">
            <v>100</v>
          </cell>
          <cell r="N26">
            <v>100</v>
          </cell>
        </row>
        <row r="27">
          <cell r="A27">
            <v>42190</v>
          </cell>
          <cell r="B27">
            <v>324</v>
          </cell>
          <cell r="C27" t="str">
            <v>KWABENA AGYEKUM-SABRAW</v>
          </cell>
          <cell r="D27" t="str">
            <v>RV0142688</v>
          </cell>
          <cell r="E27" t="str">
            <v>LOAN REPAYMENT / INTEREST</v>
          </cell>
          <cell r="F27" t="str">
            <v>OK</v>
          </cell>
          <cell r="G27">
            <v>350</v>
          </cell>
          <cell r="R27">
            <v>300</v>
          </cell>
          <cell r="AQ27">
            <v>50</v>
          </cell>
        </row>
        <row r="28">
          <cell r="A28">
            <v>42190</v>
          </cell>
          <cell r="B28">
            <v>379</v>
          </cell>
          <cell r="C28" t="str">
            <v>LYDIA TIBU KWAKYE</v>
          </cell>
          <cell r="D28" t="str">
            <v>RV0142689</v>
          </cell>
          <cell r="E28" t="str">
            <v>CASH DEPOSIT</v>
          </cell>
          <cell r="F28" t="str">
            <v>OK</v>
          </cell>
          <cell r="G28">
            <v>200</v>
          </cell>
          <cell r="N28">
            <v>200</v>
          </cell>
        </row>
        <row r="29">
          <cell r="A29">
            <v>42190</v>
          </cell>
          <cell r="B29">
            <v>389</v>
          </cell>
          <cell r="C29" t="str">
            <v>ESTHER T.KWOFIE</v>
          </cell>
          <cell r="D29" t="str">
            <v>RV0142690</v>
          </cell>
          <cell r="E29" t="str">
            <v>Cash deposit</v>
          </cell>
          <cell r="F29" t="str">
            <v>OK</v>
          </cell>
          <cell r="G29">
            <v>100</v>
          </cell>
          <cell r="N29">
            <v>100</v>
          </cell>
        </row>
        <row r="30">
          <cell r="A30">
            <v>42190</v>
          </cell>
          <cell r="B30">
            <v>56900</v>
          </cell>
          <cell r="C30" t="str">
            <v>Office Expenses</v>
          </cell>
          <cell r="D30" t="str">
            <v>PV0054127</v>
          </cell>
          <cell r="E30" t="str">
            <v xml:space="preserve"> Payment of photograph for opening of a/c at Gold Coast</v>
          </cell>
          <cell r="F30" t="str">
            <v>OK</v>
          </cell>
          <cell r="H30">
            <v>20</v>
          </cell>
        </row>
        <row r="31">
          <cell r="A31">
            <v>42191</v>
          </cell>
          <cell r="B31">
            <v>56900</v>
          </cell>
          <cell r="C31" t="str">
            <v>Office Expenses</v>
          </cell>
          <cell r="D31" t="str">
            <v>PV0054128</v>
          </cell>
          <cell r="E31" t="str">
            <v>Water for the office</v>
          </cell>
          <cell r="F31" t="str">
            <v>OK</v>
          </cell>
          <cell r="H31">
            <v>3</v>
          </cell>
        </row>
        <row r="32">
          <cell r="A32">
            <v>42191</v>
          </cell>
          <cell r="B32">
            <v>56400</v>
          </cell>
          <cell r="C32" t="str">
            <v>Travel &amp; Transport (T &amp; T)</v>
          </cell>
          <cell r="D32" t="str">
            <v>PV0054129</v>
          </cell>
          <cell r="E32" t="str">
            <v>T&amp;T to bank</v>
          </cell>
          <cell r="F32" t="str">
            <v>OK</v>
          </cell>
          <cell r="H32">
            <v>7</v>
          </cell>
        </row>
        <row r="33">
          <cell r="A33">
            <v>42191</v>
          </cell>
          <cell r="B33">
            <v>54300</v>
          </cell>
          <cell r="C33" t="str">
            <v>BoD and Committee expenses</v>
          </cell>
          <cell r="D33" t="str">
            <v>PV0054130</v>
          </cell>
          <cell r="E33" t="str">
            <v>Cost of refreshment on Board meeting</v>
          </cell>
          <cell r="F33" t="str">
            <v>OK</v>
          </cell>
          <cell r="H33">
            <v>70</v>
          </cell>
        </row>
        <row r="34">
          <cell r="A34">
            <v>42191</v>
          </cell>
          <cell r="C34">
            <v>0</v>
          </cell>
          <cell r="F34" t="str">
            <v>OK</v>
          </cell>
        </row>
        <row r="35">
          <cell r="A35">
            <v>42191</v>
          </cell>
          <cell r="B35">
            <v>11201</v>
          </cell>
          <cell r="C35" t="str">
            <v>Bawjiase Area Rural Bank</v>
          </cell>
          <cell r="E35" t="str">
            <v>Cash deposit to Bank</v>
          </cell>
          <cell r="F35" t="str">
            <v>OK</v>
          </cell>
          <cell r="H35">
            <v>2600</v>
          </cell>
          <cell r="I35">
            <v>2600</v>
          </cell>
        </row>
        <row r="36">
          <cell r="A36">
            <v>42191</v>
          </cell>
          <cell r="B36">
            <v>367</v>
          </cell>
          <cell r="C36" t="str">
            <v>FIJAI METHODIST CHURCH</v>
          </cell>
          <cell r="D36" t="str">
            <v>RV0142691</v>
          </cell>
          <cell r="E36" t="str">
            <v>Cash  Deposit</v>
          </cell>
          <cell r="F36" t="str">
            <v>OK</v>
          </cell>
          <cell r="G36">
            <v>250</v>
          </cell>
          <cell r="N36">
            <v>250</v>
          </cell>
        </row>
        <row r="37">
          <cell r="A37">
            <v>42191</v>
          </cell>
          <cell r="B37">
            <v>300</v>
          </cell>
          <cell r="C37" t="str">
            <v>CIRCUIT WOMEN'S FELLOWSHIP METH.</v>
          </cell>
          <cell r="D37" t="str">
            <v>RV0142692</v>
          </cell>
          <cell r="E37" t="str">
            <v>Cash  Deposit</v>
          </cell>
          <cell r="F37" t="str">
            <v>OK</v>
          </cell>
          <cell r="G37">
            <v>300</v>
          </cell>
          <cell r="N37">
            <v>300</v>
          </cell>
        </row>
        <row r="38">
          <cell r="A38">
            <v>42191</v>
          </cell>
          <cell r="B38">
            <v>365</v>
          </cell>
          <cell r="C38" t="str">
            <v>RACHEAL VISSION WORKERS</v>
          </cell>
          <cell r="D38" t="str">
            <v>RV0142693</v>
          </cell>
          <cell r="E38" t="str">
            <v>Cash  Deposit</v>
          </cell>
          <cell r="F38" t="str">
            <v>OK</v>
          </cell>
          <cell r="G38">
            <v>100</v>
          </cell>
          <cell r="N38">
            <v>100</v>
          </cell>
        </row>
        <row r="39">
          <cell r="A39">
            <v>42191</v>
          </cell>
          <cell r="B39">
            <v>326</v>
          </cell>
          <cell r="C39" t="str">
            <v>OPEIKUMA TOWN METHODIST CH.</v>
          </cell>
          <cell r="D39" t="str">
            <v>RV0142694</v>
          </cell>
          <cell r="E39" t="str">
            <v>Cash  Deposit</v>
          </cell>
          <cell r="F39" t="str">
            <v>OK</v>
          </cell>
          <cell r="G39">
            <v>446</v>
          </cell>
          <cell r="N39">
            <v>446</v>
          </cell>
        </row>
        <row r="40">
          <cell r="A40">
            <v>42191</v>
          </cell>
          <cell r="B40">
            <v>178</v>
          </cell>
          <cell r="C40" t="str">
            <v>OSOFO MAAME CLASS</v>
          </cell>
          <cell r="D40" t="str">
            <v>RV0142695</v>
          </cell>
          <cell r="E40" t="str">
            <v>Cash  Deposit</v>
          </cell>
          <cell r="F40" t="str">
            <v>OK</v>
          </cell>
          <cell r="G40">
            <v>114</v>
          </cell>
          <cell r="N40">
            <v>114</v>
          </cell>
        </row>
        <row r="41">
          <cell r="A41">
            <v>42191</v>
          </cell>
          <cell r="B41">
            <v>255</v>
          </cell>
          <cell r="C41" t="str">
            <v>JOHN K.ANNAN</v>
          </cell>
          <cell r="D41" t="str">
            <v>RV0142696</v>
          </cell>
          <cell r="E41" t="str">
            <v>Cash  Deposit</v>
          </cell>
          <cell r="F41" t="str">
            <v>OK</v>
          </cell>
          <cell r="G41">
            <v>200</v>
          </cell>
          <cell r="N41">
            <v>200</v>
          </cell>
        </row>
        <row r="42">
          <cell r="A42">
            <v>42191</v>
          </cell>
          <cell r="B42">
            <v>256</v>
          </cell>
          <cell r="C42" t="str">
            <v>CHARLES ANDOH</v>
          </cell>
          <cell r="D42" t="str">
            <v>RV0142697</v>
          </cell>
          <cell r="E42" t="str">
            <v>Cash  Deposit</v>
          </cell>
          <cell r="F42" t="str">
            <v>OK</v>
          </cell>
          <cell r="G42">
            <v>200</v>
          </cell>
          <cell r="N42">
            <v>200</v>
          </cell>
        </row>
        <row r="43">
          <cell r="A43">
            <v>42191</v>
          </cell>
          <cell r="B43">
            <v>371</v>
          </cell>
          <cell r="C43" t="str">
            <v>DESMOND ASANTE</v>
          </cell>
          <cell r="D43" t="str">
            <v>RV0142698</v>
          </cell>
          <cell r="E43" t="str">
            <v>Cash  Deposit</v>
          </cell>
          <cell r="F43" t="str">
            <v>OK</v>
          </cell>
          <cell r="G43">
            <v>200</v>
          </cell>
          <cell r="N43">
            <v>200</v>
          </cell>
        </row>
        <row r="44">
          <cell r="A44">
            <v>42191</v>
          </cell>
          <cell r="B44">
            <v>231</v>
          </cell>
          <cell r="C44" t="str">
            <v>EMMANUEL DANSO</v>
          </cell>
          <cell r="D44" t="str">
            <v>RV0142699</v>
          </cell>
          <cell r="E44" t="str">
            <v>Loan Repayment / Deposit</v>
          </cell>
          <cell r="F44" t="str">
            <v>OK</v>
          </cell>
          <cell r="G44">
            <v>40</v>
          </cell>
          <cell r="I44">
            <v>700</v>
          </cell>
          <cell r="N44">
            <v>41</v>
          </cell>
          <cell r="R44">
            <v>600</v>
          </cell>
          <cell r="AQ44">
            <v>99</v>
          </cell>
        </row>
        <row r="45">
          <cell r="A45">
            <v>42191</v>
          </cell>
          <cell r="B45">
            <v>27</v>
          </cell>
          <cell r="C45" t="str">
            <v>RICHARD ASAMOAH</v>
          </cell>
          <cell r="D45" t="str">
            <v>RV0142700</v>
          </cell>
          <cell r="E45" t="str">
            <v>Loan Repayment / Deposit</v>
          </cell>
          <cell r="F45" t="str">
            <v>OK</v>
          </cell>
          <cell r="G45">
            <v>300</v>
          </cell>
          <cell r="N45">
            <v>6</v>
          </cell>
          <cell r="R45">
            <v>246</v>
          </cell>
          <cell r="AQ45">
            <v>48</v>
          </cell>
        </row>
        <row r="46">
          <cell r="A46">
            <v>42191</v>
          </cell>
          <cell r="B46">
            <v>372</v>
          </cell>
          <cell r="C46" t="str">
            <v>PHILIP AIDOO</v>
          </cell>
          <cell r="D46" t="str">
            <v>RV0154101</v>
          </cell>
          <cell r="E46" t="str">
            <v>Cash  Deposit</v>
          </cell>
          <cell r="F46" t="str">
            <v>OK</v>
          </cell>
          <cell r="G46">
            <v>80</v>
          </cell>
          <cell r="N46">
            <v>80</v>
          </cell>
        </row>
        <row r="47">
          <cell r="A47">
            <v>42192</v>
          </cell>
          <cell r="B47">
            <v>338</v>
          </cell>
          <cell r="C47" t="str">
            <v>AGARTHA BOTCHWAY</v>
          </cell>
          <cell r="D47" t="str">
            <v>RV0154102</v>
          </cell>
          <cell r="E47" t="str">
            <v>Cash  Deposit</v>
          </cell>
          <cell r="F47" t="str">
            <v>OK</v>
          </cell>
          <cell r="G47">
            <v>15</v>
          </cell>
          <cell r="N47">
            <v>15</v>
          </cell>
        </row>
        <row r="48">
          <cell r="A48">
            <v>42192</v>
          </cell>
          <cell r="B48">
            <v>318</v>
          </cell>
          <cell r="C48" t="str">
            <v>DORCAS BOTCHWAY</v>
          </cell>
          <cell r="D48" t="str">
            <v>RV0154103</v>
          </cell>
          <cell r="E48" t="str">
            <v>Loan Repayment / Inerest</v>
          </cell>
          <cell r="F48" t="str">
            <v>OK</v>
          </cell>
          <cell r="G48">
            <v>350</v>
          </cell>
          <cell r="R48">
            <v>300</v>
          </cell>
          <cell r="AQ48">
            <v>50</v>
          </cell>
        </row>
        <row r="49">
          <cell r="A49">
            <v>42192</v>
          </cell>
          <cell r="B49">
            <v>315</v>
          </cell>
          <cell r="C49" t="str">
            <v>SELINA NAANA ANDAM</v>
          </cell>
          <cell r="D49" t="str">
            <v>RV0154104</v>
          </cell>
          <cell r="E49" t="str">
            <v>Cash  Deposit</v>
          </cell>
          <cell r="F49" t="str">
            <v>OK</v>
          </cell>
          <cell r="G49">
            <v>50</v>
          </cell>
          <cell r="N49">
            <v>50</v>
          </cell>
        </row>
        <row r="50">
          <cell r="A50">
            <v>42192</v>
          </cell>
          <cell r="B50">
            <v>136</v>
          </cell>
          <cell r="C50" t="str">
            <v>LETICIA ARHIN</v>
          </cell>
          <cell r="D50" t="str">
            <v>RV0154105</v>
          </cell>
          <cell r="E50" t="str">
            <v>Loan Repayment / Inerest</v>
          </cell>
          <cell r="F50" t="str">
            <v>OK</v>
          </cell>
          <cell r="G50">
            <v>700</v>
          </cell>
          <cell r="R50">
            <v>601</v>
          </cell>
          <cell r="AQ50">
            <v>99</v>
          </cell>
        </row>
        <row r="51">
          <cell r="A51">
            <v>42192</v>
          </cell>
          <cell r="B51">
            <v>264</v>
          </cell>
          <cell r="C51" t="str">
            <v>AGNES BENTIL</v>
          </cell>
          <cell r="D51" t="str">
            <v>RV0154106</v>
          </cell>
          <cell r="E51" t="str">
            <v>Loan Repayment / Inerest</v>
          </cell>
          <cell r="F51" t="str">
            <v>OK</v>
          </cell>
          <cell r="G51">
            <v>275</v>
          </cell>
          <cell r="R51">
            <v>265</v>
          </cell>
          <cell r="AQ51">
            <v>10</v>
          </cell>
        </row>
        <row r="52">
          <cell r="A52">
            <v>42192</v>
          </cell>
          <cell r="B52">
            <v>2</v>
          </cell>
          <cell r="C52" t="str">
            <v>EMMANUEL OTABIL</v>
          </cell>
          <cell r="D52" t="str">
            <v>RV0154107</v>
          </cell>
          <cell r="E52" t="str">
            <v>Loan Repayment / Inerest</v>
          </cell>
          <cell r="F52" t="str">
            <v>OK</v>
          </cell>
          <cell r="G52">
            <v>2410</v>
          </cell>
          <cell r="R52">
            <v>2146</v>
          </cell>
          <cell r="AQ52">
            <v>264</v>
          </cell>
        </row>
        <row r="53">
          <cell r="A53">
            <v>42192</v>
          </cell>
          <cell r="B53">
            <v>316</v>
          </cell>
          <cell r="C53" t="str">
            <v>AGNES ARKOFUL</v>
          </cell>
          <cell r="D53" t="str">
            <v>RV0154108</v>
          </cell>
          <cell r="E53" t="str">
            <v>Loan processing fees</v>
          </cell>
          <cell r="F53" t="str">
            <v>OK</v>
          </cell>
          <cell r="G53">
            <v>10</v>
          </cell>
        </row>
        <row r="54">
          <cell r="A54">
            <v>42192</v>
          </cell>
          <cell r="B54">
            <v>318</v>
          </cell>
          <cell r="C54" t="str">
            <v>DORCAS BOTCHWAY</v>
          </cell>
          <cell r="D54" t="str">
            <v>PV0054131</v>
          </cell>
          <cell r="E54" t="str">
            <v>Savings  withdrawal</v>
          </cell>
          <cell r="F54" t="str">
            <v>OK</v>
          </cell>
          <cell r="H54">
            <v>150</v>
          </cell>
          <cell r="M54">
            <v>150</v>
          </cell>
        </row>
        <row r="55">
          <cell r="A55">
            <v>42192</v>
          </cell>
          <cell r="B55">
            <v>386</v>
          </cell>
          <cell r="C55" t="str">
            <v>ERNEST TETTEH</v>
          </cell>
          <cell r="D55" t="str">
            <v>PV0054132</v>
          </cell>
          <cell r="E55" t="str">
            <v>Savings  withdrawal</v>
          </cell>
          <cell r="F55" t="str">
            <v>OK</v>
          </cell>
          <cell r="H55">
            <v>200</v>
          </cell>
          <cell r="M55">
            <v>200</v>
          </cell>
        </row>
        <row r="56">
          <cell r="A56">
            <v>42192</v>
          </cell>
          <cell r="B56">
            <v>2</v>
          </cell>
          <cell r="C56" t="str">
            <v>EMMANUEL OTABIL</v>
          </cell>
          <cell r="D56" t="str">
            <v>PV0054133</v>
          </cell>
          <cell r="E56" t="str">
            <v>Savings  withdrawal</v>
          </cell>
          <cell r="F56" t="str">
            <v>OK</v>
          </cell>
          <cell r="H56">
            <v>2410</v>
          </cell>
          <cell r="M56">
            <v>2410</v>
          </cell>
        </row>
        <row r="57">
          <cell r="A57">
            <v>42192</v>
          </cell>
          <cell r="B57">
            <v>316</v>
          </cell>
          <cell r="C57" t="str">
            <v>AGNES ARKOFUL</v>
          </cell>
          <cell r="D57" t="str">
            <v>PV0054134</v>
          </cell>
          <cell r="E57" t="str">
            <v>Loan Disbursed</v>
          </cell>
          <cell r="F57" t="str">
            <v>OK</v>
          </cell>
          <cell r="H57">
            <v>500</v>
          </cell>
          <cell r="Q57">
            <v>500</v>
          </cell>
        </row>
        <row r="58">
          <cell r="A58">
            <v>42192</v>
          </cell>
          <cell r="B58">
            <v>56310</v>
          </cell>
          <cell r="C58" t="str">
            <v>Postage &amp; Communication</v>
          </cell>
          <cell r="D58" t="str">
            <v>PV0054135</v>
          </cell>
          <cell r="E58" t="str">
            <v>Purchase of call credit</v>
          </cell>
          <cell r="F58" t="str">
            <v>OK</v>
          </cell>
          <cell r="H58">
            <v>30</v>
          </cell>
        </row>
        <row r="59">
          <cell r="A59">
            <v>42192</v>
          </cell>
          <cell r="B59">
            <v>56400</v>
          </cell>
          <cell r="C59" t="str">
            <v>Travel &amp; Transport (T &amp; T)</v>
          </cell>
          <cell r="D59" t="str">
            <v>PV0054136</v>
          </cell>
          <cell r="E59" t="str">
            <v>Cost of fuel to loan defaulters</v>
          </cell>
          <cell r="F59" t="str">
            <v>OK</v>
          </cell>
          <cell r="H59">
            <v>50</v>
          </cell>
        </row>
        <row r="60">
          <cell r="A60">
            <v>42193</v>
          </cell>
          <cell r="B60">
            <v>54900</v>
          </cell>
          <cell r="C60" t="str">
            <v>Other Organizational Cost</v>
          </cell>
          <cell r="D60" t="str">
            <v>PV0054137</v>
          </cell>
          <cell r="E60" t="str">
            <v>Payment of building levy to CUA</v>
          </cell>
          <cell r="F60" t="str">
            <v>OK</v>
          </cell>
          <cell r="J60">
            <v>456</v>
          </cell>
        </row>
        <row r="61">
          <cell r="A61">
            <v>42193</v>
          </cell>
          <cell r="B61">
            <v>54350</v>
          </cell>
          <cell r="C61" t="str">
            <v>Protocol Expenses</v>
          </cell>
          <cell r="D61" t="str">
            <v>PV0054138</v>
          </cell>
          <cell r="E61" t="str">
            <v>t&amp;t for CUA official</v>
          </cell>
          <cell r="F61" t="str">
            <v>OK</v>
          </cell>
          <cell r="H61">
            <v>30</v>
          </cell>
        </row>
        <row r="62">
          <cell r="A62">
            <v>42193</v>
          </cell>
          <cell r="B62">
            <v>56310</v>
          </cell>
          <cell r="C62" t="str">
            <v>Postage &amp; Communication</v>
          </cell>
          <cell r="D62" t="str">
            <v>PV0054139</v>
          </cell>
          <cell r="E62" t="str">
            <v>Credit for internet modem</v>
          </cell>
          <cell r="F62" t="str">
            <v>OK</v>
          </cell>
          <cell r="H62">
            <v>10</v>
          </cell>
        </row>
        <row r="63">
          <cell r="A63">
            <v>42193</v>
          </cell>
          <cell r="B63">
            <v>54300</v>
          </cell>
          <cell r="C63" t="str">
            <v>BoD and Committee expenses</v>
          </cell>
          <cell r="D63" t="str">
            <v>PV0054140</v>
          </cell>
          <cell r="E63" t="str">
            <v>Additional cost incured on refreshment on board meeting</v>
          </cell>
          <cell r="F63" t="str">
            <v>OK</v>
          </cell>
          <cell r="H63">
            <v>10</v>
          </cell>
        </row>
        <row r="64">
          <cell r="A64">
            <v>42193</v>
          </cell>
          <cell r="B64">
            <v>338</v>
          </cell>
          <cell r="C64" t="str">
            <v>AGARTHA BOTCHWAY</v>
          </cell>
          <cell r="D64" t="str">
            <v>RV0154109</v>
          </cell>
          <cell r="E64" t="str">
            <v>Cash  Deposit</v>
          </cell>
          <cell r="F64" t="str">
            <v>OK</v>
          </cell>
          <cell r="G64">
            <v>20</v>
          </cell>
          <cell r="N64">
            <v>20</v>
          </cell>
        </row>
        <row r="65">
          <cell r="A65">
            <v>42193</v>
          </cell>
          <cell r="B65">
            <v>331</v>
          </cell>
          <cell r="C65" t="str">
            <v>THERESA ANDOH</v>
          </cell>
          <cell r="D65" t="str">
            <v>RV0154110</v>
          </cell>
          <cell r="E65" t="str">
            <v>Cash  Deposit</v>
          </cell>
          <cell r="F65" t="str">
            <v>OK</v>
          </cell>
          <cell r="G65">
            <v>110</v>
          </cell>
          <cell r="N65">
            <v>110</v>
          </cell>
        </row>
        <row r="66">
          <cell r="A66">
            <v>42193</v>
          </cell>
          <cell r="B66">
            <v>301</v>
          </cell>
          <cell r="C66" t="str">
            <v>ELIZABETH QUAYE</v>
          </cell>
          <cell r="D66" t="str">
            <v>RV0154111</v>
          </cell>
          <cell r="E66" t="str">
            <v>Loan Repayment / Inerest</v>
          </cell>
          <cell r="F66" t="str">
            <v>OK</v>
          </cell>
          <cell r="G66">
            <v>40</v>
          </cell>
          <cell r="R66">
            <v>33.75</v>
          </cell>
          <cell r="AQ66">
            <v>6.25</v>
          </cell>
        </row>
        <row r="67">
          <cell r="A67">
            <v>42194</v>
          </cell>
          <cell r="B67">
            <v>338</v>
          </cell>
          <cell r="C67" t="str">
            <v>AGARTHA BOTCHWAY</v>
          </cell>
          <cell r="D67" t="str">
            <v>RV0154112</v>
          </cell>
          <cell r="E67" t="str">
            <v>Cash  Deposit</v>
          </cell>
          <cell r="F67" t="str">
            <v>OK</v>
          </cell>
          <cell r="G67">
            <v>15</v>
          </cell>
          <cell r="N67">
            <v>15</v>
          </cell>
        </row>
        <row r="68">
          <cell r="A68">
            <v>42194</v>
          </cell>
          <cell r="B68">
            <v>345</v>
          </cell>
          <cell r="C68" t="str">
            <v>SAMUEL ESSILFIE</v>
          </cell>
          <cell r="D68" t="str">
            <v>RV0154113</v>
          </cell>
          <cell r="E68" t="str">
            <v>Cash  Deposit</v>
          </cell>
          <cell r="F68" t="str">
            <v>OK</v>
          </cell>
          <cell r="G68">
            <v>290</v>
          </cell>
          <cell r="N68">
            <v>290</v>
          </cell>
        </row>
        <row r="69">
          <cell r="A69">
            <v>42194</v>
          </cell>
          <cell r="B69">
            <v>264</v>
          </cell>
          <cell r="C69" t="str">
            <v>AGNES BENTIL</v>
          </cell>
          <cell r="D69" t="str">
            <v>RV0154114</v>
          </cell>
          <cell r="E69" t="str">
            <v>Loan processing fees</v>
          </cell>
          <cell r="F69" t="str">
            <v>OK</v>
          </cell>
          <cell r="G69">
            <v>16</v>
          </cell>
        </row>
        <row r="70">
          <cell r="A70">
            <v>42194</v>
          </cell>
          <cell r="B70">
            <v>264</v>
          </cell>
          <cell r="C70" t="str">
            <v>AGNES BENTIL</v>
          </cell>
          <cell r="D70" t="str">
            <v>PV0054141</v>
          </cell>
          <cell r="E70" t="str">
            <v>Loan Disbursed</v>
          </cell>
          <cell r="F70" t="str">
            <v>OK</v>
          </cell>
          <cell r="H70">
            <v>800</v>
          </cell>
          <cell r="M70">
            <v>800</v>
          </cell>
        </row>
        <row r="71">
          <cell r="A71">
            <v>42194</v>
          </cell>
          <cell r="B71">
            <v>56900</v>
          </cell>
          <cell r="C71" t="str">
            <v>Office Expenses</v>
          </cell>
          <cell r="D71" t="str">
            <v>PV0054142</v>
          </cell>
          <cell r="E71" t="str">
            <v>Purchase of ECG prepaid unit</v>
          </cell>
          <cell r="F71" t="str">
            <v>OK</v>
          </cell>
          <cell r="H71">
            <v>50</v>
          </cell>
        </row>
        <row r="72">
          <cell r="A72">
            <v>42195</v>
          </cell>
          <cell r="B72">
            <v>343</v>
          </cell>
          <cell r="C72" t="str">
            <v>METHODIST YOUTH FELLOWSHIP KS.CIRCUIT</v>
          </cell>
          <cell r="D72" t="str">
            <v>PV0054143</v>
          </cell>
          <cell r="E72" t="str">
            <v>Savings  withdrawal</v>
          </cell>
          <cell r="F72" t="str">
            <v>OK</v>
          </cell>
          <cell r="H72">
            <v>200</v>
          </cell>
          <cell r="M72">
            <v>200</v>
          </cell>
        </row>
        <row r="73">
          <cell r="A73">
            <v>42195</v>
          </cell>
          <cell r="B73">
            <v>388</v>
          </cell>
          <cell r="C73" t="str">
            <v>LOVE ENOS-AIDOOO</v>
          </cell>
          <cell r="D73" t="str">
            <v>RV0154116</v>
          </cell>
          <cell r="E73" t="str">
            <v>Cash  Deposit</v>
          </cell>
          <cell r="F73" t="str">
            <v>OK</v>
          </cell>
          <cell r="G73">
            <v>50</v>
          </cell>
          <cell r="N73">
            <v>50</v>
          </cell>
        </row>
        <row r="74">
          <cell r="A74">
            <v>42195</v>
          </cell>
          <cell r="B74">
            <v>70</v>
          </cell>
          <cell r="C74" t="str">
            <v>SAMUEL A.ANSAH</v>
          </cell>
          <cell r="D74" t="str">
            <v>RV0154117</v>
          </cell>
          <cell r="E74" t="str">
            <v>Cash  Deposit</v>
          </cell>
          <cell r="F74" t="str">
            <v>OK</v>
          </cell>
          <cell r="G74">
            <v>50</v>
          </cell>
          <cell r="N74">
            <v>50</v>
          </cell>
        </row>
        <row r="75">
          <cell r="A75">
            <v>42195</v>
          </cell>
          <cell r="B75">
            <v>338</v>
          </cell>
          <cell r="C75" t="str">
            <v>AGARTHA BOTCHWAY</v>
          </cell>
          <cell r="D75" t="str">
            <v>RV0154118</v>
          </cell>
          <cell r="E75" t="str">
            <v>Cash  Deposit</v>
          </cell>
          <cell r="F75" t="str">
            <v>OK</v>
          </cell>
          <cell r="G75">
            <v>10</v>
          </cell>
          <cell r="N75">
            <v>10</v>
          </cell>
        </row>
        <row r="76">
          <cell r="A76">
            <v>42195</v>
          </cell>
          <cell r="B76">
            <v>33</v>
          </cell>
          <cell r="C76" t="str">
            <v>NANA KOJO QUANSAH</v>
          </cell>
          <cell r="D76" t="str">
            <v>RV0154119</v>
          </cell>
          <cell r="E76" t="str">
            <v>Cash  Deposit</v>
          </cell>
          <cell r="F76" t="str">
            <v>OK</v>
          </cell>
          <cell r="G76">
            <v>400</v>
          </cell>
          <cell r="N76">
            <v>400</v>
          </cell>
        </row>
        <row r="77">
          <cell r="A77">
            <v>42197</v>
          </cell>
          <cell r="B77">
            <v>171</v>
          </cell>
          <cell r="C77" t="str">
            <v>DORA MENSAH</v>
          </cell>
          <cell r="D77" t="str">
            <v>RV0154120</v>
          </cell>
          <cell r="E77" t="str">
            <v>Cash  Deposit</v>
          </cell>
          <cell r="F77" t="str">
            <v>OK</v>
          </cell>
          <cell r="G77">
            <v>60</v>
          </cell>
          <cell r="N77">
            <v>60</v>
          </cell>
        </row>
        <row r="78">
          <cell r="A78">
            <v>42197</v>
          </cell>
          <cell r="B78">
            <v>132</v>
          </cell>
          <cell r="C78" t="str">
            <v>CHRISTIANA KARKO</v>
          </cell>
          <cell r="D78" t="str">
            <v>RV0154121</v>
          </cell>
          <cell r="E78" t="str">
            <v>Cash  Deposit</v>
          </cell>
          <cell r="F78" t="str">
            <v>OK</v>
          </cell>
          <cell r="G78">
            <v>50</v>
          </cell>
          <cell r="N78">
            <v>50</v>
          </cell>
        </row>
        <row r="79">
          <cell r="A79">
            <v>42197</v>
          </cell>
          <cell r="B79">
            <v>295</v>
          </cell>
          <cell r="C79" t="str">
            <v>MATHEW EDUOKU</v>
          </cell>
          <cell r="D79" t="str">
            <v>RV0154122</v>
          </cell>
          <cell r="E79" t="str">
            <v>Loan Repayment / Inerest</v>
          </cell>
          <cell r="F79" t="str">
            <v>OK</v>
          </cell>
          <cell r="G79">
            <v>50</v>
          </cell>
          <cell r="R79">
            <v>40</v>
          </cell>
          <cell r="AQ79">
            <v>10</v>
          </cell>
        </row>
        <row r="80">
          <cell r="A80">
            <v>42198</v>
          </cell>
          <cell r="B80">
            <v>54350</v>
          </cell>
          <cell r="C80" t="str">
            <v>Protocol Expenses</v>
          </cell>
          <cell r="D80" t="str">
            <v>PV0054144</v>
          </cell>
          <cell r="E80" t="str">
            <v>T&amp;T for CUA official</v>
          </cell>
          <cell r="F80" t="str">
            <v>OK</v>
          </cell>
          <cell r="H80">
            <v>100</v>
          </cell>
        </row>
        <row r="81">
          <cell r="A81">
            <v>42198</v>
          </cell>
          <cell r="B81">
            <v>162</v>
          </cell>
          <cell r="C81" t="str">
            <v>EMMANUEL KEELSON(SNR)</v>
          </cell>
          <cell r="D81" t="str">
            <v>PV0054145</v>
          </cell>
          <cell r="E81" t="str">
            <v>Savings  withdrawal</v>
          </cell>
          <cell r="F81" t="str">
            <v>OK</v>
          </cell>
          <cell r="H81">
            <v>100</v>
          </cell>
          <cell r="M81">
            <v>100</v>
          </cell>
        </row>
        <row r="82">
          <cell r="A82">
            <v>42198</v>
          </cell>
          <cell r="B82">
            <v>69</v>
          </cell>
          <cell r="C82" t="str">
            <v>PATIENCE ANSAH</v>
          </cell>
          <cell r="D82" t="str">
            <v>PV0054146</v>
          </cell>
          <cell r="E82" t="str">
            <v>Savings  withdrawal</v>
          </cell>
          <cell r="F82" t="str">
            <v>OK</v>
          </cell>
          <cell r="H82">
            <v>426</v>
          </cell>
          <cell r="M82">
            <v>426</v>
          </cell>
        </row>
        <row r="83">
          <cell r="A83">
            <v>42198</v>
          </cell>
          <cell r="B83">
            <v>56900</v>
          </cell>
          <cell r="C83" t="str">
            <v>Office Expenses</v>
          </cell>
          <cell r="D83" t="str">
            <v>PV0054147</v>
          </cell>
          <cell r="E83" t="str">
            <v>Gabbage disposal</v>
          </cell>
          <cell r="F83" t="str">
            <v>OK</v>
          </cell>
          <cell r="H83">
            <v>1</v>
          </cell>
        </row>
        <row r="84">
          <cell r="A84">
            <v>42198</v>
          </cell>
          <cell r="B84">
            <v>70</v>
          </cell>
          <cell r="C84" t="str">
            <v>SAMUEL A.ANSAH</v>
          </cell>
          <cell r="D84" t="str">
            <v>PV0054148</v>
          </cell>
          <cell r="E84" t="str">
            <v>Loan Disbursed</v>
          </cell>
          <cell r="F84" t="str">
            <v>OK</v>
          </cell>
          <cell r="J84">
            <v>1000</v>
          </cell>
          <cell r="Q84">
            <v>1000</v>
          </cell>
        </row>
        <row r="85">
          <cell r="A85">
            <v>42198</v>
          </cell>
          <cell r="B85">
            <v>69</v>
          </cell>
          <cell r="C85" t="str">
            <v>PATIENCE ANSAH</v>
          </cell>
          <cell r="D85" t="str">
            <v>RV0154123</v>
          </cell>
          <cell r="E85" t="str">
            <v>Loan Repayment / Inerest</v>
          </cell>
          <cell r="F85" t="str">
            <v>OK</v>
          </cell>
          <cell r="G85">
            <v>426</v>
          </cell>
          <cell r="R85">
            <v>375</v>
          </cell>
          <cell r="AQ85">
            <v>51</v>
          </cell>
        </row>
        <row r="86">
          <cell r="A86">
            <v>42198</v>
          </cell>
          <cell r="B86">
            <v>367</v>
          </cell>
          <cell r="C86" t="str">
            <v>FIJAI METHODIST CHURCH</v>
          </cell>
          <cell r="D86" t="str">
            <v>RV0154124</v>
          </cell>
          <cell r="E86" t="str">
            <v>Cash  Deposit</v>
          </cell>
          <cell r="F86" t="str">
            <v>OK</v>
          </cell>
          <cell r="G86">
            <v>220</v>
          </cell>
          <cell r="L86">
            <v>20</v>
          </cell>
          <cell r="N86">
            <v>200</v>
          </cell>
        </row>
        <row r="87">
          <cell r="A87">
            <v>42198</v>
          </cell>
          <cell r="B87">
            <v>354</v>
          </cell>
          <cell r="C87" t="str">
            <v>ANNA EHUN AMU</v>
          </cell>
          <cell r="D87" t="str">
            <v>RV0154125</v>
          </cell>
          <cell r="E87" t="str">
            <v>Cash  Deposit</v>
          </cell>
          <cell r="F87" t="str">
            <v>OK</v>
          </cell>
          <cell r="G87">
            <v>30</v>
          </cell>
          <cell r="N87">
            <v>30</v>
          </cell>
        </row>
        <row r="88">
          <cell r="A88">
            <v>42198</v>
          </cell>
          <cell r="B88">
            <v>70</v>
          </cell>
          <cell r="C88" t="str">
            <v>SAMUEL A.ANSAH</v>
          </cell>
          <cell r="D88" t="str">
            <v>RV0154126</v>
          </cell>
          <cell r="E88" t="str">
            <v>Loan processing fees</v>
          </cell>
          <cell r="F88" t="str">
            <v>OK</v>
          </cell>
          <cell r="G88">
            <v>20</v>
          </cell>
        </row>
        <row r="89">
          <cell r="A89">
            <v>42198</v>
          </cell>
          <cell r="B89">
            <v>209</v>
          </cell>
          <cell r="C89" t="str">
            <v>BERNARD BENTSIL BARNES</v>
          </cell>
          <cell r="D89" t="str">
            <v>RV0154127</v>
          </cell>
          <cell r="E89" t="str">
            <v>Cash  Deposit</v>
          </cell>
          <cell r="F89" t="str">
            <v>OK</v>
          </cell>
          <cell r="G89">
            <v>50</v>
          </cell>
          <cell r="N89">
            <v>50</v>
          </cell>
        </row>
        <row r="90">
          <cell r="A90">
            <v>42199</v>
          </cell>
          <cell r="B90">
            <v>338</v>
          </cell>
          <cell r="C90" t="str">
            <v>AGARTHA BOTCHWAY</v>
          </cell>
          <cell r="D90" t="str">
            <v>RV0154128</v>
          </cell>
          <cell r="E90" t="str">
            <v>Cash  Deposit</v>
          </cell>
          <cell r="F90" t="str">
            <v>OK</v>
          </cell>
          <cell r="G90">
            <v>10</v>
          </cell>
          <cell r="N90">
            <v>10</v>
          </cell>
        </row>
        <row r="91">
          <cell r="A91">
            <v>42199</v>
          </cell>
          <cell r="B91">
            <v>37</v>
          </cell>
          <cell r="C91" t="str">
            <v>RACHEAL NYARKO</v>
          </cell>
          <cell r="D91" t="str">
            <v>RV0154129</v>
          </cell>
          <cell r="E91" t="str">
            <v>Loan Repayment / Inerest</v>
          </cell>
          <cell r="F91" t="str">
            <v>OK</v>
          </cell>
          <cell r="G91">
            <v>146</v>
          </cell>
          <cell r="R91">
            <v>125</v>
          </cell>
          <cell r="AQ91">
            <v>21</v>
          </cell>
        </row>
        <row r="92">
          <cell r="A92">
            <v>42199</v>
          </cell>
          <cell r="B92">
            <v>365</v>
          </cell>
          <cell r="C92" t="str">
            <v>RACHEAL VISSION WORKERS</v>
          </cell>
          <cell r="D92" t="str">
            <v>RV0154130</v>
          </cell>
          <cell r="E92" t="str">
            <v>Cash  Deposit</v>
          </cell>
          <cell r="F92" t="str">
            <v>OK</v>
          </cell>
          <cell r="G92">
            <v>145</v>
          </cell>
          <cell r="N92">
            <v>145</v>
          </cell>
        </row>
        <row r="93">
          <cell r="A93">
            <v>42199</v>
          </cell>
          <cell r="B93">
            <v>365</v>
          </cell>
          <cell r="C93" t="str">
            <v>RACHEAL VISSION WORKERS</v>
          </cell>
          <cell r="D93" t="str">
            <v>RV0154131</v>
          </cell>
          <cell r="E93" t="str">
            <v>Cash  Deposit</v>
          </cell>
          <cell r="F93" t="str">
            <v>OK</v>
          </cell>
          <cell r="G93">
            <v>20</v>
          </cell>
          <cell r="N93">
            <v>20</v>
          </cell>
        </row>
        <row r="94">
          <cell r="A94">
            <v>42199</v>
          </cell>
          <cell r="B94">
            <v>361</v>
          </cell>
          <cell r="C94" t="str">
            <v>JULIANA ADU BREMPONG</v>
          </cell>
          <cell r="D94" t="str">
            <v>RV0154132</v>
          </cell>
          <cell r="E94" t="str">
            <v>Loan Repayment / Inerest</v>
          </cell>
          <cell r="F94" t="str">
            <v>OK</v>
          </cell>
          <cell r="G94">
            <v>100</v>
          </cell>
          <cell r="R94">
            <v>91</v>
          </cell>
          <cell r="AQ94">
            <v>9</v>
          </cell>
        </row>
        <row r="95">
          <cell r="A95">
            <v>42199</v>
          </cell>
          <cell r="B95">
            <v>56900</v>
          </cell>
          <cell r="C95" t="str">
            <v>Office Expenses</v>
          </cell>
          <cell r="D95" t="str">
            <v>PV0054149</v>
          </cell>
          <cell r="E95" t="str">
            <v>Provissions for the office</v>
          </cell>
          <cell r="F95" t="str">
            <v>OK</v>
          </cell>
          <cell r="H95">
            <v>50</v>
          </cell>
        </row>
        <row r="96">
          <cell r="A96">
            <v>42199</v>
          </cell>
          <cell r="B96">
            <v>54300</v>
          </cell>
          <cell r="C96" t="str">
            <v>BoD and Committee expenses</v>
          </cell>
          <cell r="D96" t="str">
            <v>PV0054150</v>
          </cell>
          <cell r="E96" t="str">
            <v>Fees paid for Board of Direstoers training</v>
          </cell>
          <cell r="F96" t="str">
            <v>OK</v>
          </cell>
          <cell r="H96">
            <v>275</v>
          </cell>
        </row>
        <row r="97">
          <cell r="A97">
            <v>42199</v>
          </cell>
          <cell r="B97">
            <v>54300</v>
          </cell>
          <cell r="C97" t="str">
            <v>BoD and Committee expenses</v>
          </cell>
          <cell r="D97" t="str">
            <v>PV0054151</v>
          </cell>
          <cell r="E97" t="str">
            <v>t&amp;t to BOD Training</v>
          </cell>
          <cell r="F97" t="str">
            <v>OK</v>
          </cell>
          <cell r="H97">
            <v>30</v>
          </cell>
        </row>
        <row r="98">
          <cell r="A98">
            <v>42199</v>
          </cell>
          <cell r="B98">
            <v>384</v>
          </cell>
          <cell r="C98" t="str">
            <v>SEMENHYIA METH PREACHING POST</v>
          </cell>
          <cell r="D98" t="str">
            <v>PV0054153</v>
          </cell>
          <cell r="E98" t="str">
            <v>Savings  withdrawal</v>
          </cell>
          <cell r="F98" t="str">
            <v>OK</v>
          </cell>
          <cell r="H98">
            <v>500</v>
          </cell>
          <cell r="M98">
            <v>500</v>
          </cell>
        </row>
        <row r="99">
          <cell r="A99">
            <v>42200</v>
          </cell>
          <cell r="B99">
            <v>162</v>
          </cell>
          <cell r="C99" t="str">
            <v>EMMANUEL KEELSON(SNR)</v>
          </cell>
          <cell r="D99" t="str">
            <v>PV0054154</v>
          </cell>
          <cell r="E99" t="str">
            <v>Loan Disbursed</v>
          </cell>
          <cell r="F99" t="str">
            <v>OK</v>
          </cell>
          <cell r="H99">
            <v>400</v>
          </cell>
          <cell r="Q99">
            <v>400</v>
          </cell>
        </row>
        <row r="100">
          <cell r="A100">
            <v>42200</v>
          </cell>
          <cell r="B100">
            <v>85</v>
          </cell>
          <cell r="C100" t="str">
            <v>GOOD SHEPHERD METH CH.</v>
          </cell>
          <cell r="D100" t="str">
            <v>PV0054155</v>
          </cell>
          <cell r="E100" t="str">
            <v>Savings  withdrawal</v>
          </cell>
          <cell r="F100" t="str">
            <v>OK</v>
          </cell>
          <cell r="H100">
            <v>800</v>
          </cell>
          <cell r="M100">
            <v>800</v>
          </cell>
        </row>
        <row r="101">
          <cell r="A101">
            <v>42200</v>
          </cell>
          <cell r="B101">
            <v>99999</v>
          </cell>
          <cell r="C101" t="str">
            <v>cancelled voucher</v>
          </cell>
          <cell r="D101" t="str">
            <v>PV0054156</v>
          </cell>
          <cell r="F101" t="str">
            <v>OK</v>
          </cell>
        </row>
        <row r="102">
          <cell r="A102">
            <v>42200</v>
          </cell>
          <cell r="B102">
            <v>54350</v>
          </cell>
          <cell r="C102" t="str">
            <v>Protocol Expenses</v>
          </cell>
          <cell r="D102" t="str">
            <v>PV0054157</v>
          </cell>
          <cell r="E102" t="str">
            <v>t&amp;t for CUA official</v>
          </cell>
          <cell r="F102" t="str">
            <v>OK</v>
          </cell>
          <cell r="H102">
            <v>30</v>
          </cell>
        </row>
        <row r="103">
          <cell r="A103">
            <v>42201</v>
          </cell>
          <cell r="B103">
            <v>56310</v>
          </cell>
          <cell r="C103" t="str">
            <v>Postage &amp; Communication</v>
          </cell>
          <cell r="D103" t="str">
            <v>PV0054158</v>
          </cell>
          <cell r="E103" t="str">
            <v>credit for internet modem and call</v>
          </cell>
          <cell r="F103" t="str">
            <v>OK</v>
          </cell>
          <cell r="H103">
            <v>40</v>
          </cell>
        </row>
        <row r="104">
          <cell r="A104">
            <v>42200</v>
          </cell>
          <cell r="B104">
            <v>394</v>
          </cell>
          <cell r="C104" t="str">
            <v>JAMES KOUFIE</v>
          </cell>
          <cell r="D104" t="str">
            <v>RV0154133</v>
          </cell>
          <cell r="E104" t="str">
            <v>Cash  Deposit</v>
          </cell>
          <cell r="F104" t="str">
            <v>OK</v>
          </cell>
          <cell r="G104">
            <v>505</v>
          </cell>
          <cell r="L104">
            <v>50</v>
          </cell>
          <cell r="N104">
            <v>450</v>
          </cell>
        </row>
        <row r="105">
          <cell r="A105">
            <v>42200</v>
          </cell>
          <cell r="B105">
            <v>338</v>
          </cell>
          <cell r="C105" t="str">
            <v>AGARTHA BOTCHWAY</v>
          </cell>
          <cell r="D105" t="str">
            <v>RV0154134</v>
          </cell>
          <cell r="E105" t="str">
            <v>Cash  Deposit</v>
          </cell>
          <cell r="F105" t="str">
            <v>OK</v>
          </cell>
          <cell r="G105">
            <v>10</v>
          </cell>
          <cell r="N105">
            <v>10</v>
          </cell>
        </row>
        <row r="106">
          <cell r="A106">
            <v>42200</v>
          </cell>
          <cell r="B106">
            <v>231</v>
          </cell>
          <cell r="C106" t="str">
            <v>EMMANUEL DANSO</v>
          </cell>
          <cell r="D106" t="str">
            <v>RV0154135</v>
          </cell>
          <cell r="E106" t="str">
            <v>Cash  Deposit</v>
          </cell>
          <cell r="F106" t="str">
            <v>OK</v>
          </cell>
          <cell r="G106">
            <v>30</v>
          </cell>
          <cell r="N106">
            <v>30</v>
          </cell>
        </row>
        <row r="107">
          <cell r="A107">
            <v>42200</v>
          </cell>
          <cell r="B107">
            <v>33</v>
          </cell>
          <cell r="C107" t="str">
            <v>NANA KOJO QUANSAH</v>
          </cell>
          <cell r="D107" t="str">
            <v>RV0154136</v>
          </cell>
          <cell r="E107" t="str">
            <v>Cash  Deposit</v>
          </cell>
          <cell r="F107" t="str">
            <v>OK</v>
          </cell>
          <cell r="G107">
            <v>800</v>
          </cell>
          <cell r="N107">
            <v>800</v>
          </cell>
        </row>
        <row r="108">
          <cell r="A108">
            <v>42200</v>
          </cell>
          <cell r="B108">
            <v>162</v>
          </cell>
          <cell r="C108" t="str">
            <v>EMMANUEL KEELSON(SNR)</v>
          </cell>
          <cell r="D108" t="str">
            <v>RV0154137</v>
          </cell>
          <cell r="E108" t="str">
            <v>Loan processing fees</v>
          </cell>
          <cell r="F108" t="str">
            <v>OK</v>
          </cell>
          <cell r="G108">
            <v>8</v>
          </cell>
        </row>
        <row r="109">
          <cell r="A109">
            <v>42200</v>
          </cell>
          <cell r="B109">
            <v>339</v>
          </cell>
          <cell r="C109" t="str">
            <v>FRANKLINA ESSEL</v>
          </cell>
          <cell r="D109" t="str">
            <v>RV0154138</v>
          </cell>
          <cell r="E109" t="str">
            <v>Loan Repayment / Deposit</v>
          </cell>
          <cell r="F109" t="str">
            <v>OK</v>
          </cell>
          <cell r="G109">
            <v>60</v>
          </cell>
          <cell r="N109">
            <v>1.5</v>
          </cell>
          <cell r="R109">
            <v>50</v>
          </cell>
          <cell r="AQ109">
            <v>8.5</v>
          </cell>
        </row>
        <row r="110">
          <cell r="A110">
            <v>42201</v>
          </cell>
          <cell r="B110">
            <v>384</v>
          </cell>
          <cell r="C110" t="str">
            <v>SEMENHYIA METH PREACHING POST</v>
          </cell>
          <cell r="D110" t="str">
            <v>RV0154139</v>
          </cell>
          <cell r="E110" t="str">
            <v>Cash  Deposit</v>
          </cell>
          <cell r="F110" t="str">
            <v>OK</v>
          </cell>
          <cell r="G110">
            <v>173</v>
          </cell>
          <cell r="N110">
            <v>173</v>
          </cell>
        </row>
        <row r="111">
          <cell r="A111">
            <v>42201</v>
          </cell>
          <cell r="B111">
            <v>271</v>
          </cell>
          <cell r="C111" t="str">
            <v>METHODIST MEN'S FELLOWSHIP KASOA</v>
          </cell>
          <cell r="D111" t="str">
            <v>RV0154140</v>
          </cell>
          <cell r="E111" t="str">
            <v>Cash  Deposit</v>
          </cell>
          <cell r="F111" t="str">
            <v>OK</v>
          </cell>
          <cell r="G111">
            <v>100</v>
          </cell>
          <cell r="N111">
            <v>100</v>
          </cell>
        </row>
        <row r="112">
          <cell r="A112">
            <v>42201</v>
          </cell>
          <cell r="B112">
            <v>338</v>
          </cell>
          <cell r="C112" t="str">
            <v>AGARTHA BOTCHWAY</v>
          </cell>
          <cell r="D112" t="str">
            <v>RV0154141</v>
          </cell>
          <cell r="E112" t="str">
            <v>Cash  Deposit</v>
          </cell>
          <cell r="F112" t="str">
            <v>OK</v>
          </cell>
          <cell r="G112">
            <v>10</v>
          </cell>
          <cell r="N112">
            <v>10</v>
          </cell>
        </row>
        <row r="113">
          <cell r="A113">
            <v>42202</v>
          </cell>
          <cell r="B113">
            <v>356</v>
          </cell>
          <cell r="C113" t="str">
            <v>BEATRICE ARTHUR</v>
          </cell>
          <cell r="D113" t="str">
            <v>RV0154142</v>
          </cell>
          <cell r="E113" t="str">
            <v>Loan Repayment / Inerest</v>
          </cell>
          <cell r="F113" t="str">
            <v>OK</v>
          </cell>
          <cell r="G113">
            <v>109</v>
          </cell>
          <cell r="R113">
            <v>100</v>
          </cell>
          <cell r="AQ113">
            <v>9</v>
          </cell>
        </row>
        <row r="114">
          <cell r="A114">
            <v>42202</v>
          </cell>
          <cell r="B114">
            <v>365</v>
          </cell>
          <cell r="C114" t="str">
            <v>RACHEAL VISSION WORKERS</v>
          </cell>
          <cell r="D114" t="str">
            <v>RV0154143</v>
          </cell>
          <cell r="E114" t="str">
            <v>Cash  Deposit</v>
          </cell>
          <cell r="F114" t="str">
            <v>OK</v>
          </cell>
          <cell r="G114">
            <v>80</v>
          </cell>
          <cell r="N114">
            <v>80</v>
          </cell>
        </row>
        <row r="115">
          <cell r="A115">
            <v>42202</v>
          </cell>
          <cell r="B115">
            <v>361</v>
          </cell>
          <cell r="C115" t="str">
            <v>JULIANA ADU BREMPONG</v>
          </cell>
          <cell r="D115" t="str">
            <v>RV0154144</v>
          </cell>
          <cell r="E115" t="str">
            <v>Loan repayment</v>
          </cell>
          <cell r="F115" t="str">
            <v>OK</v>
          </cell>
          <cell r="G115">
            <v>50</v>
          </cell>
          <cell r="R115">
            <v>50</v>
          </cell>
        </row>
        <row r="116">
          <cell r="A116">
            <v>42202</v>
          </cell>
          <cell r="B116">
            <v>392</v>
          </cell>
          <cell r="C116" t="str">
            <v>AL-HALIM HALIMA OTOO</v>
          </cell>
          <cell r="D116" t="str">
            <v>RV0154145</v>
          </cell>
          <cell r="E116" t="str">
            <v>Cash  Deposit</v>
          </cell>
          <cell r="F116" t="str">
            <v>OK</v>
          </cell>
          <cell r="G116">
            <v>60</v>
          </cell>
          <cell r="L116">
            <v>40</v>
          </cell>
          <cell r="N116">
            <v>20</v>
          </cell>
        </row>
        <row r="117">
          <cell r="A117">
            <v>42202</v>
          </cell>
          <cell r="B117">
            <v>35</v>
          </cell>
          <cell r="C117" t="str">
            <v>MICHEAL PADDY MENDS</v>
          </cell>
          <cell r="D117" t="str">
            <v>RV0154146</v>
          </cell>
          <cell r="E117" t="str">
            <v>Loan Repayment / Inerest</v>
          </cell>
          <cell r="F117" t="str">
            <v>OK</v>
          </cell>
          <cell r="G117">
            <v>70</v>
          </cell>
          <cell r="R117">
            <v>60</v>
          </cell>
          <cell r="AQ117">
            <v>10</v>
          </cell>
        </row>
        <row r="118">
          <cell r="A118">
            <v>42202</v>
          </cell>
          <cell r="B118">
            <v>11201</v>
          </cell>
          <cell r="C118" t="str">
            <v>Bawjiase Area Rural Bank</v>
          </cell>
          <cell r="E118" t="str">
            <v>Cash deposit to Bank</v>
          </cell>
          <cell r="F118" t="str">
            <v>OK</v>
          </cell>
          <cell r="H118">
            <v>1807.8</v>
          </cell>
          <cell r="I118">
            <v>1807.8</v>
          </cell>
        </row>
        <row r="119">
          <cell r="A119">
            <v>42204</v>
          </cell>
          <cell r="B119">
            <v>52</v>
          </cell>
          <cell r="C119" t="str">
            <v>FLORENCE DONKOR</v>
          </cell>
          <cell r="D119" t="str">
            <v>RV0154147</v>
          </cell>
          <cell r="E119" t="str">
            <v>Loan Repayment / Deposit</v>
          </cell>
          <cell r="F119" t="str">
            <v>OK</v>
          </cell>
          <cell r="G119">
            <v>195</v>
          </cell>
          <cell r="N119">
            <v>20</v>
          </cell>
          <cell r="R119">
            <v>150</v>
          </cell>
          <cell r="AQ119">
            <v>25</v>
          </cell>
        </row>
        <row r="120">
          <cell r="A120">
            <v>42204</v>
          </cell>
          <cell r="B120">
            <v>329</v>
          </cell>
          <cell r="C120" t="str">
            <v>FAUSTINA BAINE</v>
          </cell>
          <cell r="D120" t="str">
            <v>RV0154148</v>
          </cell>
          <cell r="E120" t="str">
            <v>Cash  Deposit</v>
          </cell>
          <cell r="F120" t="str">
            <v>OK</v>
          </cell>
          <cell r="G120">
            <v>40</v>
          </cell>
          <cell r="N120">
            <v>40</v>
          </cell>
        </row>
        <row r="121">
          <cell r="A121">
            <v>42204</v>
          </cell>
          <cell r="B121">
            <v>379</v>
          </cell>
          <cell r="C121" t="str">
            <v>LYDIA TIBU KWAKYE</v>
          </cell>
          <cell r="D121" t="str">
            <v>RV0154149</v>
          </cell>
          <cell r="E121" t="str">
            <v>Cash  Deposit</v>
          </cell>
          <cell r="F121" t="str">
            <v>OK</v>
          </cell>
          <cell r="G121">
            <v>200</v>
          </cell>
          <cell r="N121">
            <v>200</v>
          </cell>
        </row>
        <row r="122">
          <cell r="A122">
            <v>42204</v>
          </cell>
          <cell r="B122">
            <v>260</v>
          </cell>
          <cell r="C122" t="str">
            <v>BETHEL METHODIST CHURCH CHOIR</v>
          </cell>
          <cell r="D122" t="str">
            <v>RV0154150</v>
          </cell>
          <cell r="E122" t="str">
            <v>Cash  Deposit</v>
          </cell>
          <cell r="F122" t="str">
            <v>OK</v>
          </cell>
          <cell r="G122">
            <v>2600</v>
          </cell>
          <cell r="N122">
            <v>2600</v>
          </cell>
        </row>
        <row r="123">
          <cell r="A123">
            <v>42204</v>
          </cell>
          <cell r="B123">
            <v>321</v>
          </cell>
          <cell r="C123" t="str">
            <v>HAGAR EBIASIMAH GYAMFI</v>
          </cell>
          <cell r="D123" t="str">
            <v>RV0154151</v>
          </cell>
          <cell r="E123" t="str">
            <v>Cash  Deposit</v>
          </cell>
          <cell r="F123" t="str">
            <v>OK</v>
          </cell>
          <cell r="G123">
            <v>50</v>
          </cell>
          <cell r="N123">
            <v>50</v>
          </cell>
        </row>
        <row r="124">
          <cell r="A124">
            <v>42204</v>
          </cell>
          <cell r="B124">
            <v>171</v>
          </cell>
          <cell r="C124" t="str">
            <v>DORA MENSAH</v>
          </cell>
          <cell r="D124" t="str">
            <v>RV0154152</v>
          </cell>
          <cell r="E124" t="str">
            <v>Cash  Deposit</v>
          </cell>
          <cell r="F124" t="str">
            <v>OK</v>
          </cell>
          <cell r="G124">
            <v>20</v>
          </cell>
          <cell r="N124">
            <v>20</v>
          </cell>
        </row>
        <row r="125">
          <cell r="A125">
            <v>42204</v>
          </cell>
          <cell r="B125">
            <v>97</v>
          </cell>
          <cell r="C125" t="str">
            <v>GRACE ABENA AKORLOR</v>
          </cell>
          <cell r="D125" t="str">
            <v>RV0154153</v>
          </cell>
          <cell r="E125" t="str">
            <v>Loan Repayment / Deposit</v>
          </cell>
          <cell r="F125" t="str">
            <v>OK</v>
          </cell>
          <cell r="G125">
            <v>650</v>
          </cell>
          <cell r="R125">
            <v>518</v>
          </cell>
          <cell r="AQ125">
            <v>132</v>
          </cell>
        </row>
        <row r="126">
          <cell r="A126">
            <v>42204</v>
          </cell>
          <cell r="B126">
            <v>345</v>
          </cell>
          <cell r="C126" t="str">
            <v>SAMUEL ESSILFIE</v>
          </cell>
          <cell r="D126" t="str">
            <v>RV0154154</v>
          </cell>
          <cell r="E126" t="str">
            <v>Cash  Deposit</v>
          </cell>
          <cell r="F126" t="str">
            <v>OK</v>
          </cell>
          <cell r="G126">
            <v>210</v>
          </cell>
          <cell r="N126">
            <v>210</v>
          </cell>
        </row>
        <row r="127">
          <cell r="A127">
            <v>42204</v>
          </cell>
          <cell r="B127">
            <v>65</v>
          </cell>
          <cell r="C127" t="str">
            <v>COMFORT ARTHUR</v>
          </cell>
          <cell r="D127" t="str">
            <v>RV0154155</v>
          </cell>
          <cell r="E127" t="str">
            <v>Cash  Deposit</v>
          </cell>
          <cell r="F127" t="str">
            <v>OK</v>
          </cell>
          <cell r="G127">
            <v>100</v>
          </cell>
          <cell r="N127">
            <v>100</v>
          </cell>
        </row>
        <row r="128">
          <cell r="A128">
            <v>42204</v>
          </cell>
          <cell r="B128">
            <v>268</v>
          </cell>
          <cell r="C128" t="str">
            <v>BRO.NYARKO AND SAM'S CLASS</v>
          </cell>
          <cell r="D128" t="str">
            <v>RV0154156</v>
          </cell>
          <cell r="E128" t="str">
            <v>Cash  Deposit</v>
          </cell>
          <cell r="F128" t="str">
            <v>OK</v>
          </cell>
          <cell r="G128">
            <v>88</v>
          </cell>
          <cell r="N128">
            <v>88</v>
          </cell>
        </row>
        <row r="129">
          <cell r="A129">
            <v>42204</v>
          </cell>
          <cell r="B129">
            <v>349</v>
          </cell>
          <cell r="C129" t="str">
            <v>SALOMEY BORTEI</v>
          </cell>
          <cell r="D129" t="str">
            <v>RV0154157</v>
          </cell>
          <cell r="E129" t="str">
            <v>Loan Repayment / Inerest</v>
          </cell>
          <cell r="F129" t="str">
            <v>OK</v>
          </cell>
          <cell r="G129">
            <v>234</v>
          </cell>
          <cell r="R129">
            <v>200</v>
          </cell>
          <cell r="AQ129">
            <v>34</v>
          </cell>
        </row>
        <row r="130">
          <cell r="A130">
            <v>42204</v>
          </cell>
          <cell r="B130">
            <v>321</v>
          </cell>
          <cell r="C130" t="str">
            <v>HAGAR EBIASIMAH GYAMFI</v>
          </cell>
          <cell r="D130" t="str">
            <v>PV0054159</v>
          </cell>
          <cell r="E130" t="str">
            <v>Savings  withdrawal</v>
          </cell>
          <cell r="F130" t="str">
            <v>OK</v>
          </cell>
          <cell r="H130">
            <v>200</v>
          </cell>
          <cell r="M130">
            <v>200</v>
          </cell>
        </row>
        <row r="131">
          <cell r="A131">
            <v>42206</v>
          </cell>
          <cell r="B131">
            <v>56900</v>
          </cell>
          <cell r="C131" t="str">
            <v>Office Expenses</v>
          </cell>
          <cell r="D131" t="str">
            <v>PV0054161</v>
          </cell>
          <cell r="E131" t="str">
            <v>Purchase of extension board</v>
          </cell>
          <cell r="F131" t="str">
            <v>OK</v>
          </cell>
          <cell r="H131">
            <v>18</v>
          </cell>
        </row>
        <row r="132">
          <cell r="A132">
            <v>42206</v>
          </cell>
          <cell r="B132">
            <v>56420</v>
          </cell>
          <cell r="C132" t="str">
            <v>Travel &amp; Transport (incl. Motor, Fuel and Taxi fare expenses)</v>
          </cell>
          <cell r="D132" t="str">
            <v>PV0054162</v>
          </cell>
          <cell r="E132" t="str">
            <v>t&amp;t to bank</v>
          </cell>
          <cell r="F132" t="str">
            <v>OK</v>
          </cell>
          <cell r="H132">
            <v>7</v>
          </cell>
        </row>
        <row r="133">
          <cell r="A133">
            <v>42206</v>
          </cell>
          <cell r="B133">
            <v>338</v>
          </cell>
          <cell r="C133" t="str">
            <v>AGARTHA BOTCHWAY</v>
          </cell>
          <cell r="D133" t="str">
            <v>PV0054163</v>
          </cell>
          <cell r="E133" t="str">
            <v>Savings  withdrawal</v>
          </cell>
          <cell r="F133" t="str">
            <v>OK</v>
          </cell>
          <cell r="H133">
            <v>168</v>
          </cell>
          <cell r="M133">
            <v>168</v>
          </cell>
        </row>
        <row r="134">
          <cell r="A134">
            <v>42206</v>
          </cell>
          <cell r="B134">
            <v>11201</v>
          </cell>
          <cell r="C134" t="str">
            <v>Bawjiase Area Rural Bank</v>
          </cell>
          <cell r="E134" t="str">
            <v>Cash deposit to Bank</v>
          </cell>
          <cell r="F134" t="str">
            <v>OK</v>
          </cell>
          <cell r="H134">
            <v>6400</v>
          </cell>
          <cell r="I134">
            <v>6400</v>
          </cell>
        </row>
        <row r="135">
          <cell r="A135">
            <v>42206</v>
          </cell>
          <cell r="B135">
            <v>361</v>
          </cell>
          <cell r="C135" t="str">
            <v>JULIANA ADU BREMPONG</v>
          </cell>
          <cell r="D135" t="str">
            <v>RV0154158</v>
          </cell>
          <cell r="E135" t="str">
            <v>Loan repayment</v>
          </cell>
          <cell r="F135" t="str">
            <v>OK</v>
          </cell>
          <cell r="G135">
            <v>50</v>
          </cell>
          <cell r="R135">
            <v>50</v>
          </cell>
        </row>
        <row r="136">
          <cell r="A136">
            <v>42206</v>
          </cell>
          <cell r="B136">
            <v>215</v>
          </cell>
          <cell r="C136" t="str">
            <v>JUSTICE ABRAHAMS</v>
          </cell>
          <cell r="D136" t="str">
            <v>RV0154159</v>
          </cell>
          <cell r="E136" t="str">
            <v>Loan Repayment / Deposit</v>
          </cell>
          <cell r="F136" t="str">
            <v>OK</v>
          </cell>
          <cell r="I136">
            <v>1800</v>
          </cell>
          <cell r="N136">
            <v>90</v>
          </cell>
          <cell r="R136">
            <v>1300</v>
          </cell>
          <cell r="AQ136">
            <v>410</v>
          </cell>
        </row>
        <row r="137">
          <cell r="A137">
            <v>42206</v>
          </cell>
          <cell r="B137">
            <v>394</v>
          </cell>
          <cell r="C137" t="str">
            <v>JAMES KOUFIE</v>
          </cell>
          <cell r="D137" t="str">
            <v>RV0154160</v>
          </cell>
          <cell r="E137" t="str">
            <v>Cash  Deposit</v>
          </cell>
          <cell r="F137" t="str">
            <v>OK</v>
          </cell>
          <cell r="G137">
            <v>200</v>
          </cell>
          <cell r="N137">
            <v>200</v>
          </cell>
        </row>
        <row r="138">
          <cell r="A138">
            <v>42206</v>
          </cell>
          <cell r="B138">
            <v>347</v>
          </cell>
          <cell r="C138" t="str">
            <v>MARGARET ESSUMAN</v>
          </cell>
          <cell r="D138" t="str">
            <v>RV0154161</v>
          </cell>
          <cell r="E138" t="str">
            <v>Loan Repayment / Deposit</v>
          </cell>
          <cell r="F138" t="str">
            <v>OK</v>
          </cell>
          <cell r="G138">
            <v>120</v>
          </cell>
          <cell r="N138">
            <v>3</v>
          </cell>
          <cell r="R138">
            <v>100</v>
          </cell>
          <cell r="AQ138">
            <v>17</v>
          </cell>
        </row>
        <row r="139">
          <cell r="A139">
            <v>42206</v>
          </cell>
          <cell r="B139">
            <v>369</v>
          </cell>
          <cell r="C139" t="str">
            <v>AGNES ANIM ANKOMAH</v>
          </cell>
          <cell r="D139" t="str">
            <v>RV0154162</v>
          </cell>
          <cell r="E139" t="str">
            <v>Cash  Deposit</v>
          </cell>
          <cell r="F139" t="str">
            <v>OK</v>
          </cell>
          <cell r="G139">
            <v>50</v>
          </cell>
          <cell r="N139">
            <v>50</v>
          </cell>
        </row>
        <row r="140">
          <cell r="A140">
            <v>42206</v>
          </cell>
          <cell r="B140">
            <v>386</v>
          </cell>
          <cell r="C140" t="str">
            <v>ERNEST TETTEH</v>
          </cell>
          <cell r="D140" t="str">
            <v>RV0154163</v>
          </cell>
          <cell r="E140" t="str">
            <v>Cash  Deposit</v>
          </cell>
          <cell r="F140" t="str">
            <v>OK</v>
          </cell>
          <cell r="G140">
            <v>3200</v>
          </cell>
          <cell r="N140">
            <v>3200</v>
          </cell>
        </row>
        <row r="141">
          <cell r="A141">
            <v>42206</v>
          </cell>
          <cell r="B141">
            <v>338</v>
          </cell>
          <cell r="C141" t="str">
            <v>AGARTHA BOTCHWAY</v>
          </cell>
          <cell r="D141" t="str">
            <v>RV0154164</v>
          </cell>
          <cell r="E141" t="str">
            <v>Loan Repayment / Deposit</v>
          </cell>
          <cell r="F141" t="str">
            <v>OK</v>
          </cell>
          <cell r="G141">
            <v>198</v>
          </cell>
          <cell r="N141">
            <v>30</v>
          </cell>
          <cell r="R141">
            <v>144</v>
          </cell>
          <cell r="AQ141">
            <v>24</v>
          </cell>
        </row>
        <row r="142">
          <cell r="A142">
            <v>42206</v>
          </cell>
          <cell r="B142">
            <v>332</v>
          </cell>
          <cell r="C142" t="str">
            <v>REBECCA SAIM</v>
          </cell>
          <cell r="D142" t="str">
            <v>RV0154165</v>
          </cell>
          <cell r="E142" t="str">
            <v>Loan Repayment / Deposit</v>
          </cell>
          <cell r="F142" t="str">
            <v>OK</v>
          </cell>
          <cell r="G142">
            <v>700</v>
          </cell>
          <cell r="N142">
            <v>1</v>
          </cell>
          <cell r="R142">
            <v>600</v>
          </cell>
          <cell r="AQ142">
            <v>99</v>
          </cell>
        </row>
        <row r="143">
          <cell r="A143">
            <v>42206</v>
          </cell>
          <cell r="B143">
            <v>69</v>
          </cell>
          <cell r="C143" t="str">
            <v>PATIENCE ANSAH</v>
          </cell>
          <cell r="D143" t="str">
            <v>PV0054160</v>
          </cell>
          <cell r="E143" t="str">
            <v>Shares/savings withdrawal</v>
          </cell>
          <cell r="F143" t="str">
            <v>OK</v>
          </cell>
          <cell r="H143">
            <v>165.92</v>
          </cell>
          <cell r="K143">
            <v>50</v>
          </cell>
          <cell r="M143">
            <v>115.92</v>
          </cell>
        </row>
        <row r="144">
          <cell r="A144">
            <v>42207</v>
          </cell>
          <cell r="B144">
            <v>394</v>
          </cell>
          <cell r="C144" t="str">
            <v>JAMES KOUFIE</v>
          </cell>
          <cell r="D144" t="str">
            <v>PV0054164</v>
          </cell>
          <cell r="E144" t="str">
            <v>Savings  withdrawal</v>
          </cell>
          <cell r="F144" t="str">
            <v>OK</v>
          </cell>
          <cell r="H144">
            <v>500</v>
          </cell>
          <cell r="M144">
            <v>500</v>
          </cell>
        </row>
        <row r="145">
          <cell r="A145">
            <v>42207</v>
          </cell>
          <cell r="B145">
            <v>56420</v>
          </cell>
          <cell r="C145" t="str">
            <v>Travel &amp; Transport (incl. Motor, Fuel and Taxi fare expenses)</v>
          </cell>
          <cell r="D145" t="str">
            <v>PV0054165</v>
          </cell>
          <cell r="E145" t="str">
            <v>fuel to Ecobank</v>
          </cell>
          <cell r="F145" t="str">
            <v>OK</v>
          </cell>
          <cell r="H145">
            <v>50</v>
          </cell>
        </row>
        <row r="146">
          <cell r="A146">
            <v>42207</v>
          </cell>
          <cell r="B146">
            <v>343</v>
          </cell>
          <cell r="C146" t="str">
            <v>METHODIST YOUTH FELLOWSHIP KS.CIRCUIT</v>
          </cell>
          <cell r="D146" t="str">
            <v>PV0054166</v>
          </cell>
          <cell r="E146" t="str">
            <v>Savings  withdrawal</v>
          </cell>
          <cell r="F146" t="str">
            <v>OK</v>
          </cell>
          <cell r="H146">
            <v>300</v>
          </cell>
          <cell r="M146">
            <v>300</v>
          </cell>
        </row>
        <row r="147">
          <cell r="A147">
            <v>42207</v>
          </cell>
          <cell r="B147">
            <v>16830</v>
          </cell>
          <cell r="C147" t="str">
            <v>Office Equipment (anything other than IT-Equipment, like Shredder, AC, …)</v>
          </cell>
          <cell r="D147" t="str">
            <v>PV0054167</v>
          </cell>
          <cell r="E147" t="str">
            <v>purchase of money counting machine</v>
          </cell>
          <cell r="F147" t="str">
            <v>OK</v>
          </cell>
          <cell r="J147">
            <v>1600</v>
          </cell>
        </row>
        <row r="148">
          <cell r="A148">
            <v>42207</v>
          </cell>
          <cell r="B148">
            <v>56310</v>
          </cell>
          <cell r="C148" t="str">
            <v>Postage &amp; Communication</v>
          </cell>
          <cell r="D148" t="str">
            <v>PV0054168</v>
          </cell>
          <cell r="E148" t="str">
            <v>credit for inteernet modem</v>
          </cell>
          <cell r="F148" t="str">
            <v>OK</v>
          </cell>
          <cell r="H148">
            <v>10</v>
          </cell>
        </row>
        <row r="149">
          <cell r="A149">
            <v>42207</v>
          </cell>
          <cell r="B149">
            <v>394</v>
          </cell>
          <cell r="C149" t="str">
            <v>JAMES KOUFIE</v>
          </cell>
          <cell r="D149" t="str">
            <v>RV0154166</v>
          </cell>
          <cell r="E149" t="str">
            <v>Cash  Deposit</v>
          </cell>
          <cell r="F149" t="str">
            <v>OK</v>
          </cell>
          <cell r="G149">
            <v>60</v>
          </cell>
          <cell r="N149">
            <v>60</v>
          </cell>
        </row>
        <row r="150">
          <cell r="A150">
            <v>42207</v>
          </cell>
          <cell r="B150">
            <v>367</v>
          </cell>
          <cell r="C150" t="str">
            <v>FIJAI METHODIST CHURCH</v>
          </cell>
          <cell r="D150" t="str">
            <v>RV0154167</v>
          </cell>
          <cell r="E150" t="str">
            <v>Cash  Deposit</v>
          </cell>
          <cell r="F150" t="str">
            <v>OK</v>
          </cell>
          <cell r="G150">
            <v>260</v>
          </cell>
          <cell r="L150">
            <v>10</v>
          </cell>
          <cell r="N150">
            <v>250</v>
          </cell>
        </row>
        <row r="151">
          <cell r="A151">
            <v>42207</v>
          </cell>
          <cell r="B151">
            <v>301</v>
          </cell>
          <cell r="C151" t="str">
            <v>ELIZABETH QUAYE</v>
          </cell>
          <cell r="D151" t="str">
            <v>RV0154168</v>
          </cell>
          <cell r="E151" t="str">
            <v>Loan Repayment / Inerest</v>
          </cell>
          <cell r="F151" t="str">
            <v>OK</v>
          </cell>
          <cell r="G151">
            <v>45</v>
          </cell>
          <cell r="R151">
            <v>38.75</v>
          </cell>
          <cell r="AQ151">
            <v>6.25</v>
          </cell>
        </row>
        <row r="152">
          <cell r="A152">
            <v>42208</v>
          </cell>
          <cell r="B152">
            <v>338</v>
          </cell>
          <cell r="C152" t="str">
            <v>AGARTHA BOTCHWAY</v>
          </cell>
          <cell r="D152" t="str">
            <v>RV0154169</v>
          </cell>
          <cell r="E152" t="str">
            <v>Cash  Deposit</v>
          </cell>
          <cell r="F152" t="str">
            <v>OK</v>
          </cell>
          <cell r="G152">
            <v>10</v>
          </cell>
          <cell r="N152">
            <v>10</v>
          </cell>
        </row>
        <row r="153">
          <cell r="A153">
            <v>42208</v>
          </cell>
          <cell r="B153">
            <v>394</v>
          </cell>
          <cell r="C153" t="str">
            <v>JAMES KOUFIE</v>
          </cell>
          <cell r="D153" t="str">
            <v>PV0054169</v>
          </cell>
          <cell r="E153" t="str">
            <v>Savings  withdrawal</v>
          </cell>
          <cell r="F153" t="str">
            <v>OK</v>
          </cell>
          <cell r="H153">
            <v>100</v>
          </cell>
          <cell r="M153">
            <v>100</v>
          </cell>
        </row>
        <row r="154">
          <cell r="A154">
            <v>42208</v>
          </cell>
          <cell r="B154">
            <v>343</v>
          </cell>
          <cell r="C154" t="str">
            <v>METHODIST YOUTH FELLOWSHIP KS.CIRCUIT</v>
          </cell>
          <cell r="D154" t="str">
            <v>PV0054170</v>
          </cell>
          <cell r="E154" t="str">
            <v>Savings  withdrawal</v>
          </cell>
          <cell r="F154" t="str">
            <v>OK</v>
          </cell>
          <cell r="H154">
            <v>200</v>
          </cell>
          <cell r="M154">
            <v>200</v>
          </cell>
        </row>
        <row r="155">
          <cell r="A155">
            <v>42208</v>
          </cell>
          <cell r="B155">
            <v>54300</v>
          </cell>
          <cell r="C155" t="str">
            <v>BoD and Committee expenses</v>
          </cell>
          <cell r="D155" t="str">
            <v>PV0054171</v>
          </cell>
          <cell r="E155" t="str">
            <v>sitting allowance paid to loans chairman</v>
          </cell>
          <cell r="F155" t="str">
            <v>OK</v>
          </cell>
          <cell r="H155">
            <v>20</v>
          </cell>
        </row>
        <row r="156">
          <cell r="A156">
            <v>42208</v>
          </cell>
          <cell r="B156">
            <v>54300</v>
          </cell>
          <cell r="C156" t="str">
            <v>BoD and Committee expenses</v>
          </cell>
          <cell r="D156" t="str">
            <v>PV0054172</v>
          </cell>
          <cell r="E156" t="str">
            <v>additional cost on refreshment on board meeting</v>
          </cell>
          <cell r="F156" t="str">
            <v>OK</v>
          </cell>
          <cell r="H156">
            <v>30</v>
          </cell>
        </row>
        <row r="157">
          <cell r="A157">
            <v>42208</v>
          </cell>
          <cell r="B157">
            <v>56310</v>
          </cell>
          <cell r="C157" t="str">
            <v>Postage &amp; Communication</v>
          </cell>
          <cell r="D157" t="str">
            <v>PV0054173</v>
          </cell>
          <cell r="E157" t="str">
            <v>purchase of call creddit</v>
          </cell>
          <cell r="F157" t="str">
            <v>OK</v>
          </cell>
          <cell r="H157">
            <v>30</v>
          </cell>
        </row>
        <row r="158">
          <cell r="A158">
            <v>42209</v>
          </cell>
          <cell r="B158">
            <v>233</v>
          </cell>
          <cell r="C158" t="str">
            <v>ALBERT ACQUAH</v>
          </cell>
          <cell r="D158" t="str">
            <v>PV0054174</v>
          </cell>
          <cell r="E158" t="str">
            <v>Savings  withdrawal</v>
          </cell>
          <cell r="F158" t="str">
            <v>OK</v>
          </cell>
          <cell r="H158">
            <v>200</v>
          </cell>
          <cell r="M158">
            <v>200</v>
          </cell>
        </row>
        <row r="159">
          <cell r="A159">
            <v>42209</v>
          </cell>
          <cell r="B159">
            <v>271</v>
          </cell>
          <cell r="C159" t="str">
            <v>METHODIST MEN'S FELLOWSHIP KASOA</v>
          </cell>
          <cell r="D159" t="str">
            <v>PV0054175</v>
          </cell>
          <cell r="E159" t="str">
            <v>Savings  withdrawal</v>
          </cell>
          <cell r="F159" t="str">
            <v>OK</v>
          </cell>
          <cell r="H159">
            <v>100</v>
          </cell>
          <cell r="M159">
            <v>100</v>
          </cell>
        </row>
        <row r="160">
          <cell r="A160">
            <v>42209</v>
          </cell>
          <cell r="B160">
            <v>56900</v>
          </cell>
          <cell r="C160" t="str">
            <v>Office Expenses</v>
          </cell>
          <cell r="D160" t="str">
            <v>PV0054176</v>
          </cell>
          <cell r="E160" t="str">
            <v>t&amp;t for anti virus installer</v>
          </cell>
          <cell r="F160" t="str">
            <v>OK</v>
          </cell>
          <cell r="H160">
            <v>50</v>
          </cell>
        </row>
        <row r="161">
          <cell r="A161">
            <v>42211</v>
          </cell>
          <cell r="B161">
            <v>345</v>
          </cell>
          <cell r="C161" t="str">
            <v>SAMUEL ESSILFIE</v>
          </cell>
          <cell r="D161" t="str">
            <v>PV0054177</v>
          </cell>
          <cell r="E161" t="str">
            <v>Loan Disbursed</v>
          </cell>
          <cell r="F161" t="str">
            <v>OK</v>
          </cell>
          <cell r="J161">
            <v>5000</v>
          </cell>
          <cell r="Q161">
            <v>5000</v>
          </cell>
        </row>
        <row r="162">
          <cell r="A162">
            <v>42211</v>
          </cell>
          <cell r="B162">
            <v>53400</v>
          </cell>
          <cell r="C162" t="str">
            <v>Repairs and Maintenance of office premises</v>
          </cell>
          <cell r="D162" t="str">
            <v>PV0054178</v>
          </cell>
          <cell r="E162" t="str">
            <v>installation of anti-virus on office computers</v>
          </cell>
          <cell r="F162" t="str">
            <v>OK</v>
          </cell>
          <cell r="H162">
            <v>300</v>
          </cell>
        </row>
        <row r="163">
          <cell r="A163">
            <v>42211</v>
          </cell>
          <cell r="B163">
            <v>99999</v>
          </cell>
          <cell r="C163" t="str">
            <v>cancelled voucher</v>
          </cell>
          <cell r="D163" t="str">
            <v>PV0054179</v>
          </cell>
          <cell r="F163" t="str">
            <v>OK</v>
          </cell>
        </row>
        <row r="164">
          <cell r="A164">
            <v>42211</v>
          </cell>
          <cell r="B164">
            <v>56310</v>
          </cell>
          <cell r="C164" t="str">
            <v>Postage &amp; Communication</v>
          </cell>
          <cell r="D164" t="str">
            <v>PV0054180</v>
          </cell>
          <cell r="E164" t="str">
            <v>credit fot internet modem</v>
          </cell>
          <cell r="F164" t="str">
            <v>OK</v>
          </cell>
          <cell r="H164">
            <v>10</v>
          </cell>
        </row>
        <row r="165">
          <cell r="A165">
            <v>42211</v>
          </cell>
          <cell r="B165">
            <v>345</v>
          </cell>
          <cell r="C165" t="str">
            <v>SAMUEL ESSILFIE</v>
          </cell>
          <cell r="D165" t="str">
            <v>RV0154170</v>
          </cell>
          <cell r="E165" t="str">
            <v>Loan processing fees</v>
          </cell>
          <cell r="F165" t="str">
            <v>OK</v>
          </cell>
          <cell r="G165">
            <v>100</v>
          </cell>
        </row>
        <row r="166">
          <cell r="A166">
            <v>42211</v>
          </cell>
          <cell r="B166">
            <v>177</v>
          </cell>
          <cell r="C166" t="str">
            <v>WEDNESDAY CLASS</v>
          </cell>
          <cell r="D166" t="str">
            <v>RV0154171</v>
          </cell>
          <cell r="E166" t="str">
            <v>Cash  Deposit</v>
          </cell>
          <cell r="F166" t="str">
            <v>OK</v>
          </cell>
          <cell r="G166">
            <v>82</v>
          </cell>
          <cell r="N166">
            <v>82</v>
          </cell>
        </row>
        <row r="167">
          <cell r="A167">
            <v>42211</v>
          </cell>
          <cell r="B167">
            <v>306</v>
          </cell>
          <cell r="C167" t="str">
            <v>DORA N.ATIAPA</v>
          </cell>
          <cell r="D167" t="str">
            <v>RV0154172</v>
          </cell>
          <cell r="E167" t="str">
            <v>Cash  Deposit</v>
          </cell>
          <cell r="F167" t="str">
            <v>OK</v>
          </cell>
          <cell r="G167">
            <v>10</v>
          </cell>
          <cell r="N167">
            <v>10</v>
          </cell>
        </row>
        <row r="168">
          <cell r="A168">
            <v>42211</v>
          </cell>
          <cell r="B168">
            <v>263</v>
          </cell>
          <cell r="C168" t="str">
            <v>GIFTY FOSU</v>
          </cell>
          <cell r="D168" t="str">
            <v>RV0154173</v>
          </cell>
          <cell r="E168" t="str">
            <v>Cash  Deposit</v>
          </cell>
          <cell r="F168" t="str">
            <v>OK</v>
          </cell>
          <cell r="G168">
            <v>150</v>
          </cell>
          <cell r="N168">
            <v>150</v>
          </cell>
        </row>
        <row r="169">
          <cell r="A169">
            <v>42212</v>
          </cell>
          <cell r="B169">
            <v>359</v>
          </cell>
          <cell r="C169" t="str">
            <v>GOOD SHEPHERD METH.YOUTH SUPPORT FUND</v>
          </cell>
          <cell r="D169" t="str">
            <v>RV0154174</v>
          </cell>
          <cell r="E169" t="str">
            <v>Cash  Deposit</v>
          </cell>
          <cell r="F169" t="str">
            <v>OK</v>
          </cell>
          <cell r="G169">
            <v>219</v>
          </cell>
          <cell r="N169">
            <v>219</v>
          </cell>
        </row>
        <row r="170">
          <cell r="A170">
            <v>42212</v>
          </cell>
          <cell r="B170">
            <v>289</v>
          </cell>
          <cell r="C170" t="str">
            <v>JEMIMA AGYEMANG BONSO</v>
          </cell>
          <cell r="D170" t="str">
            <v>RV0154175</v>
          </cell>
          <cell r="E170" t="str">
            <v>Cash  Deposit</v>
          </cell>
          <cell r="F170" t="str">
            <v>OK</v>
          </cell>
          <cell r="G170">
            <v>20</v>
          </cell>
          <cell r="N170">
            <v>20</v>
          </cell>
        </row>
        <row r="171">
          <cell r="A171">
            <v>42212</v>
          </cell>
          <cell r="B171">
            <v>27</v>
          </cell>
          <cell r="C171" t="str">
            <v>RICHARD ASAMOAH</v>
          </cell>
          <cell r="D171" t="str">
            <v>RV0154176</v>
          </cell>
          <cell r="E171" t="str">
            <v>Loan Repayment / Deposit</v>
          </cell>
          <cell r="F171" t="str">
            <v>OK</v>
          </cell>
          <cell r="G171">
            <v>300</v>
          </cell>
          <cell r="N171">
            <v>6</v>
          </cell>
          <cell r="R171">
            <v>246</v>
          </cell>
          <cell r="AQ171">
            <v>48</v>
          </cell>
        </row>
        <row r="172">
          <cell r="A172">
            <v>42212</v>
          </cell>
          <cell r="B172">
            <v>365</v>
          </cell>
          <cell r="C172" t="str">
            <v>RACHEAL VISSION WORKERS</v>
          </cell>
          <cell r="D172" t="str">
            <v>RV0154177</v>
          </cell>
          <cell r="E172" t="str">
            <v>Cash  Deposit</v>
          </cell>
          <cell r="F172" t="str">
            <v>OK</v>
          </cell>
          <cell r="G172">
            <v>80</v>
          </cell>
          <cell r="N172">
            <v>80</v>
          </cell>
        </row>
        <row r="173">
          <cell r="A173">
            <v>42212</v>
          </cell>
          <cell r="B173">
            <v>5</v>
          </cell>
          <cell r="C173" t="str">
            <v>GEORGE K.DANQUAH</v>
          </cell>
          <cell r="D173" t="str">
            <v>RV0154178</v>
          </cell>
          <cell r="E173" t="str">
            <v>Cash  Deposit</v>
          </cell>
          <cell r="F173" t="str">
            <v>OK</v>
          </cell>
          <cell r="G173">
            <v>40</v>
          </cell>
          <cell r="N173">
            <v>40</v>
          </cell>
        </row>
        <row r="174">
          <cell r="A174">
            <v>42212</v>
          </cell>
          <cell r="B174">
            <v>118</v>
          </cell>
          <cell r="C174" t="str">
            <v>BETHEL METHODIST CHURCH KS</v>
          </cell>
          <cell r="D174" t="str">
            <v>RV0154179</v>
          </cell>
          <cell r="E174" t="str">
            <v>Loan Repayment / Inerest</v>
          </cell>
          <cell r="F174" t="str">
            <v>OK</v>
          </cell>
          <cell r="I174">
            <v>4000</v>
          </cell>
          <cell r="R174">
            <v>3350</v>
          </cell>
          <cell r="AQ174">
            <v>650</v>
          </cell>
        </row>
        <row r="175">
          <cell r="A175">
            <v>42212</v>
          </cell>
          <cell r="B175">
            <v>4</v>
          </cell>
          <cell r="C175" t="str">
            <v>FRANCIS E.OKYEAHENE</v>
          </cell>
          <cell r="D175" t="str">
            <v>RV0154180</v>
          </cell>
          <cell r="E175" t="str">
            <v>Cash  Deposit</v>
          </cell>
          <cell r="F175" t="str">
            <v>OK</v>
          </cell>
          <cell r="G175">
            <v>40</v>
          </cell>
          <cell r="N175">
            <v>40</v>
          </cell>
        </row>
        <row r="176">
          <cell r="A176">
            <v>42212</v>
          </cell>
          <cell r="B176">
            <v>215</v>
          </cell>
          <cell r="C176" t="str">
            <v>JUSTICE ABRAHAMS</v>
          </cell>
          <cell r="D176" t="str">
            <v>RV0154181</v>
          </cell>
          <cell r="E176" t="str">
            <v>Cash  Deposit</v>
          </cell>
          <cell r="F176" t="str">
            <v>OK</v>
          </cell>
          <cell r="G176">
            <v>40</v>
          </cell>
          <cell r="N176">
            <v>40</v>
          </cell>
        </row>
        <row r="177">
          <cell r="A177">
            <v>42212</v>
          </cell>
          <cell r="B177">
            <v>257</v>
          </cell>
          <cell r="C177" t="str">
            <v>FRANKLIN KWESI ANDREWS</v>
          </cell>
          <cell r="D177" t="str">
            <v>RV0154182</v>
          </cell>
          <cell r="E177" t="str">
            <v>Cash  Deposit</v>
          </cell>
          <cell r="F177" t="str">
            <v>OK</v>
          </cell>
          <cell r="G177">
            <v>40</v>
          </cell>
          <cell r="N177">
            <v>40</v>
          </cell>
        </row>
        <row r="178">
          <cell r="A178">
            <v>42212</v>
          </cell>
          <cell r="B178">
            <v>2</v>
          </cell>
          <cell r="C178" t="str">
            <v>EMMANUEL OTABIL</v>
          </cell>
          <cell r="D178" t="str">
            <v>RV0154183</v>
          </cell>
          <cell r="E178" t="str">
            <v>Cash  Deposit</v>
          </cell>
          <cell r="F178" t="str">
            <v>OK</v>
          </cell>
          <cell r="G178">
            <v>40</v>
          </cell>
          <cell r="N178">
            <v>40</v>
          </cell>
        </row>
        <row r="179">
          <cell r="A179">
            <v>42212</v>
          </cell>
          <cell r="B179">
            <v>52100</v>
          </cell>
          <cell r="C179" t="str">
            <v>Staff Salaries</v>
          </cell>
          <cell r="D179" t="str">
            <v>PV0054181</v>
          </cell>
          <cell r="E179" t="str">
            <v>Staff salaries paid</v>
          </cell>
          <cell r="F179" t="str">
            <v>OK</v>
          </cell>
          <cell r="J179">
            <v>900</v>
          </cell>
        </row>
        <row r="180">
          <cell r="A180">
            <v>42212</v>
          </cell>
          <cell r="B180">
            <v>56420</v>
          </cell>
          <cell r="C180" t="str">
            <v>Travel &amp; Transport (incl. Motor, Fuel and Taxi fare expenses)</v>
          </cell>
          <cell r="D180" t="str">
            <v>pv0054182</v>
          </cell>
          <cell r="E180" t="str">
            <v>t&amp;t to bank</v>
          </cell>
          <cell r="F180" t="str">
            <v>OK</v>
          </cell>
          <cell r="H180">
            <v>7</v>
          </cell>
        </row>
        <row r="181">
          <cell r="A181">
            <v>42212</v>
          </cell>
          <cell r="B181">
            <v>306</v>
          </cell>
          <cell r="C181" t="str">
            <v>DORA N.ATIAPA</v>
          </cell>
          <cell r="D181" t="str">
            <v>PV0054183</v>
          </cell>
          <cell r="E181" t="str">
            <v>Savings  withdrawal</v>
          </cell>
          <cell r="F181" t="str">
            <v>OK</v>
          </cell>
          <cell r="H181">
            <v>250</v>
          </cell>
          <cell r="M181">
            <v>250</v>
          </cell>
        </row>
        <row r="182">
          <cell r="A182">
            <v>42212</v>
          </cell>
          <cell r="B182">
            <v>54350</v>
          </cell>
          <cell r="C182" t="str">
            <v>Protocol Expenses</v>
          </cell>
          <cell r="D182" t="str">
            <v>PV0054184</v>
          </cell>
          <cell r="E182" t="str">
            <v>t&amp;t for CUA official</v>
          </cell>
          <cell r="F182" t="str">
            <v>OK</v>
          </cell>
          <cell r="H182">
            <v>20</v>
          </cell>
        </row>
        <row r="183">
          <cell r="A183">
            <v>42212</v>
          </cell>
          <cell r="B183">
            <v>54300</v>
          </cell>
          <cell r="C183" t="str">
            <v>BoD and Committee expenses</v>
          </cell>
          <cell r="D183" t="str">
            <v>PV0054185</v>
          </cell>
          <cell r="E183" t="str">
            <v>T&amp;T cost incured on board meeting</v>
          </cell>
          <cell r="F183" t="str">
            <v>OK</v>
          </cell>
          <cell r="H183">
            <v>280</v>
          </cell>
        </row>
        <row r="184">
          <cell r="A184">
            <v>42213</v>
          </cell>
          <cell r="B184">
            <v>322</v>
          </cell>
          <cell r="C184" t="str">
            <v>KOFI MENSAH OTABIL</v>
          </cell>
          <cell r="D184" t="str">
            <v>PV0054186</v>
          </cell>
          <cell r="E184" t="str">
            <v>Savings  withdrawal</v>
          </cell>
          <cell r="F184" t="str">
            <v>OK</v>
          </cell>
          <cell r="H184">
            <v>250</v>
          </cell>
          <cell r="M184">
            <v>250</v>
          </cell>
        </row>
        <row r="185">
          <cell r="A185">
            <v>42213</v>
          </cell>
          <cell r="B185">
            <v>56900</v>
          </cell>
          <cell r="C185" t="str">
            <v>Office Expenses</v>
          </cell>
          <cell r="D185" t="str">
            <v>PV0054187</v>
          </cell>
          <cell r="E185" t="str">
            <v>Water for the office</v>
          </cell>
          <cell r="F185" t="str">
            <v>OK</v>
          </cell>
          <cell r="H185">
            <v>4</v>
          </cell>
        </row>
        <row r="186">
          <cell r="A186">
            <v>42213</v>
          </cell>
          <cell r="B186">
            <v>257</v>
          </cell>
          <cell r="C186" t="str">
            <v>FRANKLIN KWESI ANDREWS</v>
          </cell>
          <cell r="D186" t="str">
            <v>RV0157184</v>
          </cell>
          <cell r="E186" t="str">
            <v>Loan Repayment / Inerest</v>
          </cell>
          <cell r="F186" t="str">
            <v>OK</v>
          </cell>
          <cell r="G186">
            <v>1500</v>
          </cell>
          <cell r="R186">
            <v>1260</v>
          </cell>
          <cell r="AQ186">
            <v>240</v>
          </cell>
        </row>
        <row r="187">
          <cell r="A187">
            <v>42213</v>
          </cell>
          <cell r="B187">
            <v>365</v>
          </cell>
          <cell r="C187" t="str">
            <v>RACHEAL VISSION WORKERS</v>
          </cell>
          <cell r="D187" t="str">
            <v>RV0154185</v>
          </cell>
          <cell r="E187" t="str">
            <v>Cash  Deposit</v>
          </cell>
          <cell r="F187" t="str">
            <v>OK</v>
          </cell>
          <cell r="G187">
            <v>17</v>
          </cell>
          <cell r="N187">
            <v>17</v>
          </cell>
        </row>
        <row r="188">
          <cell r="A188">
            <v>42213</v>
          </cell>
          <cell r="B188">
            <v>384</v>
          </cell>
          <cell r="C188" t="str">
            <v>SEMENHYIA METH PREACHING POST</v>
          </cell>
          <cell r="D188" t="str">
            <v>RV0151186</v>
          </cell>
          <cell r="E188" t="str">
            <v>Cash  Deposit</v>
          </cell>
          <cell r="F188" t="str">
            <v>OK</v>
          </cell>
          <cell r="G188">
            <v>344</v>
          </cell>
          <cell r="N188">
            <v>344</v>
          </cell>
        </row>
        <row r="189">
          <cell r="A189">
            <v>42213</v>
          </cell>
          <cell r="B189">
            <v>99999</v>
          </cell>
          <cell r="C189" t="str">
            <v>cancelled voucher</v>
          </cell>
          <cell r="D189" t="str">
            <v>RV0148187</v>
          </cell>
          <cell r="F189" t="str">
            <v>OK</v>
          </cell>
        </row>
        <row r="190">
          <cell r="A190">
            <v>42213</v>
          </cell>
          <cell r="B190">
            <v>338</v>
          </cell>
          <cell r="C190" t="str">
            <v>AGARTHA BOTCHWAY</v>
          </cell>
          <cell r="D190" t="str">
            <v>RV0145188</v>
          </cell>
          <cell r="E190" t="str">
            <v>Cash  Deposit</v>
          </cell>
          <cell r="F190" t="str">
            <v>OK</v>
          </cell>
          <cell r="G190">
            <v>20</v>
          </cell>
          <cell r="N190">
            <v>20</v>
          </cell>
        </row>
        <row r="191">
          <cell r="A191">
            <v>42213</v>
          </cell>
          <cell r="B191">
            <v>348</v>
          </cell>
          <cell r="C191" t="str">
            <v>CHRISTABEL ABAKUA PRAH</v>
          </cell>
          <cell r="D191" t="str">
            <v>RV0142189</v>
          </cell>
          <cell r="E191" t="str">
            <v>Cash  Deposit</v>
          </cell>
          <cell r="F191" t="str">
            <v>OK</v>
          </cell>
          <cell r="G191">
            <v>200</v>
          </cell>
          <cell r="N191">
            <v>200</v>
          </cell>
        </row>
        <row r="192">
          <cell r="A192">
            <v>42213</v>
          </cell>
          <cell r="B192">
            <v>113</v>
          </cell>
          <cell r="C192" t="str">
            <v>MARK KUMI</v>
          </cell>
          <cell r="D192" t="str">
            <v>RV0139190</v>
          </cell>
          <cell r="E192" t="str">
            <v>Loan repayment</v>
          </cell>
          <cell r="F192" t="str">
            <v>OK</v>
          </cell>
          <cell r="G192">
            <v>200</v>
          </cell>
          <cell r="N192">
            <v>200</v>
          </cell>
        </row>
        <row r="193">
          <cell r="A193">
            <v>42214</v>
          </cell>
          <cell r="B193">
            <v>365</v>
          </cell>
          <cell r="C193" t="str">
            <v>RACHEAL VISSION WORKERS</v>
          </cell>
          <cell r="D193" t="str">
            <v>RV0136191</v>
          </cell>
          <cell r="E193" t="str">
            <v>Cash  Deposit</v>
          </cell>
          <cell r="F193" t="str">
            <v>OK</v>
          </cell>
          <cell r="G193">
            <v>50</v>
          </cell>
          <cell r="N193">
            <v>50</v>
          </cell>
        </row>
        <row r="194">
          <cell r="A194">
            <v>42214</v>
          </cell>
          <cell r="B194">
            <v>37</v>
          </cell>
          <cell r="C194" t="str">
            <v>RACHEAL NYARKO</v>
          </cell>
          <cell r="D194" t="str">
            <v>RV0133192</v>
          </cell>
          <cell r="E194" t="str">
            <v>Loan Repayment / Inerest</v>
          </cell>
          <cell r="F194" t="str">
            <v>OK</v>
          </cell>
          <cell r="G194">
            <v>146</v>
          </cell>
          <cell r="R194">
            <v>125</v>
          </cell>
          <cell r="AQ194">
            <v>21</v>
          </cell>
        </row>
        <row r="195">
          <cell r="A195">
            <v>42214</v>
          </cell>
          <cell r="B195">
            <v>364</v>
          </cell>
          <cell r="C195" t="str">
            <v>HENRIETTA ADOBEA QUARCOO</v>
          </cell>
          <cell r="D195" t="str">
            <v>RV0130193</v>
          </cell>
          <cell r="E195" t="str">
            <v>Cash  Deposit</v>
          </cell>
          <cell r="F195" t="str">
            <v>OK</v>
          </cell>
          <cell r="G195">
            <v>195</v>
          </cell>
          <cell r="N195">
            <v>195</v>
          </cell>
        </row>
        <row r="196">
          <cell r="A196">
            <v>42214</v>
          </cell>
          <cell r="B196">
            <v>170</v>
          </cell>
          <cell r="C196" t="str">
            <v>SABINA H.IDAN</v>
          </cell>
          <cell r="D196" t="str">
            <v>RV0127194</v>
          </cell>
          <cell r="E196" t="str">
            <v>Cash  Deposit</v>
          </cell>
          <cell r="F196" t="str">
            <v>OK</v>
          </cell>
          <cell r="G196">
            <v>20</v>
          </cell>
          <cell r="N196">
            <v>20</v>
          </cell>
        </row>
        <row r="197">
          <cell r="A197">
            <v>42214</v>
          </cell>
          <cell r="B197">
            <v>322</v>
          </cell>
          <cell r="C197" t="str">
            <v>KOFI MENSAH OTABIL</v>
          </cell>
          <cell r="D197" t="str">
            <v>RV0124195</v>
          </cell>
          <cell r="E197" t="str">
            <v>Loan processing fees</v>
          </cell>
          <cell r="F197" t="str">
            <v>OK</v>
          </cell>
          <cell r="G197">
            <v>32</v>
          </cell>
        </row>
        <row r="198">
          <cell r="A198">
            <v>42214</v>
          </cell>
          <cell r="B198">
            <v>394</v>
          </cell>
          <cell r="C198" t="str">
            <v>JAMES KOUFIE</v>
          </cell>
          <cell r="D198" t="str">
            <v>PV0054188</v>
          </cell>
          <cell r="E198" t="str">
            <v>Savings  withdrawal</v>
          </cell>
          <cell r="F198" t="str">
            <v>OK</v>
          </cell>
          <cell r="H198">
            <v>80</v>
          </cell>
          <cell r="M198">
            <v>80</v>
          </cell>
        </row>
        <row r="199">
          <cell r="A199">
            <v>42214</v>
          </cell>
          <cell r="B199">
            <v>322</v>
          </cell>
          <cell r="C199" t="str">
            <v>KOFI MENSAH OTABIL</v>
          </cell>
          <cell r="D199" t="str">
            <v>PV0054189</v>
          </cell>
          <cell r="E199" t="str">
            <v>Loan Disbursed</v>
          </cell>
          <cell r="F199" t="str">
            <v>OK</v>
          </cell>
          <cell r="H199">
            <v>1600</v>
          </cell>
          <cell r="Q199">
            <v>1600</v>
          </cell>
        </row>
        <row r="200">
          <cell r="A200">
            <v>42214</v>
          </cell>
          <cell r="B200">
            <v>56310</v>
          </cell>
          <cell r="C200" t="str">
            <v>Postage &amp; Communication</v>
          </cell>
          <cell r="D200" t="str">
            <v>PV0054190</v>
          </cell>
          <cell r="E200" t="str">
            <v>Credit for internet modem</v>
          </cell>
          <cell r="F200" t="str">
            <v>OK</v>
          </cell>
          <cell r="H200">
            <v>10</v>
          </cell>
        </row>
        <row r="201">
          <cell r="A201">
            <v>42214</v>
          </cell>
          <cell r="B201">
            <v>390</v>
          </cell>
          <cell r="C201" t="str">
            <v>NOAH AFARI</v>
          </cell>
          <cell r="D201" t="str">
            <v>PV0474201</v>
          </cell>
          <cell r="E201" t="str">
            <v>Savings  withdrawal</v>
          </cell>
          <cell r="F201" t="str">
            <v>OK</v>
          </cell>
          <cell r="H201">
            <v>100</v>
          </cell>
          <cell r="M201">
            <v>100</v>
          </cell>
        </row>
        <row r="202">
          <cell r="A202">
            <v>42214</v>
          </cell>
          <cell r="B202">
            <v>56200</v>
          </cell>
          <cell r="C202" t="str">
            <v>Printing &amp; Stationery</v>
          </cell>
          <cell r="D202" t="str">
            <v>PV0474223</v>
          </cell>
          <cell r="E202" t="str">
            <v>Photocopies and envelopes</v>
          </cell>
          <cell r="F202" t="str">
            <v>OK</v>
          </cell>
          <cell r="H202">
            <v>50</v>
          </cell>
        </row>
        <row r="203">
          <cell r="A203">
            <v>42215</v>
          </cell>
          <cell r="B203">
            <v>395</v>
          </cell>
          <cell r="C203" t="str">
            <v>KASOA CIRCUIT YOUTH MIN. DIRECTRATE</v>
          </cell>
          <cell r="D203" t="str">
            <v>RV0154196</v>
          </cell>
          <cell r="E203" t="str">
            <v>Cash  Deposit</v>
          </cell>
          <cell r="F203" t="str">
            <v>OK</v>
          </cell>
          <cell r="G203">
            <v>205</v>
          </cell>
          <cell r="N203">
            <v>200</v>
          </cell>
        </row>
        <row r="204">
          <cell r="A204">
            <v>42215</v>
          </cell>
          <cell r="B204">
            <v>396</v>
          </cell>
          <cell r="C204" t="str">
            <v>EMMANUEL BLABOE</v>
          </cell>
          <cell r="D204" t="str">
            <v>RV0154197</v>
          </cell>
          <cell r="E204" t="str">
            <v>Cash  Deposit</v>
          </cell>
          <cell r="F204" t="str">
            <v>OK</v>
          </cell>
          <cell r="G204">
            <v>45</v>
          </cell>
          <cell r="L204">
            <v>20</v>
          </cell>
          <cell r="N204">
            <v>20</v>
          </cell>
        </row>
        <row r="205">
          <cell r="A205">
            <v>42215</v>
          </cell>
          <cell r="B205">
            <v>54762</v>
          </cell>
          <cell r="C205" t="str">
            <v>Donations</v>
          </cell>
          <cell r="D205" t="str">
            <v>PV0054191</v>
          </cell>
          <cell r="E205" t="str">
            <v>Donation to the methodist school</v>
          </cell>
          <cell r="F205" t="str">
            <v>OK</v>
          </cell>
          <cell r="H205">
            <v>50</v>
          </cell>
        </row>
        <row r="206">
          <cell r="A206">
            <v>42215</v>
          </cell>
          <cell r="B206">
            <v>54762</v>
          </cell>
          <cell r="C206" t="str">
            <v>Donations</v>
          </cell>
          <cell r="D206" t="str">
            <v>PV0054192</v>
          </cell>
          <cell r="E206" t="str">
            <v>Donation to outgoing GM of CUA</v>
          </cell>
          <cell r="F206" t="str">
            <v>OK</v>
          </cell>
          <cell r="H206">
            <v>200</v>
          </cell>
        </row>
        <row r="207">
          <cell r="A207">
            <v>42216</v>
          </cell>
          <cell r="B207">
            <v>56420</v>
          </cell>
          <cell r="C207" t="str">
            <v>Travel &amp; Transport (incl. Motor, Fuel and Taxi fare expenses)</v>
          </cell>
          <cell r="D207" t="str">
            <v>PV0054193</v>
          </cell>
          <cell r="E207" t="str">
            <v>Cost of fuel to CUTraC</v>
          </cell>
          <cell r="F207" t="str">
            <v>OK</v>
          </cell>
          <cell r="H207">
            <v>50</v>
          </cell>
        </row>
        <row r="208">
          <cell r="A208">
            <v>42216</v>
          </cell>
          <cell r="B208">
            <v>54350</v>
          </cell>
          <cell r="C208" t="str">
            <v>Protocol Expenses</v>
          </cell>
          <cell r="D208" t="str">
            <v>PV0054194</v>
          </cell>
          <cell r="E208" t="str">
            <v>t&amp;t for CUA official</v>
          </cell>
          <cell r="F208" t="str">
            <v>OK</v>
          </cell>
          <cell r="H208">
            <v>30</v>
          </cell>
        </row>
        <row r="209">
          <cell r="A209">
            <v>42216</v>
          </cell>
          <cell r="B209">
            <v>56310</v>
          </cell>
          <cell r="C209" t="str">
            <v>Postage &amp; Communication</v>
          </cell>
          <cell r="D209" t="str">
            <v>PV0474224</v>
          </cell>
          <cell r="E209" t="str">
            <v>Credit for call AND T&amp;T</v>
          </cell>
          <cell r="F209" t="str">
            <v>OK</v>
          </cell>
          <cell r="H209">
            <v>40</v>
          </cell>
        </row>
        <row r="210">
          <cell r="A210">
            <v>42216</v>
          </cell>
          <cell r="B210">
            <v>11201</v>
          </cell>
          <cell r="C210" t="str">
            <v>Bawjiase Area Rural Bank</v>
          </cell>
          <cell r="E210" t="str">
            <v>Cash deposit to bank</v>
          </cell>
          <cell r="F210" t="str">
            <v>OK</v>
          </cell>
          <cell r="H210">
            <v>1438.1</v>
          </cell>
          <cell r="I210">
            <v>1438.1</v>
          </cell>
        </row>
        <row r="211">
          <cell r="C211" t="str">
            <v>&lt;-- enter valid PB./Acc. # in this cell!</v>
          </cell>
          <cell r="F211" t="str">
            <v>OK</v>
          </cell>
        </row>
        <row r="212">
          <cell r="C212" t="str">
            <v>&lt;-- enter valid PB./Acc. # in this cell!</v>
          </cell>
          <cell r="F212" t="str">
            <v>OK</v>
          </cell>
        </row>
        <row r="213">
          <cell r="C213" t="str">
            <v>&lt;-- enter valid PB./Acc. # in this cell!</v>
          </cell>
          <cell r="F213" t="str">
            <v>OK</v>
          </cell>
        </row>
        <row r="214">
          <cell r="C214" t="str">
            <v>&lt;-- enter valid PB./Acc. # in this cell!</v>
          </cell>
          <cell r="F214" t="str">
            <v>OK</v>
          </cell>
        </row>
        <row r="215">
          <cell r="C215" t="str">
            <v>&lt;-- enter valid PB./Acc. # in this cell!</v>
          </cell>
          <cell r="F215" t="str">
            <v>OK</v>
          </cell>
        </row>
        <row r="216">
          <cell r="C216" t="str">
            <v>&lt;-- enter valid PB./Acc. # in this cell!</v>
          </cell>
          <cell r="F216" t="str">
            <v>OK</v>
          </cell>
        </row>
        <row r="217">
          <cell r="C217" t="str">
            <v>&lt;-- enter valid PB./Acc. # in this cell!</v>
          </cell>
          <cell r="F217" t="str">
            <v>OK</v>
          </cell>
        </row>
        <row r="218">
          <cell r="C218" t="str">
            <v>&lt;-- enter valid PB./Acc. # in this cell!</v>
          </cell>
          <cell r="F218" t="str">
            <v>OK</v>
          </cell>
        </row>
        <row r="219">
          <cell r="C219" t="str">
            <v>&lt;-- enter valid PB./Acc. # in this cell!</v>
          </cell>
          <cell r="F219" t="str">
            <v>OK</v>
          </cell>
        </row>
        <row r="220">
          <cell r="C220" t="str">
            <v>&lt;-- enter valid PB./Acc. # in this cell!</v>
          </cell>
          <cell r="F220" t="str">
            <v>OK</v>
          </cell>
        </row>
        <row r="221">
          <cell r="C221" t="str">
            <v>&lt;-- enter valid PB./Acc. # in this cell!</v>
          </cell>
          <cell r="F221" t="str">
            <v>OK</v>
          </cell>
        </row>
        <row r="222">
          <cell r="C222" t="str">
            <v>&lt;-- enter valid PB./Acc. # in this cell!</v>
          </cell>
          <cell r="F222" t="str">
            <v>OK</v>
          </cell>
        </row>
        <row r="223">
          <cell r="C223" t="str">
            <v>&lt;-- enter valid PB./Acc. # in this cell!</v>
          </cell>
          <cell r="F223" t="str">
            <v>OK</v>
          </cell>
        </row>
        <row r="224">
          <cell r="C224" t="str">
            <v>&lt;-- enter valid PB./Acc. # in this cell!</v>
          </cell>
          <cell r="F224" t="str">
            <v>OK</v>
          </cell>
        </row>
        <row r="225">
          <cell r="C225" t="str">
            <v>&lt;-- enter valid PB./Acc. # in this cell!</v>
          </cell>
          <cell r="F225" t="str">
            <v>OK</v>
          </cell>
        </row>
        <row r="226">
          <cell r="C226" t="str">
            <v>&lt;-- enter valid PB./Acc. # in this cell!</v>
          </cell>
          <cell r="F226" t="str">
            <v>OK</v>
          </cell>
        </row>
        <row r="227">
          <cell r="C227" t="str">
            <v>&lt;-- enter valid PB./Acc. # in this cell!</v>
          </cell>
          <cell r="F227" t="str">
            <v>OK</v>
          </cell>
        </row>
        <row r="228">
          <cell r="C228" t="str">
            <v>&lt;-- enter valid PB./Acc. # in this cell!</v>
          </cell>
          <cell r="F228" t="str">
            <v>OK</v>
          </cell>
        </row>
        <row r="229">
          <cell r="C229" t="str">
            <v>&lt;-- enter valid PB./Acc. # in this cell!</v>
          </cell>
          <cell r="F229" t="str">
            <v>OK</v>
          </cell>
        </row>
        <row r="230">
          <cell r="C230" t="str">
            <v>&lt;-- enter valid PB./Acc. # in this cell!</v>
          </cell>
          <cell r="F230" t="str">
            <v>OK</v>
          </cell>
        </row>
        <row r="231">
          <cell r="C231" t="str">
            <v>&lt;-- enter valid PB./Acc. # in this cell!</v>
          </cell>
          <cell r="F231" t="str">
            <v>OK</v>
          </cell>
        </row>
        <row r="232">
          <cell r="C232" t="str">
            <v>&lt;-- enter valid PB./Acc. # in this cell!</v>
          </cell>
          <cell r="F232" t="str">
            <v>OK</v>
          </cell>
        </row>
        <row r="233">
          <cell r="C233" t="str">
            <v>&lt;-- enter valid PB./Acc. # in this cell!</v>
          </cell>
          <cell r="F233" t="str">
            <v>OK</v>
          </cell>
        </row>
        <row r="234">
          <cell r="C234" t="str">
            <v>&lt;-- enter valid PB./Acc. # in this cell!</v>
          </cell>
          <cell r="F234" t="str">
            <v>OK</v>
          </cell>
        </row>
        <row r="235">
          <cell r="C235" t="str">
            <v>&lt;-- enter valid PB./Acc. # in this cell!</v>
          </cell>
          <cell r="F235" t="str">
            <v>OK</v>
          </cell>
        </row>
        <row r="236">
          <cell r="C236" t="str">
            <v>&lt;-- enter valid PB./Acc. # in this cell!</v>
          </cell>
          <cell r="F236" t="str">
            <v>OK</v>
          </cell>
        </row>
        <row r="237">
          <cell r="C237" t="str">
            <v>&lt;-- enter valid PB./Acc. # in this cell!</v>
          </cell>
          <cell r="F237" t="str">
            <v>OK</v>
          </cell>
        </row>
        <row r="238">
          <cell r="C238" t="str">
            <v>&lt;-- enter valid PB./Acc. # in this cell!</v>
          </cell>
          <cell r="F238" t="str">
            <v>OK</v>
          </cell>
        </row>
        <row r="239">
          <cell r="C239" t="str">
            <v>&lt;-- enter valid PB./Acc. # in this cell!</v>
          </cell>
          <cell r="F239" t="str">
            <v>OK</v>
          </cell>
        </row>
        <row r="240">
          <cell r="C240" t="str">
            <v>&lt;-- enter valid PB./Acc. # in this cell!</v>
          </cell>
          <cell r="F240" t="str">
            <v>OK</v>
          </cell>
        </row>
        <row r="241">
          <cell r="C241" t="str">
            <v>&lt;-- enter valid PB./Acc. # in this cell!</v>
          </cell>
          <cell r="F241" t="str">
            <v>OK</v>
          </cell>
        </row>
        <row r="242">
          <cell r="C242" t="str">
            <v>&lt;-- enter valid PB./Acc. # in this cell!</v>
          </cell>
          <cell r="F242" t="str">
            <v>OK</v>
          </cell>
        </row>
        <row r="243">
          <cell r="C243" t="str">
            <v>&lt;-- enter valid PB./Acc. # in this cell!</v>
          </cell>
          <cell r="F243" t="str">
            <v>OK</v>
          </cell>
        </row>
        <row r="244">
          <cell r="C244" t="str">
            <v>&lt;-- enter valid PB./Acc. # in this cell!</v>
          </cell>
          <cell r="F244" t="str">
            <v>OK</v>
          </cell>
        </row>
        <row r="245">
          <cell r="C245" t="str">
            <v>&lt;-- enter valid PB./Acc. # in this cell!</v>
          </cell>
          <cell r="F245" t="str">
            <v>OK</v>
          </cell>
        </row>
        <row r="246">
          <cell r="C246" t="str">
            <v>&lt;-- enter valid PB./Acc. # in this cell!</v>
          </cell>
          <cell r="F246" t="str">
            <v>OK</v>
          </cell>
        </row>
        <row r="247">
          <cell r="C247" t="str">
            <v>&lt;-- enter valid PB./Acc. # in this cell!</v>
          </cell>
          <cell r="F247" t="str">
            <v>OK</v>
          </cell>
        </row>
        <row r="248">
          <cell r="C248" t="str">
            <v>&lt;-- enter valid PB./Acc. # in this cell!</v>
          </cell>
          <cell r="F248" t="str">
            <v>OK</v>
          </cell>
        </row>
        <row r="249">
          <cell r="C249" t="str">
            <v>&lt;-- enter valid PB./Acc. # in this cell!</v>
          </cell>
          <cell r="F249" t="str">
            <v>OK</v>
          </cell>
        </row>
        <row r="250">
          <cell r="C250" t="str">
            <v>&lt;-- enter valid PB./Acc. # in this cell!</v>
          </cell>
          <cell r="F250" t="str">
            <v>OK</v>
          </cell>
        </row>
        <row r="251">
          <cell r="C251" t="str">
            <v>&lt;-- enter valid PB./Acc. # in this cell!</v>
          </cell>
          <cell r="F251" t="str">
            <v>OK</v>
          </cell>
        </row>
        <row r="252">
          <cell r="C252" t="str">
            <v>&lt;-- enter valid PB./Acc. # in this cell!</v>
          </cell>
          <cell r="F252" t="str">
            <v>OK</v>
          </cell>
        </row>
        <row r="253">
          <cell r="C253" t="str">
            <v>&lt;-- enter valid PB./Acc. # in this cell!</v>
          </cell>
          <cell r="F253" t="str">
            <v>OK</v>
          </cell>
        </row>
        <row r="254">
          <cell r="C254" t="str">
            <v>&lt;-- enter valid PB./Acc. # in this cell!</v>
          </cell>
          <cell r="F254" t="str">
            <v>OK</v>
          </cell>
        </row>
        <row r="255">
          <cell r="C255" t="str">
            <v>&lt;-- enter valid PB./Acc. # in this cell!</v>
          </cell>
          <cell r="F255" t="str">
            <v>OK</v>
          </cell>
        </row>
        <row r="256">
          <cell r="C256" t="str">
            <v>&lt;-- enter valid PB./Acc. # in this cell!</v>
          </cell>
          <cell r="F256" t="str">
            <v>OK</v>
          </cell>
        </row>
        <row r="257">
          <cell r="C257" t="str">
            <v>&lt;-- enter valid PB./Acc. # in this cell!</v>
          </cell>
          <cell r="F257" t="str">
            <v>OK</v>
          </cell>
        </row>
        <row r="258">
          <cell r="C258" t="str">
            <v>&lt;-- enter valid PB./Acc. # in this cell!</v>
          </cell>
          <cell r="F258" t="str">
            <v>OK</v>
          </cell>
        </row>
        <row r="259">
          <cell r="C259" t="str">
            <v>&lt;-- enter valid PB./Acc. # in this cell!</v>
          </cell>
          <cell r="F259" t="str">
            <v>OK</v>
          </cell>
        </row>
        <row r="260">
          <cell r="C260" t="str">
            <v>&lt;-- enter valid PB./Acc. # in this cell!</v>
          </cell>
          <cell r="F260" t="str">
            <v>OK</v>
          </cell>
        </row>
        <row r="261">
          <cell r="C261" t="str">
            <v>&lt;-- enter valid PB./Acc. # in this cell!</v>
          </cell>
          <cell r="F261" t="str">
            <v>OK</v>
          </cell>
        </row>
        <row r="262">
          <cell r="C262" t="str">
            <v>&lt;-- enter valid PB./Acc. # in this cell!</v>
          </cell>
          <cell r="F262" t="str">
            <v>OK</v>
          </cell>
        </row>
        <row r="263">
          <cell r="C263" t="str">
            <v>&lt;-- enter valid PB./Acc. # in this cell!</v>
          </cell>
          <cell r="F263" t="str">
            <v>OK</v>
          </cell>
        </row>
        <row r="264">
          <cell r="C264" t="str">
            <v>&lt;-- enter valid PB./Acc. # in this cell!</v>
          </cell>
          <cell r="F264" t="str">
            <v>OK</v>
          </cell>
        </row>
        <row r="265">
          <cell r="C265" t="str">
            <v>&lt;-- enter valid PB./Acc. # in this cell!</v>
          </cell>
          <cell r="F265" t="str">
            <v>OK</v>
          </cell>
        </row>
        <row r="266">
          <cell r="C266" t="str">
            <v>&lt;-- enter valid PB./Acc. # in this cell!</v>
          </cell>
          <cell r="F266" t="str">
            <v>OK</v>
          </cell>
        </row>
        <row r="267">
          <cell r="C267" t="str">
            <v>&lt;-- enter valid PB./Acc. # in this cell!</v>
          </cell>
          <cell r="F267" t="str">
            <v>OK</v>
          </cell>
        </row>
        <row r="268">
          <cell r="C268" t="str">
            <v>&lt;-- enter valid PB./Acc. # in this cell!</v>
          </cell>
          <cell r="F268" t="str">
            <v>OK</v>
          </cell>
        </row>
        <row r="269">
          <cell r="C269" t="str">
            <v>&lt;-- enter valid PB./Acc. # in this cell!</v>
          </cell>
          <cell r="F269" t="str">
            <v>OK</v>
          </cell>
        </row>
        <row r="270">
          <cell r="C270" t="str">
            <v>&lt;-- enter valid PB./Acc. # in this cell!</v>
          </cell>
          <cell r="F270" t="str">
            <v>OK</v>
          </cell>
        </row>
        <row r="271">
          <cell r="C271" t="str">
            <v>&lt;-- enter valid PB./Acc. # in this cell!</v>
          </cell>
          <cell r="F271" t="str">
            <v>OK</v>
          </cell>
        </row>
        <row r="272">
          <cell r="C272" t="str">
            <v>&lt;-- enter valid PB./Acc. # in this cell!</v>
          </cell>
          <cell r="F272" t="str">
            <v>OK</v>
          </cell>
        </row>
        <row r="273">
          <cell r="C273" t="str">
            <v>&lt;-- enter valid PB./Acc. # in this cell!</v>
          </cell>
          <cell r="F273" t="str">
            <v>OK</v>
          </cell>
        </row>
        <row r="274">
          <cell r="C274" t="str">
            <v>&lt;-- enter valid PB./Acc. # in this cell!</v>
          </cell>
          <cell r="F274" t="str">
            <v>OK</v>
          </cell>
        </row>
        <row r="275">
          <cell r="C275" t="str">
            <v>&lt;-- enter valid PB./Acc. # in this cell!</v>
          </cell>
          <cell r="F275" t="str">
            <v>OK</v>
          </cell>
        </row>
        <row r="276">
          <cell r="C276" t="str">
            <v>&lt;-- enter valid PB./Acc. # in this cell!</v>
          </cell>
          <cell r="F276" t="str">
            <v>OK</v>
          </cell>
        </row>
        <row r="277">
          <cell r="C277" t="str">
            <v>&lt;-- enter valid PB./Acc. # in this cell!</v>
          </cell>
          <cell r="F277" t="str">
            <v>OK</v>
          </cell>
        </row>
        <row r="278">
          <cell r="C278" t="str">
            <v>&lt;-- enter valid PB./Acc. # in this cell!</v>
          </cell>
          <cell r="F278" t="str">
            <v>OK</v>
          </cell>
        </row>
        <row r="279">
          <cell r="C279" t="str">
            <v>&lt;-- enter valid PB./Acc. # in this cell!</v>
          </cell>
          <cell r="F279" t="str">
            <v>OK</v>
          </cell>
        </row>
        <row r="280">
          <cell r="C280" t="str">
            <v>&lt;-- enter valid PB./Acc. # in this cell!</v>
          </cell>
          <cell r="F280" t="str">
            <v>OK</v>
          </cell>
        </row>
        <row r="281">
          <cell r="C281" t="str">
            <v>&lt;-- enter valid PB./Acc. # in this cell!</v>
          </cell>
          <cell r="F281" t="str">
            <v>OK</v>
          </cell>
        </row>
        <row r="282">
          <cell r="C282" t="str">
            <v>&lt;-- enter valid PB./Acc. # in this cell!</v>
          </cell>
          <cell r="F282" t="str">
            <v>OK</v>
          </cell>
        </row>
        <row r="283">
          <cell r="C283" t="str">
            <v>&lt;-- enter valid PB./Acc. # in this cell!</v>
          </cell>
          <cell r="F283" t="str">
            <v>OK</v>
          </cell>
        </row>
        <row r="284">
          <cell r="C284" t="str">
            <v>&lt;-- enter valid PB./Acc. # in this cell!</v>
          </cell>
          <cell r="F284" t="str">
            <v>OK</v>
          </cell>
        </row>
        <row r="285">
          <cell r="C285" t="str">
            <v>&lt;-- enter valid PB./Acc. # in this cell!</v>
          </cell>
          <cell r="F285" t="str">
            <v>OK</v>
          </cell>
        </row>
        <row r="286">
          <cell r="C286" t="str">
            <v>&lt;-- enter valid PB./Acc. # in this cell!</v>
          </cell>
          <cell r="F286" t="str">
            <v>OK</v>
          </cell>
        </row>
        <row r="287">
          <cell r="C287" t="str">
            <v>&lt;-- enter valid PB./Acc. # in this cell!</v>
          </cell>
          <cell r="F287" t="str">
            <v>OK</v>
          </cell>
        </row>
        <row r="288">
          <cell r="C288" t="str">
            <v>&lt;-- enter valid PB./Acc. # in this cell!</v>
          </cell>
          <cell r="F288" t="str">
            <v>OK</v>
          </cell>
        </row>
        <row r="289">
          <cell r="C289" t="str">
            <v>&lt;-- enter valid PB./Acc. # in this cell!</v>
          </cell>
          <cell r="F289" t="str">
            <v>OK</v>
          </cell>
        </row>
        <row r="290">
          <cell r="C290" t="str">
            <v>&lt;-- enter valid PB./Acc. # in this cell!</v>
          </cell>
          <cell r="F290" t="str">
            <v>OK</v>
          </cell>
        </row>
        <row r="291">
          <cell r="C291" t="str">
            <v>&lt;-- enter valid PB./Acc. # in this cell!</v>
          </cell>
          <cell r="F291" t="str">
            <v>OK</v>
          </cell>
        </row>
        <row r="292">
          <cell r="C292" t="str">
            <v>&lt;-- enter valid PB./Acc. # in this cell!</v>
          </cell>
          <cell r="F292" t="str">
            <v>OK</v>
          </cell>
        </row>
        <row r="293">
          <cell r="C293" t="str">
            <v>&lt;-- enter valid PB./Acc. # in this cell!</v>
          </cell>
          <cell r="F293" t="str">
            <v>OK</v>
          </cell>
        </row>
        <row r="294">
          <cell r="C294" t="str">
            <v>&lt;-- enter valid PB./Acc. # in this cell!</v>
          </cell>
          <cell r="F294" t="str">
            <v>OK</v>
          </cell>
        </row>
        <row r="295">
          <cell r="C295" t="str">
            <v>&lt;-- enter valid PB./Acc. # in this cell!</v>
          </cell>
          <cell r="F295" t="str">
            <v>OK</v>
          </cell>
        </row>
        <row r="296">
          <cell r="C296" t="str">
            <v>&lt;-- enter valid PB./Acc. # in this cell!</v>
          </cell>
          <cell r="F296" t="str">
            <v>OK</v>
          </cell>
        </row>
        <row r="297">
          <cell r="C297" t="str">
            <v>&lt;-- enter valid PB./Acc. # in this cell!</v>
          </cell>
          <cell r="F297" t="str">
            <v>OK</v>
          </cell>
        </row>
        <row r="298">
          <cell r="C298" t="str">
            <v>&lt;-- enter valid PB./Acc. # in this cell!</v>
          </cell>
          <cell r="F298" t="str">
            <v>OK</v>
          </cell>
        </row>
        <row r="299">
          <cell r="C299" t="str">
            <v>&lt;-- enter valid PB./Acc. # in this cell!</v>
          </cell>
          <cell r="F299" t="str">
            <v>OK</v>
          </cell>
        </row>
        <row r="300">
          <cell r="A300" t="str">
            <v>Total Balances of July 2015</v>
          </cell>
          <cell r="F300" t="str">
            <v>OK</v>
          </cell>
          <cell r="G300">
            <v>25754.799999999999</v>
          </cell>
          <cell r="H300">
            <v>27050.82</v>
          </cell>
          <cell r="I300">
            <v>20010.900000000001</v>
          </cell>
          <cell r="J300">
            <v>8956</v>
          </cell>
          <cell r="K300">
            <v>50</v>
          </cell>
          <cell r="L300">
            <v>140</v>
          </cell>
          <cell r="M300">
            <v>8649.92</v>
          </cell>
          <cell r="N300">
            <v>15418.3</v>
          </cell>
          <cell r="O300">
            <v>0</v>
          </cell>
          <cell r="P300">
            <v>0</v>
          </cell>
          <cell r="Q300">
            <v>8500</v>
          </cell>
          <cell r="R300">
            <v>13948.5</v>
          </cell>
          <cell r="S300">
            <v>0</v>
          </cell>
          <cell r="T300">
            <v>0</v>
          </cell>
          <cell r="AQ300">
            <v>2547</v>
          </cell>
        </row>
        <row r="301">
          <cell r="A301">
            <v>42247</v>
          </cell>
        </row>
        <row r="302">
          <cell r="A302">
            <v>42218</v>
          </cell>
          <cell r="B302">
            <v>345</v>
          </cell>
          <cell r="C302" t="str">
            <v>SAMUEL ESSILFIE</v>
          </cell>
          <cell r="D302" t="str">
            <v>RV0154199</v>
          </cell>
          <cell r="E302" t="str">
            <v>Cash  Deposit</v>
          </cell>
          <cell r="F302" t="str">
            <v>OK</v>
          </cell>
          <cell r="G302">
            <v>150</v>
          </cell>
          <cell r="N302">
            <v>150</v>
          </cell>
        </row>
        <row r="303">
          <cell r="A303">
            <v>42218</v>
          </cell>
          <cell r="B303">
            <v>389</v>
          </cell>
          <cell r="C303" t="str">
            <v>ESTHER T.KWOFIE</v>
          </cell>
          <cell r="D303" t="str">
            <v>RV0154200</v>
          </cell>
          <cell r="E303" t="str">
            <v>Cash  Deposit</v>
          </cell>
          <cell r="F303" t="str">
            <v>OK</v>
          </cell>
          <cell r="G303">
            <v>180</v>
          </cell>
          <cell r="N303">
            <v>180</v>
          </cell>
        </row>
        <row r="304">
          <cell r="A304">
            <v>42218</v>
          </cell>
          <cell r="B304">
            <v>321</v>
          </cell>
          <cell r="C304" t="str">
            <v>HAGAR EBIASIMAH GYAMFI</v>
          </cell>
          <cell r="D304" t="str">
            <v>RV0165001</v>
          </cell>
          <cell r="E304" t="str">
            <v>Cash  Deposit</v>
          </cell>
          <cell r="F304" t="str">
            <v>OK</v>
          </cell>
          <cell r="G304">
            <v>100</v>
          </cell>
          <cell r="N304">
            <v>100</v>
          </cell>
        </row>
        <row r="305">
          <cell r="A305">
            <v>42218</v>
          </cell>
          <cell r="B305">
            <v>118</v>
          </cell>
          <cell r="C305" t="str">
            <v>BETHEL METHODIST CHURCH KS</v>
          </cell>
          <cell r="D305" t="str">
            <v>RV0165002</v>
          </cell>
          <cell r="E305" t="str">
            <v>Cash  Deposit</v>
          </cell>
          <cell r="F305" t="str">
            <v>OK</v>
          </cell>
          <cell r="G305">
            <v>500</v>
          </cell>
          <cell r="N305">
            <v>500</v>
          </cell>
        </row>
        <row r="306">
          <cell r="A306">
            <v>42218</v>
          </cell>
          <cell r="B306">
            <v>56420</v>
          </cell>
          <cell r="C306" t="str">
            <v>Travel &amp; Transport (incl. Motor, Fuel and Taxi fare expenses)</v>
          </cell>
          <cell r="D306" t="str">
            <v>PV0054195</v>
          </cell>
          <cell r="E306" t="str">
            <v>T&amp;T pait to Eunice for working on Sunday</v>
          </cell>
          <cell r="F306" t="str">
            <v>OK</v>
          </cell>
          <cell r="H306">
            <v>20</v>
          </cell>
        </row>
        <row r="307">
          <cell r="A307">
            <v>42218</v>
          </cell>
          <cell r="B307">
            <v>256</v>
          </cell>
          <cell r="C307" t="str">
            <v>CHARLES ANDOH</v>
          </cell>
          <cell r="D307" t="str">
            <v>pv0054196</v>
          </cell>
          <cell r="E307" t="str">
            <v>Savings  withdrawal</v>
          </cell>
          <cell r="F307" t="str">
            <v>OK</v>
          </cell>
          <cell r="H307">
            <v>200</v>
          </cell>
          <cell r="M307">
            <v>200</v>
          </cell>
        </row>
        <row r="308">
          <cell r="A308">
            <v>42219</v>
          </cell>
          <cell r="B308">
            <v>233</v>
          </cell>
          <cell r="C308" t="str">
            <v>ALBERT ACQUAH</v>
          </cell>
          <cell r="D308" t="str">
            <v>PV0054197</v>
          </cell>
          <cell r="E308" t="str">
            <v>Savings  withdrawal</v>
          </cell>
          <cell r="F308" t="str">
            <v>OK</v>
          </cell>
          <cell r="H308">
            <v>600</v>
          </cell>
          <cell r="M308">
            <v>600</v>
          </cell>
        </row>
        <row r="309">
          <cell r="A309">
            <v>42219</v>
          </cell>
          <cell r="B309">
            <v>176</v>
          </cell>
          <cell r="C309" t="str">
            <v>SAMUEL BENTIL</v>
          </cell>
          <cell r="D309" t="str">
            <v>PV0054198</v>
          </cell>
          <cell r="E309" t="str">
            <v>Savings  withdrawal</v>
          </cell>
          <cell r="F309" t="str">
            <v>OK</v>
          </cell>
          <cell r="H309">
            <v>200</v>
          </cell>
          <cell r="M309">
            <v>200</v>
          </cell>
        </row>
        <row r="310">
          <cell r="A310">
            <v>42219</v>
          </cell>
          <cell r="B310">
            <v>388</v>
          </cell>
          <cell r="C310" t="str">
            <v>LOVE ENOS-AIDOOO</v>
          </cell>
          <cell r="D310" t="str">
            <v>PV0054199</v>
          </cell>
          <cell r="E310" t="str">
            <v>Savings  withdrawal</v>
          </cell>
          <cell r="F310" t="str">
            <v>OK</v>
          </cell>
          <cell r="H310">
            <v>50</v>
          </cell>
          <cell r="M310">
            <v>50</v>
          </cell>
        </row>
        <row r="311">
          <cell r="A311">
            <v>42219</v>
          </cell>
          <cell r="B311">
            <v>56900</v>
          </cell>
          <cell r="C311" t="str">
            <v>Office Expenses</v>
          </cell>
          <cell r="D311" t="str">
            <v>PV0054200</v>
          </cell>
          <cell r="E311" t="str">
            <v>Gabbage disposal</v>
          </cell>
          <cell r="F311" t="str">
            <v>OK</v>
          </cell>
          <cell r="H311">
            <v>1</v>
          </cell>
        </row>
        <row r="312">
          <cell r="A312">
            <v>42219</v>
          </cell>
          <cell r="B312">
            <v>394</v>
          </cell>
          <cell r="C312" t="str">
            <v>JAMES KOUFIE</v>
          </cell>
          <cell r="D312" t="str">
            <v>RV0165003</v>
          </cell>
          <cell r="E312" t="str">
            <v>Cash  Deposit</v>
          </cell>
          <cell r="F312" t="str">
            <v>OK</v>
          </cell>
          <cell r="G312">
            <v>120</v>
          </cell>
          <cell r="N312">
            <v>120</v>
          </cell>
        </row>
        <row r="313">
          <cell r="A313">
            <v>42219</v>
          </cell>
          <cell r="B313">
            <v>397</v>
          </cell>
          <cell r="C313" t="str">
            <v>KENNETH ADU ASAMOAH</v>
          </cell>
          <cell r="D313" t="str">
            <v>RV0165004</v>
          </cell>
          <cell r="E313" t="str">
            <v>Cash  Deposit</v>
          </cell>
          <cell r="F313" t="str">
            <v>OK</v>
          </cell>
          <cell r="G313">
            <v>105</v>
          </cell>
          <cell r="L313">
            <v>50</v>
          </cell>
          <cell r="N313">
            <v>50</v>
          </cell>
        </row>
        <row r="314">
          <cell r="A314">
            <v>42219</v>
          </cell>
          <cell r="B314">
            <v>360</v>
          </cell>
          <cell r="C314" t="str">
            <v>GIFTY DADZIE</v>
          </cell>
          <cell r="D314" t="str">
            <v>RV0165005</v>
          </cell>
          <cell r="E314" t="str">
            <v>Cash  Deposit</v>
          </cell>
          <cell r="F314" t="str">
            <v>OK</v>
          </cell>
          <cell r="G314">
            <v>90</v>
          </cell>
          <cell r="N314">
            <v>90</v>
          </cell>
        </row>
        <row r="315">
          <cell r="A315">
            <v>42219</v>
          </cell>
          <cell r="B315">
            <v>272</v>
          </cell>
          <cell r="C315" t="str">
            <v>FLORENCE A.BENYAH</v>
          </cell>
          <cell r="D315" t="str">
            <v>RV0165006</v>
          </cell>
          <cell r="E315" t="str">
            <v>Sale of passbook</v>
          </cell>
          <cell r="F315" t="str">
            <v>OK</v>
          </cell>
          <cell r="G315">
            <v>5</v>
          </cell>
        </row>
        <row r="316">
          <cell r="A316">
            <v>42219</v>
          </cell>
          <cell r="B316">
            <v>310</v>
          </cell>
          <cell r="C316" t="str">
            <v>ST.PAUL'S METHODIST CHURCH KAKRBA</v>
          </cell>
          <cell r="D316" t="str">
            <v>RV0165007</v>
          </cell>
          <cell r="E316" t="str">
            <v>Cash  Deposit</v>
          </cell>
          <cell r="F316" t="str">
            <v>OK</v>
          </cell>
          <cell r="G316">
            <v>300</v>
          </cell>
          <cell r="N316">
            <v>300</v>
          </cell>
        </row>
        <row r="317">
          <cell r="A317">
            <v>42219</v>
          </cell>
          <cell r="B317">
            <v>310</v>
          </cell>
          <cell r="C317" t="str">
            <v>ST.PAUL'S METHODIST CHURCH KAKRBA</v>
          </cell>
          <cell r="D317" t="str">
            <v>RV0165008</v>
          </cell>
          <cell r="E317" t="str">
            <v>Cash  Deposit</v>
          </cell>
          <cell r="F317" t="str">
            <v>OK</v>
          </cell>
          <cell r="G317">
            <v>40</v>
          </cell>
          <cell r="N317">
            <v>40</v>
          </cell>
        </row>
        <row r="318">
          <cell r="A318">
            <v>42220</v>
          </cell>
          <cell r="B318">
            <v>236</v>
          </cell>
          <cell r="C318" t="str">
            <v>GRACE AMPOMAH MENSAH</v>
          </cell>
          <cell r="D318" t="str">
            <v>RV0165009</v>
          </cell>
          <cell r="E318" t="str">
            <v>Cash  Deposit</v>
          </cell>
          <cell r="F318" t="str">
            <v>OK</v>
          </cell>
          <cell r="G318">
            <v>320</v>
          </cell>
          <cell r="N318">
            <v>320</v>
          </cell>
        </row>
        <row r="319">
          <cell r="A319">
            <v>42220</v>
          </cell>
          <cell r="B319">
            <v>46</v>
          </cell>
          <cell r="C319" t="str">
            <v>RICHARD GHANSON</v>
          </cell>
          <cell r="D319" t="str">
            <v>RV0165010</v>
          </cell>
          <cell r="E319" t="str">
            <v>Loan Repayment / Deposit</v>
          </cell>
          <cell r="F319" t="str">
            <v>OK</v>
          </cell>
          <cell r="G319">
            <v>650</v>
          </cell>
          <cell r="N319">
            <v>67</v>
          </cell>
          <cell r="R319">
            <v>500</v>
          </cell>
          <cell r="AQ319">
            <v>83</v>
          </cell>
        </row>
        <row r="320">
          <cell r="A320">
            <v>42220</v>
          </cell>
          <cell r="B320">
            <v>300</v>
          </cell>
          <cell r="C320" t="str">
            <v>CIRCUIT WOMEN'S FELLOWSHIP METH.</v>
          </cell>
          <cell r="D320" t="str">
            <v>RV0165011</v>
          </cell>
          <cell r="E320" t="str">
            <v>Cash  Deposit</v>
          </cell>
          <cell r="F320" t="str">
            <v>OK</v>
          </cell>
          <cell r="G320">
            <v>30</v>
          </cell>
          <cell r="N320">
            <v>30</v>
          </cell>
        </row>
        <row r="321">
          <cell r="A321">
            <v>42220</v>
          </cell>
          <cell r="B321">
            <v>378</v>
          </cell>
          <cell r="C321" t="str">
            <v>SAMUEL KWEKU ABRADU-MANU</v>
          </cell>
          <cell r="D321" t="str">
            <v>PV0474202</v>
          </cell>
          <cell r="E321" t="str">
            <v>Savings  withdrawal</v>
          </cell>
          <cell r="F321" t="str">
            <v>OK</v>
          </cell>
          <cell r="H321">
            <v>50</v>
          </cell>
          <cell r="M321">
            <v>50</v>
          </cell>
        </row>
        <row r="322">
          <cell r="A322">
            <v>42220</v>
          </cell>
          <cell r="B322">
            <v>56310</v>
          </cell>
          <cell r="C322" t="str">
            <v>Postage &amp; Communication</v>
          </cell>
          <cell r="D322" t="str">
            <v>PV0474203</v>
          </cell>
          <cell r="E322" t="str">
            <v>Credit for internet modem</v>
          </cell>
          <cell r="F322" t="str">
            <v>OK</v>
          </cell>
          <cell r="H322">
            <v>10</v>
          </cell>
        </row>
        <row r="323">
          <cell r="A323">
            <v>42220</v>
          </cell>
          <cell r="B323">
            <v>394</v>
          </cell>
          <cell r="C323" t="str">
            <v>JAMES KOUFIE</v>
          </cell>
          <cell r="D323" t="str">
            <v>PV0474204</v>
          </cell>
          <cell r="E323" t="str">
            <v>Savings  withdrawal</v>
          </cell>
          <cell r="F323" t="str">
            <v>OK</v>
          </cell>
          <cell r="H323">
            <v>30</v>
          </cell>
          <cell r="M323">
            <v>30</v>
          </cell>
        </row>
        <row r="324">
          <cell r="A324">
            <v>42221</v>
          </cell>
          <cell r="B324">
            <v>54330</v>
          </cell>
          <cell r="C324" t="str">
            <v>Travel and Transport expenses for BoD and Committee executives</v>
          </cell>
          <cell r="D324" t="str">
            <v>PV0474205</v>
          </cell>
          <cell r="E324" t="str">
            <v>cost of fuel to Gold Coast Security</v>
          </cell>
          <cell r="F324" t="str">
            <v>OK</v>
          </cell>
          <cell r="H324">
            <v>50</v>
          </cell>
        </row>
        <row r="325">
          <cell r="A325">
            <v>42221</v>
          </cell>
          <cell r="B325">
            <v>56420</v>
          </cell>
          <cell r="C325" t="str">
            <v>Travel &amp; Transport (incl. Motor, Fuel and Taxi fare expenses)</v>
          </cell>
          <cell r="D325" t="str">
            <v>PV0474206</v>
          </cell>
          <cell r="E325" t="str">
            <v>t&amp;t to Bank</v>
          </cell>
          <cell r="F325" t="str">
            <v>OK</v>
          </cell>
          <cell r="H325">
            <v>10</v>
          </cell>
        </row>
        <row r="326">
          <cell r="A326">
            <v>42221</v>
          </cell>
          <cell r="B326">
            <v>11201</v>
          </cell>
          <cell r="C326" t="str">
            <v>Bawjiase Area Rural Bank</v>
          </cell>
          <cell r="E326" t="str">
            <v>Cash deposit to bank</v>
          </cell>
          <cell r="F326" t="str">
            <v>OK</v>
          </cell>
          <cell r="H326">
            <v>2260</v>
          </cell>
          <cell r="I326">
            <v>2260</v>
          </cell>
        </row>
        <row r="327">
          <cell r="A327">
            <v>42221</v>
          </cell>
          <cell r="B327">
            <v>326</v>
          </cell>
          <cell r="C327" t="str">
            <v>OPEIKUMA TOWN METHODIST CH.</v>
          </cell>
          <cell r="D327" t="str">
            <v>RV0165012</v>
          </cell>
          <cell r="E327" t="str">
            <v>Cash  Deposit</v>
          </cell>
          <cell r="F327" t="str">
            <v>OK</v>
          </cell>
          <cell r="G327">
            <v>56.3</v>
          </cell>
          <cell r="N327">
            <v>56.3</v>
          </cell>
        </row>
        <row r="328">
          <cell r="A328">
            <v>42221</v>
          </cell>
          <cell r="B328">
            <v>231</v>
          </cell>
          <cell r="C328" t="str">
            <v>EMMANUEL DANSO</v>
          </cell>
          <cell r="D328" t="str">
            <v>RV0165013</v>
          </cell>
          <cell r="E328" t="str">
            <v>Cash  Deposit</v>
          </cell>
          <cell r="F328" t="str">
            <v>OK</v>
          </cell>
          <cell r="G328">
            <v>35</v>
          </cell>
          <cell r="N328">
            <v>30</v>
          </cell>
        </row>
        <row r="329">
          <cell r="A329">
            <v>42221</v>
          </cell>
          <cell r="B329">
            <v>341</v>
          </cell>
          <cell r="C329" t="str">
            <v>REBECCA ESSILFUA ARTHUR</v>
          </cell>
          <cell r="D329" t="str">
            <v>RV0165014</v>
          </cell>
          <cell r="E329" t="str">
            <v>Cash  Deposit</v>
          </cell>
          <cell r="F329" t="str">
            <v>OK</v>
          </cell>
          <cell r="G329">
            <v>1000</v>
          </cell>
          <cell r="N329">
            <v>1000</v>
          </cell>
        </row>
        <row r="330">
          <cell r="A330">
            <v>42221</v>
          </cell>
          <cell r="B330">
            <v>339</v>
          </cell>
          <cell r="C330" t="str">
            <v>FRANKLINA ESSEL</v>
          </cell>
          <cell r="D330" t="str">
            <v>RV0165015</v>
          </cell>
          <cell r="E330" t="str">
            <v>Loan Repayment / Deposit</v>
          </cell>
          <cell r="F330" t="str">
            <v>OK</v>
          </cell>
          <cell r="G330">
            <v>60</v>
          </cell>
          <cell r="N330">
            <v>1.5</v>
          </cell>
          <cell r="R330">
            <v>50</v>
          </cell>
          <cell r="AQ330">
            <v>8.5</v>
          </cell>
        </row>
        <row r="331">
          <cell r="A331">
            <v>42221</v>
          </cell>
          <cell r="B331">
            <v>359</v>
          </cell>
          <cell r="C331" t="str">
            <v>GOOD SHEPHERD METH.YOUTH SUPPORT FUND</v>
          </cell>
          <cell r="D331" t="str">
            <v>RV0165016</v>
          </cell>
          <cell r="E331" t="str">
            <v>Cash  Deposit</v>
          </cell>
          <cell r="F331" t="str">
            <v>OK</v>
          </cell>
          <cell r="G331">
            <v>23.5</v>
          </cell>
          <cell r="N331">
            <v>23.5</v>
          </cell>
        </row>
        <row r="332">
          <cell r="A332">
            <v>42222</v>
          </cell>
          <cell r="B332">
            <v>300</v>
          </cell>
          <cell r="C332" t="str">
            <v>CIRCUIT WOMEN'S FELLOWSHIP METH.</v>
          </cell>
          <cell r="D332" t="str">
            <v>RV0165017</v>
          </cell>
          <cell r="E332" t="str">
            <v>Cash  Deposit</v>
          </cell>
          <cell r="F332" t="str">
            <v>OK</v>
          </cell>
          <cell r="G332">
            <v>30</v>
          </cell>
          <cell r="N332">
            <v>30</v>
          </cell>
        </row>
        <row r="333">
          <cell r="A333">
            <v>42222</v>
          </cell>
          <cell r="B333">
            <v>365</v>
          </cell>
          <cell r="C333" t="str">
            <v>RACHEAL VISSION WORKERS</v>
          </cell>
          <cell r="D333" t="str">
            <v>RV0165018</v>
          </cell>
          <cell r="E333" t="str">
            <v>Cash  Deposit</v>
          </cell>
          <cell r="F333" t="str">
            <v>OK</v>
          </cell>
          <cell r="G333">
            <v>73</v>
          </cell>
          <cell r="N333">
            <v>73</v>
          </cell>
        </row>
        <row r="334">
          <cell r="A334">
            <v>42222</v>
          </cell>
          <cell r="B334">
            <v>178</v>
          </cell>
          <cell r="C334" t="str">
            <v>OSOFO MAAME CLASS</v>
          </cell>
          <cell r="D334" t="str">
            <v>RV0165019</v>
          </cell>
          <cell r="E334" t="str">
            <v>Cash  Deposit</v>
          </cell>
          <cell r="F334" t="str">
            <v>OK</v>
          </cell>
          <cell r="G334">
            <v>98</v>
          </cell>
          <cell r="N334">
            <v>98</v>
          </cell>
        </row>
        <row r="335">
          <cell r="A335">
            <v>42222</v>
          </cell>
          <cell r="B335">
            <v>317</v>
          </cell>
          <cell r="C335" t="str">
            <v>JOANA ODOOM</v>
          </cell>
          <cell r="D335" t="str">
            <v>RV0165020</v>
          </cell>
          <cell r="E335" t="str">
            <v>Loan Repayment / Deposit</v>
          </cell>
          <cell r="F335" t="str">
            <v>OK</v>
          </cell>
          <cell r="G335">
            <v>200</v>
          </cell>
          <cell r="N335">
            <v>20</v>
          </cell>
          <cell r="R335">
            <v>150</v>
          </cell>
          <cell r="AQ335">
            <v>30</v>
          </cell>
        </row>
        <row r="336">
          <cell r="A336">
            <v>42222</v>
          </cell>
          <cell r="B336">
            <v>33</v>
          </cell>
          <cell r="C336" t="str">
            <v>NANA KOJO QUANSAH</v>
          </cell>
          <cell r="D336" t="str">
            <v>RV0165021</v>
          </cell>
          <cell r="E336" t="str">
            <v>Cash  Deposit</v>
          </cell>
          <cell r="F336" t="str">
            <v>OK</v>
          </cell>
          <cell r="G336">
            <v>900</v>
          </cell>
          <cell r="N336">
            <v>900</v>
          </cell>
        </row>
        <row r="337">
          <cell r="A337">
            <v>42222</v>
          </cell>
          <cell r="B337">
            <v>33</v>
          </cell>
          <cell r="C337" t="str">
            <v>NANA KOJO QUANSAH</v>
          </cell>
          <cell r="D337" t="str">
            <v>PV0474207</v>
          </cell>
          <cell r="E337" t="str">
            <v>Savings  withdrawal</v>
          </cell>
          <cell r="F337" t="str">
            <v>OK</v>
          </cell>
          <cell r="J337">
            <v>4000</v>
          </cell>
          <cell r="M337">
            <v>4000</v>
          </cell>
        </row>
        <row r="338">
          <cell r="A338">
            <v>42222</v>
          </cell>
          <cell r="B338">
            <v>54300</v>
          </cell>
          <cell r="C338" t="str">
            <v>BoD and Committee expenses</v>
          </cell>
          <cell r="D338" t="str">
            <v>PV0474208</v>
          </cell>
          <cell r="E338" t="str">
            <v>Cost of refreshment on Board meeting</v>
          </cell>
          <cell r="F338" t="str">
            <v>OK</v>
          </cell>
          <cell r="H338">
            <v>80</v>
          </cell>
        </row>
        <row r="339">
          <cell r="A339">
            <v>42222</v>
          </cell>
          <cell r="B339">
            <v>260</v>
          </cell>
          <cell r="C339" t="str">
            <v>BETHEL METHODIST CHURCH CHOIR</v>
          </cell>
          <cell r="D339" t="str">
            <v>PV0474209</v>
          </cell>
          <cell r="E339" t="str">
            <v>Savings  withdrawal</v>
          </cell>
          <cell r="F339" t="str">
            <v>OK</v>
          </cell>
          <cell r="J339">
            <v>3000</v>
          </cell>
          <cell r="M339">
            <v>3000</v>
          </cell>
        </row>
        <row r="340">
          <cell r="A340">
            <v>42223</v>
          </cell>
          <cell r="B340">
            <v>56420</v>
          </cell>
          <cell r="C340" t="str">
            <v>Travel &amp; Transport (incl. Motor, Fuel and Taxi fare expenses)</v>
          </cell>
          <cell r="D340" t="str">
            <v>PV0474210</v>
          </cell>
          <cell r="E340" t="str">
            <v>t&amp;t to Bank</v>
          </cell>
          <cell r="F340" t="str">
            <v>OK</v>
          </cell>
          <cell r="H340">
            <v>10</v>
          </cell>
        </row>
        <row r="341">
          <cell r="A341">
            <v>42223</v>
          </cell>
          <cell r="B341">
            <v>326</v>
          </cell>
          <cell r="C341" t="str">
            <v>OPEIKUMA TOWN METHODIST CH.</v>
          </cell>
          <cell r="D341" t="str">
            <v>PV0474211</v>
          </cell>
          <cell r="E341" t="str">
            <v>Savings  withdrawal</v>
          </cell>
          <cell r="F341" t="str">
            <v>OK</v>
          </cell>
          <cell r="H341">
            <v>200</v>
          </cell>
          <cell r="M341">
            <v>200</v>
          </cell>
        </row>
        <row r="342">
          <cell r="A342">
            <v>42223</v>
          </cell>
          <cell r="B342">
            <v>56200</v>
          </cell>
          <cell r="C342" t="str">
            <v>Printing &amp; Stationery</v>
          </cell>
          <cell r="D342" t="str">
            <v>PV0474212</v>
          </cell>
          <cell r="E342" t="str">
            <v>t&amp;t given to Eunice for working on Sunday</v>
          </cell>
          <cell r="F342" t="str">
            <v>OK</v>
          </cell>
          <cell r="H342">
            <v>20</v>
          </cell>
        </row>
        <row r="343">
          <cell r="A343">
            <v>42223</v>
          </cell>
          <cell r="B343">
            <v>54330</v>
          </cell>
          <cell r="C343" t="str">
            <v>Travel and Transport expenses for BoD and Committee executives</v>
          </cell>
          <cell r="D343" t="str">
            <v>PV0474213</v>
          </cell>
          <cell r="E343" t="str">
            <v>fuel for manager for official transactions</v>
          </cell>
          <cell r="F343" t="str">
            <v>OK</v>
          </cell>
          <cell r="H343">
            <v>40</v>
          </cell>
        </row>
        <row r="344">
          <cell r="A344">
            <v>42223</v>
          </cell>
          <cell r="B344">
            <v>11201</v>
          </cell>
          <cell r="C344" t="str">
            <v>Bawjiase Area Rural Bank</v>
          </cell>
          <cell r="E344" t="str">
            <v>Cash deposit to bank</v>
          </cell>
          <cell r="F344" t="str">
            <v>OK</v>
          </cell>
          <cell r="H344">
            <v>2800</v>
          </cell>
          <cell r="I344">
            <v>2800</v>
          </cell>
        </row>
        <row r="345">
          <cell r="A345">
            <v>42223</v>
          </cell>
          <cell r="B345">
            <v>264</v>
          </cell>
          <cell r="C345" t="str">
            <v>AGNES BENTIL</v>
          </cell>
          <cell r="D345" t="str">
            <v>RV0165022</v>
          </cell>
          <cell r="E345" t="str">
            <v>Loan Repayment / Deposit</v>
          </cell>
          <cell r="F345" t="str">
            <v>OK</v>
          </cell>
          <cell r="G345">
            <v>130</v>
          </cell>
          <cell r="N345">
            <v>16</v>
          </cell>
          <cell r="R345">
            <v>100</v>
          </cell>
          <cell r="AQ345">
            <v>14</v>
          </cell>
        </row>
        <row r="346">
          <cell r="A346">
            <v>42223</v>
          </cell>
          <cell r="B346">
            <v>25</v>
          </cell>
          <cell r="C346" t="str">
            <v>EMMANUEL N.DONKOR</v>
          </cell>
          <cell r="D346" t="str">
            <v>RV0165023</v>
          </cell>
          <cell r="E346" t="str">
            <v>Cash  Deposit</v>
          </cell>
          <cell r="F346" t="str">
            <v>OK</v>
          </cell>
          <cell r="G346">
            <v>30</v>
          </cell>
          <cell r="N346">
            <v>30</v>
          </cell>
        </row>
        <row r="347">
          <cell r="A347">
            <v>42223</v>
          </cell>
          <cell r="B347">
            <v>394</v>
          </cell>
          <cell r="C347" t="str">
            <v>JAMES KOUFIE</v>
          </cell>
          <cell r="D347" t="str">
            <v>RV0165024</v>
          </cell>
          <cell r="E347" t="str">
            <v>Cash  Deposit</v>
          </cell>
          <cell r="F347" t="str">
            <v>OK</v>
          </cell>
          <cell r="G347">
            <v>50</v>
          </cell>
          <cell r="N347">
            <v>50</v>
          </cell>
        </row>
        <row r="348">
          <cell r="A348">
            <v>42223</v>
          </cell>
          <cell r="B348">
            <v>356</v>
          </cell>
          <cell r="C348" t="str">
            <v>BEATRICE ARTHUR</v>
          </cell>
          <cell r="D348" t="str">
            <v>RV0165025</v>
          </cell>
          <cell r="E348" t="str">
            <v>Loan Repayment / Deposit</v>
          </cell>
          <cell r="F348" t="str">
            <v>OK</v>
          </cell>
          <cell r="G348">
            <v>82</v>
          </cell>
          <cell r="N348">
            <v>0.25</v>
          </cell>
          <cell r="R348">
            <v>75</v>
          </cell>
          <cell r="AQ348">
            <v>6.75</v>
          </cell>
        </row>
        <row r="349">
          <cell r="A349">
            <v>42223</v>
          </cell>
          <cell r="B349">
            <v>397</v>
          </cell>
          <cell r="C349" t="str">
            <v>KENNETH ADU ASAMOAH</v>
          </cell>
          <cell r="D349" t="str">
            <v>RV0165026</v>
          </cell>
          <cell r="E349" t="str">
            <v>Cash  Deposit</v>
          </cell>
          <cell r="F349" t="str">
            <v>OK</v>
          </cell>
          <cell r="G349">
            <v>600</v>
          </cell>
          <cell r="N349">
            <v>600</v>
          </cell>
        </row>
        <row r="350">
          <cell r="A350">
            <v>42223</v>
          </cell>
          <cell r="B350">
            <v>46</v>
          </cell>
          <cell r="C350" t="str">
            <v>RICHARD GHANSON</v>
          </cell>
          <cell r="D350" t="str">
            <v>RV0165027</v>
          </cell>
          <cell r="E350" t="str">
            <v>Loan Repayment / Deposit</v>
          </cell>
          <cell r="F350" t="str">
            <v>OK</v>
          </cell>
          <cell r="G350">
            <v>635</v>
          </cell>
          <cell r="N350">
            <v>52</v>
          </cell>
          <cell r="R350">
            <v>500</v>
          </cell>
          <cell r="AQ350">
            <v>83</v>
          </cell>
        </row>
        <row r="351">
          <cell r="A351">
            <v>42223</v>
          </cell>
          <cell r="B351">
            <v>392</v>
          </cell>
          <cell r="C351" t="str">
            <v>AL-HALIM HALIMA OTOO</v>
          </cell>
          <cell r="D351" t="str">
            <v>RV0165028</v>
          </cell>
          <cell r="E351" t="str">
            <v>Cash  Deposit</v>
          </cell>
          <cell r="F351" t="str">
            <v>OK</v>
          </cell>
          <cell r="G351">
            <v>70</v>
          </cell>
          <cell r="L351">
            <v>20</v>
          </cell>
          <cell r="N351">
            <v>50</v>
          </cell>
        </row>
        <row r="352">
          <cell r="A352">
            <v>42223</v>
          </cell>
          <cell r="B352">
            <v>365</v>
          </cell>
          <cell r="C352" t="str">
            <v>RACHEAL VISSION WORKERS</v>
          </cell>
          <cell r="D352" t="str">
            <v>RV0165029</v>
          </cell>
          <cell r="E352" t="str">
            <v>Cash  Deposit</v>
          </cell>
          <cell r="F352" t="str">
            <v>OK</v>
          </cell>
          <cell r="G352">
            <v>50</v>
          </cell>
          <cell r="N352">
            <v>50</v>
          </cell>
        </row>
        <row r="353">
          <cell r="A353">
            <v>42225</v>
          </cell>
          <cell r="B353">
            <v>205</v>
          </cell>
          <cell r="C353" t="str">
            <v>EMELIA ANOA AMASAH</v>
          </cell>
          <cell r="D353" t="str">
            <v>RV0165030</v>
          </cell>
          <cell r="E353" t="str">
            <v>LOAN Repayment / interest</v>
          </cell>
          <cell r="F353" t="str">
            <v>OK</v>
          </cell>
          <cell r="G353">
            <v>370</v>
          </cell>
          <cell r="R353">
            <v>334</v>
          </cell>
          <cell r="AQ353">
            <v>36</v>
          </cell>
        </row>
        <row r="354">
          <cell r="A354">
            <v>42225</v>
          </cell>
          <cell r="B354">
            <v>329</v>
          </cell>
          <cell r="C354" t="str">
            <v>FAUSTINA BAINE</v>
          </cell>
          <cell r="D354" t="str">
            <v>RV0165031</v>
          </cell>
          <cell r="E354" t="str">
            <v>Cash  Deposit</v>
          </cell>
          <cell r="F354" t="str">
            <v>OK</v>
          </cell>
          <cell r="G354">
            <v>400</v>
          </cell>
          <cell r="L354">
            <v>300</v>
          </cell>
          <cell r="N354">
            <v>100</v>
          </cell>
        </row>
        <row r="355">
          <cell r="A355">
            <v>42225</v>
          </cell>
          <cell r="B355">
            <v>86</v>
          </cell>
          <cell r="C355" t="str">
            <v>BETTY ELEGBA</v>
          </cell>
          <cell r="D355" t="str">
            <v>RV0165032</v>
          </cell>
          <cell r="E355" t="str">
            <v>Loan Repayment / Deposit</v>
          </cell>
          <cell r="F355" t="str">
            <v>OK</v>
          </cell>
          <cell r="G355">
            <v>333</v>
          </cell>
          <cell r="N355">
            <v>100</v>
          </cell>
          <cell r="R355">
            <v>200</v>
          </cell>
          <cell r="AQ355">
            <v>33</v>
          </cell>
        </row>
        <row r="356">
          <cell r="A356">
            <v>42225</v>
          </cell>
          <cell r="B356">
            <v>132</v>
          </cell>
          <cell r="C356" t="str">
            <v>CHRISTIANA KARKO</v>
          </cell>
          <cell r="D356" t="str">
            <v>RV0165033</v>
          </cell>
          <cell r="E356" t="str">
            <v>Cash  Deposit</v>
          </cell>
          <cell r="F356" t="str">
            <v>OK</v>
          </cell>
          <cell r="G356">
            <v>50</v>
          </cell>
          <cell r="N356">
            <v>50</v>
          </cell>
        </row>
        <row r="357">
          <cell r="A357">
            <v>42225</v>
          </cell>
          <cell r="B357">
            <v>118</v>
          </cell>
          <cell r="C357" t="str">
            <v>BETHEL METHODIST CHURCH KS</v>
          </cell>
          <cell r="D357" t="str">
            <v>RV0165034</v>
          </cell>
          <cell r="E357" t="str">
            <v>Cash  Deposit</v>
          </cell>
          <cell r="F357" t="str">
            <v>OK</v>
          </cell>
          <cell r="G357">
            <v>100</v>
          </cell>
          <cell r="N357">
            <v>100</v>
          </cell>
        </row>
        <row r="358">
          <cell r="A358">
            <v>42225</v>
          </cell>
          <cell r="B358">
            <v>171</v>
          </cell>
          <cell r="C358" t="str">
            <v>DORA MENSAH</v>
          </cell>
          <cell r="D358" t="str">
            <v>RV0165035</v>
          </cell>
          <cell r="E358" t="str">
            <v>Cash  Deposit</v>
          </cell>
          <cell r="F358" t="str">
            <v>OK</v>
          </cell>
          <cell r="G358">
            <v>40</v>
          </cell>
          <cell r="N358">
            <v>40</v>
          </cell>
        </row>
        <row r="359">
          <cell r="A359">
            <v>42225</v>
          </cell>
          <cell r="B359">
            <v>349</v>
          </cell>
          <cell r="C359" t="str">
            <v>SALOMEY BORTEI</v>
          </cell>
          <cell r="D359" t="str">
            <v>RV0165036</v>
          </cell>
          <cell r="E359" t="str">
            <v>LOAN Repayment / interest</v>
          </cell>
          <cell r="F359" t="str">
            <v>OK</v>
          </cell>
          <cell r="G359">
            <v>117</v>
          </cell>
          <cell r="R359">
            <v>100</v>
          </cell>
          <cell r="AQ359">
            <v>17</v>
          </cell>
        </row>
        <row r="360">
          <cell r="A360">
            <v>42225</v>
          </cell>
          <cell r="B360">
            <v>215</v>
          </cell>
          <cell r="C360" t="str">
            <v>JUSTICE ABRAHAMS</v>
          </cell>
          <cell r="D360" t="str">
            <v>RV0165037</v>
          </cell>
          <cell r="E360" t="str">
            <v>Cash  Deposit</v>
          </cell>
          <cell r="F360" t="str">
            <v>OK</v>
          </cell>
          <cell r="G360">
            <v>200</v>
          </cell>
          <cell r="N360">
            <v>200</v>
          </cell>
        </row>
        <row r="361">
          <cell r="A361">
            <v>42225</v>
          </cell>
          <cell r="B361">
            <v>371</v>
          </cell>
          <cell r="C361" t="str">
            <v>DESMOND ASANTE</v>
          </cell>
          <cell r="D361" t="str">
            <v>RV0165038</v>
          </cell>
          <cell r="E361" t="str">
            <v>Cash  Deposit</v>
          </cell>
          <cell r="F361" t="str">
            <v>OK</v>
          </cell>
          <cell r="G361">
            <v>50</v>
          </cell>
          <cell r="N361">
            <v>50</v>
          </cell>
        </row>
        <row r="362">
          <cell r="A362">
            <v>42225</v>
          </cell>
          <cell r="B362">
            <v>256</v>
          </cell>
          <cell r="C362" t="str">
            <v>CHARLES ANDOH</v>
          </cell>
          <cell r="D362" t="str">
            <v>RV0165039</v>
          </cell>
          <cell r="E362" t="str">
            <v>Cash  Deposit</v>
          </cell>
          <cell r="F362" t="str">
            <v>OK</v>
          </cell>
          <cell r="G362">
            <v>200</v>
          </cell>
          <cell r="N362">
            <v>200</v>
          </cell>
        </row>
        <row r="363">
          <cell r="A363">
            <v>42225</v>
          </cell>
          <cell r="B363">
            <v>132</v>
          </cell>
          <cell r="C363" t="str">
            <v>CHRISTIANA KARKO</v>
          </cell>
          <cell r="D363" t="str">
            <v>PV0474214</v>
          </cell>
          <cell r="E363" t="str">
            <v>Savings  withdrawal</v>
          </cell>
          <cell r="F363" t="str">
            <v>OK</v>
          </cell>
          <cell r="H363">
            <v>500</v>
          </cell>
          <cell r="M363">
            <v>500</v>
          </cell>
        </row>
        <row r="364">
          <cell r="A364">
            <v>42227</v>
          </cell>
          <cell r="B364">
            <v>256</v>
          </cell>
          <cell r="C364" t="str">
            <v>CHARLES ANDOH</v>
          </cell>
          <cell r="D364" t="str">
            <v>PV0474216</v>
          </cell>
          <cell r="E364" t="str">
            <v>Loan Disbursed</v>
          </cell>
          <cell r="F364" t="str">
            <v>OK</v>
          </cell>
          <cell r="J364">
            <v>1000</v>
          </cell>
          <cell r="Q364">
            <v>1000</v>
          </cell>
        </row>
        <row r="365">
          <cell r="A365">
            <v>42226</v>
          </cell>
          <cell r="B365">
            <v>162</v>
          </cell>
          <cell r="C365" t="str">
            <v>EMMANUEL KEELSON(SNR)</v>
          </cell>
          <cell r="D365" t="str">
            <v>RV0165040</v>
          </cell>
          <cell r="E365" t="str">
            <v>Cash  Deposit</v>
          </cell>
          <cell r="F365" t="str">
            <v>OK</v>
          </cell>
          <cell r="G365">
            <v>30.1</v>
          </cell>
          <cell r="N365">
            <v>30.1</v>
          </cell>
        </row>
        <row r="366">
          <cell r="A366">
            <v>42226</v>
          </cell>
          <cell r="B366">
            <v>310</v>
          </cell>
          <cell r="C366" t="str">
            <v>ST.PAUL'S METHODIST CHURCH KAKRBA</v>
          </cell>
          <cell r="D366" t="str">
            <v>RV0165041</v>
          </cell>
          <cell r="E366" t="str">
            <v>Cash  Deposit</v>
          </cell>
          <cell r="F366" t="str">
            <v>OK</v>
          </cell>
          <cell r="G366">
            <v>50</v>
          </cell>
          <cell r="N366">
            <v>50</v>
          </cell>
        </row>
        <row r="367">
          <cell r="A367">
            <v>42226</v>
          </cell>
          <cell r="B367">
            <v>394</v>
          </cell>
          <cell r="C367" t="str">
            <v>JAMES KOUFIE</v>
          </cell>
          <cell r="D367" t="str">
            <v>RV0165042</v>
          </cell>
          <cell r="E367" t="str">
            <v>Cash  Deposit</v>
          </cell>
          <cell r="F367" t="str">
            <v>OK</v>
          </cell>
          <cell r="G367">
            <v>70</v>
          </cell>
          <cell r="N367">
            <v>70</v>
          </cell>
        </row>
        <row r="368">
          <cell r="A368">
            <v>42226</v>
          </cell>
          <cell r="B368">
            <v>365</v>
          </cell>
          <cell r="C368" t="str">
            <v>RACHEAL VISSION WORKERS</v>
          </cell>
          <cell r="D368" t="str">
            <v>RV0165043</v>
          </cell>
          <cell r="E368" t="str">
            <v>Cash  Deposit</v>
          </cell>
          <cell r="F368" t="str">
            <v>OK</v>
          </cell>
          <cell r="G368">
            <v>100</v>
          </cell>
          <cell r="N368">
            <v>100</v>
          </cell>
        </row>
        <row r="369">
          <cell r="A369">
            <v>42226</v>
          </cell>
          <cell r="B369">
            <v>70</v>
          </cell>
          <cell r="C369" t="str">
            <v>SAMUEL A.ANSAH</v>
          </cell>
          <cell r="D369" t="str">
            <v>RV0165044</v>
          </cell>
          <cell r="E369" t="str">
            <v>LOAN Repayment / interest</v>
          </cell>
          <cell r="F369" t="str">
            <v>OK</v>
          </cell>
          <cell r="G369">
            <v>600</v>
          </cell>
          <cell r="R369">
            <v>583</v>
          </cell>
          <cell r="AQ369">
            <v>17</v>
          </cell>
        </row>
        <row r="370">
          <cell r="A370">
            <v>42226</v>
          </cell>
          <cell r="B370">
            <v>368</v>
          </cell>
          <cell r="C370" t="str">
            <v>MAVIS JANKEITEY</v>
          </cell>
          <cell r="D370" t="str">
            <v>PV0474215</v>
          </cell>
          <cell r="E370" t="str">
            <v>Savings  withdrawal</v>
          </cell>
          <cell r="F370" t="str">
            <v>OK</v>
          </cell>
          <cell r="H370">
            <v>250</v>
          </cell>
          <cell r="M370">
            <v>250</v>
          </cell>
        </row>
        <row r="371">
          <cell r="A371">
            <v>42227</v>
          </cell>
          <cell r="B371">
            <v>364</v>
          </cell>
          <cell r="C371" t="str">
            <v>HENRIETTA ADOBEA QUARCOO</v>
          </cell>
          <cell r="D371" t="str">
            <v>PV0474217</v>
          </cell>
          <cell r="E371" t="str">
            <v>Savings  withdrawal</v>
          </cell>
          <cell r="F371" t="str">
            <v>OK</v>
          </cell>
          <cell r="H371">
            <v>500</v>
          </cell>
          <cell r="M371">
            <v>500</v>
          </cell>
        </row>
        <row r="372">
          <cell r="A372">
            <v>42226</v>
          </cell>
          <cell r="B372">
            <v>11201</v>
          </cell>
          <cell r="C372" t="str">
            <v>Bawjiase Area Rural Bank</v>
          </cell>
          <cell r="E372" t="str">
            <v>Cash deposit to bank</v>
          </cell>
          <cell r="F372" t="str">
            <v>OK</v>
          </cell>
          <cell r="H372">
            <v>1800</v>
          </cell>
          <cell r="I372">
            <v>1800</v>
          </cell>
        </row>
        <row r="373">
          <cell r="A373">
            <v>42227</v>
          </cell>
          <cell r="B373">
            <v>397</v>
          </cell>
          <cell r="C373" t="str">
            <v>KENNETH ADU ASAMOAH</v>
          </cell>
          <cell r="D373" t="str">
            <v>PV0474219</v>
          </cell>
          <cell r="E373" t="str">
            <v>Savings  withdrawal</v>
          </cell>
          <cell r="F373" t="str">
            <v>OK</v>
          </cell>
          <cell r="H373">
            <v>500</v>
          </cell>
          <cell r="M373">
            <v>500</v>
          </cell>
        </row>
        <row r="374">
          <cell r="A374">
            <v>42227</v>
          </cell>
          <cell r="B374">
            <v>56310</v>
          </cell>
          <cell r="C374" t="str">
            <v>Postage &amp; Communication</v>
          </cell>
          <cell r="D374" t="str">
            <v>PV0474220</v>
          </cell>
          <cell r="E374" t="str">
            <v>credit for internet modem &amp; call</v>
          </cell>
          <cell r="F374" t="str">
            <v>OK</v>
          </cell>
          <cell r="H374">
            <v>40</v>
          </cell>
        </row>
        <row r="375">
          <cell r="A375">
            <v>42227</v>
          </cell>
          <cell r="B375">
            <v>282</v>
          </cell>
          <cell r="C375" t="str">
            <v>KATE OKYNE</v>
          </cell>
          <cell r="D375" t="str">
            <v>RV0165045</v>
          </cell>
          <cell r="E375" t="str">
            <v>Cash  Deposit</v>
          </cell>
          <cell r="F375" t="str">
            <v>OK</v>
          </cell>
          <cell r="G375">
            <v>40</v>
          </cell>
          <cell r="N375">
            <v>40</v>
          </cell>
        </row>
        <row r="376">
          <cell r="A376">
            <v>42227</v>
          </cell>
          <cell r="B376">
            <v>307</v>
          </cell>
          <cell r="C376" t="str">
            <v>BETHEL METH.CH.CHOIR WELFARE</v>
          </cell>
          <cell r="D376" t="str">
            <v>RV0165046</v>
          </cell>
          <cell r="E376" t="str">
            <v>Cash  Deposit</v>
          </cell>
          <cell r="F376" t="str">
            <v>OK</v>
          </cell>
          <cell r="G376">
            <v>145</v>
          </cell>
          <cell r="N376">
            <v>145</v>
          </cell>
        </row>
        <row r="377">
          <cell r="A377">
            <v>42227</v>
          </cell>
          <cell r="B377">
            <v>365</v>
          </cell>
          <cell r="C377" t="str">
            <v>RACHEAL VISSION WORKERS</v>
          </cell>
          <cell r="D377" t="str">
            <v>RV0165047</v>
          </cell>
          <cell r="E377" t="str">
            <v>Cash  Deposit</v>
          </cell>
          <cell r="F377" t="str">
            <v>OK</v>
          </cell>
          <cell r="G377">
            <v>45</v>
          </cell>
          <cell r="N377">
            <v>45</v>
          </cell>
        </row>
        <row r="378">
          <cell r="A378">
            <v>42227</v>
          </cell>
          <cell r="B378">
            <v>99999</v>
          </cell>
          <cell r="C378" t="str">
            <v>cancelled voucher</v>
          </cell>
          <cell r="D378" t="str">
            <v>RV0165048</v>
          </cell>
          <cell r="F378" t="str">
            <v>OK</v>
          </cell>
        </row>
        <row r="379">
          <cell r="A379">
            <v>42227</v>
          </cell>
          <cell r="B379">
            <v>256</v>
          </cell>
          <cell r="C379" t="str">
            <v>CHARLES ANDOH</v>
          </cell>
          <cell r="D379" t="str">
            <v>RV0165049</v>
          </cell>
          <cell r="E379" t="str">
            <v>Loan processing fees</v>
          </cell>
          <cell r="F379" t="str">
            <v>OK</v>
          </cell>
          <cell r="G379">
            <v>20</v>
          </cell>
        </row>
        <row r="380">
          <cell r="A380">
            <v>42227</v>
          </cell>
          <cell r="B380">
            <v>152</v>
          </cell>
          <cell r="C380" t="str">
            <v>EMMANUEL ARHINFUL</v>
          </cell>
          <cell r="D380" t="str">
            <v>RV0165050</v>
          </cell>
          <cell r="E380" t="str">
            <v>Loan Repayment / Deposit</v>
          </cell>
          <cell r="F380" t="str">
            <v>OK</v>
          </cell>
          <cell r="G380">
            <v>300</v>
          </cell>
          <cell r="N380">
            <v>8</v>
          </cell>
          <cell r="R380">
            <v>250</v>
          </cell>
          <cell r="AQ380">
            <v>42</v>
          </cell>
        </row>
        <row r="381">
          <cell r="A381">
            <v>42227</v>
          </cell>
          <cell r="B381">
            <v>394</v>
          </cell>
          <cell r="C381" t="str">
            <v>JAMES KOUFIE</v>
          </cell>
          <cell r="D381" t="str">
            <v>RV0165051</v>
          </cell>
          <cell r="E381" t="str">
            <v>Cash  Deposit</v>
          </cell>
          <cell r="F381" t="str">
            <v>OK</v>
          </cell>
          <cell r="G381">
            <v>20</v>
          </cell>
          <cell r="N381">
            <v>20</v>
          </cell>
        </row>
        <row r="382">
          <cell r="A382">
            <v>42227</v>
          </cell>
          <cell r="B382">
            <v>231</v>
          </cell>
          <cell r="C382" t="str">
            <v>EMMANUEL DANSO</v>
          </cell>
          <cell r="D382" t="str">
            <v>RV0165052</v>
          </cell>
          <cell r="E382" t="str">
            <v>Loan Repayment / Deposit</v>
          </cell>
          <cell r="F382" t="str">
            <v>OK</v>
          </cell>
          <cell r="G382">
            <v>70</v>
          </cell>
          <cell r="I382">
            <v>700</v>
          </cell>
          <cell r="N382">
            <v>71</v>
          </cell>
          <cell r="R382">
            <v>600</v>
          </cell>
          <cell r="AQ382">
            <v>99</v>
          </cell>
        </row>
        <row r="383">
          <cell r="A383">
            <v>42228</v>
          </cell>
          <cell r="B383">
            <v>268</v>
          </cell>
          <cell r="C383" t="str">
            <v>BRO.NYARKO AND SAM'S CLASS</v>
          </cell>
          <cell r="D383" t="str">
            <v>RV0165053</v>
          </cell>
          <cell r="E383" t="str">
            <v>Cash  Deposit</v>
          </cell>
          <cell r="F383" t="str">
            <v>OK</v>
          </cell>
          <cell r="G383">
            <v>34</v>
          </cell>
          <cell r="N383">
            <v>34</v>
          </cell>
        </row>
        <row r="384">
          <cell r="A384">
            <v>42228</v>
          </cell>
          <cell r="B384">
            <v>136</v>
          </cell>
          <cell r="C384" t="str">
            <v>LETICIA ARHIN</v>
          </cell>
          <cell r="D384" t="str">
            <v>RV0165054</v>
          </cell>
          <cell r="E384" t="str">
            <v>LOAN Repayment / interest</v>
          </cell>
          <cell r="F384" t="str">
            <v>OK</v>
          </cell>
          <cell r="G384">
            <v>700</v>
          </cell>
          <cell r="R384">
            <v>601</v>
          </cell>
          <cell r="AQ384">
            <v>99</v>
          </cell>
        </row>
        <row r="385">
          <cell r="A385">
            <v>42228</v>
          </cell>
          <cell r="B385">
            <v>301</v>
          </cell>
          <cell r="C385" t="str">
            <v>ELIZABETH QUAYE</v>
          </cell>
          <cell r="D385" t="str">
            <v>RV0165055</v>
          </cell>
          <cell r="E385" t="str">
            <v>LOAN Repayment / interest</v>
          </cell>
          <cell r="F385" t="str">
            <v>OK</v>
          </cell>
          <cell r="G385">
            <v>45</v>
          </cell>
          <cell r="R385">
            <v>38.75</v>
          </cell>
          <cell r="AQ385">
            <v>6.25</v>
          </cell>
        </row>
        <row r="386">
          <cell r="A386">
            <v>42228</v>
          </cell>
          <cell r="B386">
            <v>339</v>
          </cell>
          <cell r="C386" t="str">
            <v>FRANKLINA ESSEL</v>
          </cell>
          <cell r="D386" t="str">
            <v>RV0165056</v>
          </cell>
          <cell r="E386" t="str">
            <v>Loan repayment /processing fees</v>
          </cell>
          <cell r="F386" t="str">
            <v>OK</v>
          </cell>
          <cell r="G386">
            <v>70.5</v>
          </cell>
          <cell r="R386">
            <v>50</v>
          </cell>
          <cell r="AQ386">
            <v>8.5</v>
          </cell>
        </row>
        <row r="387">
          <cell r="A387">
            <v>42228</v>
          </cell>
          <cell r="B387">
            <v>268</v>
          </cell>
          <cell r="C387" t="str">
            <v>BRO.NYARKO AND SAM'S CLASS</v>
          </cell>
          <cell r="D387" t="str">
            <v>PV0474221</v>
          </cell>
          <cell r="E387" t="str">
            <v>Savings  withdrawal</v>
          </cell>
          <cell r="F387" t="str">
            <v>OK</v>
          </cell>
          <cell r="J387">
            <v>1200</v>
          </cell>
          <cell r="M387">
            <v>1200</v>
          </cell>
        </row>
        <row r="388">
          <cell r="A388">
            <v>42228</v>
          </cell>
          <cell r="B388">
            <v>56400</v>
          </cell>
          <cell r="C388" t="str">
            <v>Travel &amp; Transport (T &amp; T)</v>
          </cell>
          <cell r="D388" t="str">
            <v>PV0474222</v>
          </cell>
          <cell r="E388" t="str">
            <v>t&amp;t to Bank(28/7/2015)</v>
          </cell>
          <cell r="F388" t="str">
            <v>OK</v>
          </cell>
          <cell r="H388">
            <v>7</v>
          </cell>
        </row>
        <row r="389">
          <cell r="A389">
            <v>42228</v>
          </cell>
          <cell r="B389">
            <v>365</v>
          </cell>
          <cell r="C389" t="str">
            <v>RACHEAL VISSION WORKERS</v>
          </cell>
          <cell r="D389" t="str">
            <v>PV0474225</v>
          </cell>
          <cell r="E389" t="str">
            <v>Savings  withdrawal</v>
          </cell>
          <cell r="F389" t="str">
            <v>OK</v>
          </cell>
          <cell r="H389">
            <v>500</v>
          </cell>
          <cell r="M389">
            <v>500</v>
          </cell>
        </row>
        <row r="390">
          <cell r="A390">
            <v>42228</v>
          </cell>
          <cell r="B390">
            <v>339</v>
          </cell>
          <cell r="C390" t="str">
            <v>FRANKLINA ESSEL</v>
          </cell>
          <cell r="D390" t="str">
            <v>PV0474226</v>
          </cell>
          <cell r="E390" t="str">
            <v>Loan Disbursed</v>
          </cell>
          <cell r="F390" t="str">
            <v>OK</v>
          </cell>
          <cell r="H390">
            <v>600</v>
          </cell>
          <cell r="Q390">
            <v>600</v>
          </cell>
        </row>
        <row r="391">
          <cell r="A391">
            <v>42222</v>
          </cell>
          <cell r="B391">
            <v>54300</v>
          </cell>
          <cell r="C391" t="str">
            <v>BoD and Committee expenses</v>
          </cell>
          <cell r="D391" t="str">
            <v>PV0474227</v>
          </cell>
          <cell r="E391" t="str">
            <v>Quarterly sitting allowance fot the Board members</v>
          </cell>
          <cell r="F391" t="str">
            <v>OK</v>
          </cell>
          <cell r="J391">
            <v>500</v>
          </cell>
        </row>
        <row r="392">
          <cell r="A392">
            <v>42229</v>
          </cell>
          <cell r="B392">
            <v>394</v>
          </cell>
          <cell r="C392" t="str">
            <v>JAMES KOUFIE</v>
          </cell>
          <cell r="D392" t="str">
            <v>PV0474228</v>
          </cell>
          <cell r="E392" t="str">
            <v>Savings  withdrawal</v>
          </cell>
          <cell r="F392" t="str">
            <v>OK</v>
          </cell>
          <cell r="H392">
            <v>220</v>
          </cell>
          <cell r="M392">
            <v>220</v>
          </cell>
        </row>
        <row r="393">
          <cell r="A393">
            <v>42229</v>
          </cell>
          <cell r="B393">
            <v>85</v>
          </cell>
          <cell r="C393" t="str">
            <v>GOOD SHEPHERD METH CH.</v>
          </cell>
          <cell r="D393" t="str">
            <v>PV0474229</v>
          </cell>
          <cell r="E393" t="str">
            <v>Savings  withdrawal</v>
          </cell>
          <cell r="F393" t="str">
            <v>OK</v>
          </cell>
          <cell r="J393">
            <v>5000</v>
          </cell>
          <cell r="M393">
            <v>5000</v>
          </cell>
        </row>
        <row r="394">
          <cell r="A394">
            <v>42229</v>
          </cell>
          <cell r="B394">
            <v>300</v>
          </cell>
          <cell r="C394" t="str">
            <v>CIRCUIT WOMEN'S FELLOWSHIP METH.</v>
          </cell>
          <cell r="D394" t="str">
            <v>PV0474230</v>
          </cell>
          <cell r="E394" t="str">
            <v>Savings  withdrawal</v>
          </cell>
          <cell r="F394" t="str">
            <v>OK</v>
          </cell>
          <cell r="J394">
            <v>500</v>
          </cell>
          <cell r="M394">
            <v>500</v>
          </cell>
        </row>
        <row r="395">
          <cell r="A395">
            <v>42226</v>
          </cell>
          <cell r="B395">
            <v>257</v>
          </cell>
          <cell r="C395" t="str">
            <v>FRANKLIN KWESI ANDREWS</v>
          </cell>
          <cell r="D395" t="str">
            <v>PV0474231</v>
          </cell>
          <cell r="E395" t="str">
            <v>Loan Disbursed</v>
          </cell>
          <cell r="F395" t="str">
            <v>OK</v>
          </cell>
          <cell r="J395">
            <v>20000</v>
          </cell>
          <cell r="Q395">
            <v>20000</v>
          </cell>
        </row>
        <row r="396">
          <cell r="A396">
            <v>42229</v>
          </cell>
          <cell r="B396">
            <v>353</v>
          </cell>
          <cell r="C396" t="str">
            <v>GIFTY ANNAN</v>
          </cell>
          <cell r="D396" t="str">
            <v>PV0474232</v>
          </cell>
          <cell r="E396" t="str">
            <v>Savings  withdrawal</v>
          </cell>
          <cell r="F396" t="str">
            <v>OK</v>
          </cell>
          <cell r="H396">
            <v>100</v>
          </cell>
          <cell r="M396">
            <v>100</v>
          </cell>
        </row>
        <row r="397">
          <cell r="A397">
            <v>42230</v>
          </cell>
          <cell r="B397">
            <v>338</v>
          </cell>
          <cell r="C397" t="str">
            <v>AGARTHA BOTCHWAY</v>
          </cell>
          <cell r="D397" t="str">
            <v>RV0165057</v>
          </cell>
          <cell r="E397" t="str">
            <v>Cash  Deposit</v>
          </cell>
          <cell r="F397" t="str">
            <v>OK</v>
          </cell>
          <cell r="G397">
            <v>10</v>
          </cell>
          <cell r="N397">
            <v>10</v>
          </cell>
        </row>
        <row r="398">
          <cell r="A398">
            <v>42230</v>
          </cell>
          <cell r="B398">
            <v>56420</v>
          </cell>
          <cell r="C398" t="str">
            <v>Travel &amp; Transport (incl. Motor, Fuel and Taxi fare expenses)</v>
          </cell>
          <cell r="D398" t="str">
            <v>PV0474233</v>
          </cell>
          <cell r="E398" t="str">
            <v>t&amp;t to bank</v>
          </cell>
          <cell r="F398" t="str">
            <v>OK</v>
          </cell>
          <cell r="H398">
            <v>10</v>
          </cell>
        </row>
        <row r="399">
          <cell r="A399">
            <v>42233</v>
          </cell>
          <cell r="B399">
            <v>341</v>
          </cell>
          <cell r="C399" t="str">
            <v>REBECCA ESSILFUA ARTHUR</v>
          </cell>
          <cell r="D399" t="str">
            <v>pv0474234</v>
          </cell>
          <cell r="E399" t="str">
            <v>Savings  withdrawal</v>
          </cell>
          <cell r="F399" t="str">
            <v>OK</v>
          </cell>
          <cell r="J399">
            <v>500</v>
          </cell>
          <cell r="M399">
            <v>500</v>
          </cell>
        </row>
        <row r="400">
          <cell r="A400">
            <v>42233</v>
          </cell>
          <cell r="B400">
            <v>56420</v>
          </cell>
          <cell r="C400" t="str">
            <v>Travel &amp; Transport (incl. Motor, Fuel and Taxi fare expenses)</v>
          </cell>
          <cell r="D400" t="str">
            <v>PV0474235</v>
          </cell>
          <cell r="E400" t="str">
            <v>T&amp;t to bank</v>
          </cell>
          <cell r="F400" t="str">
            <v>OK</v>
          </cell>
          <cell r="H400">
            <v>10</v>
          </cell>
        </row>
        <row r="401">
          <cell r="A401">
            <v>42233</v>
          </cell>
          <cell r="B401">
            <v>56310</v>
          </cell>
          <cell r="C401" t="str">
            <v>Postage &amp; Communication</v>
          </cell>
          <cell r="D401" t="str">
            <v>PV0474236</v>
          </cell>
          <cell r="E401" t="str">
            <v>credit for internet modem</v>
          </cell>
          <cell r="F401" t="str">
            <v>OK</v>
          </cell>
          <cell r="H401">
            <v>10</v>
          </cell>
        </row>
        <row r="402">
          <cell r="A402">
            <v>42233</v>
          </cell>
          <cell r="B402">
            <v>56900</v>
          </cell>
          <cell r="C402" t="str">
            <v>Office Expenses</v>
          </cell>
          <cell r="D402" t="str">
            <v>PV0474237</v>
          </cell>
          <cell r="E402" t="str">
            <v>Water for the office</v>
          </cell>
          <cell r="F402" t="str">
            <v>OK</v>
          </cell>
          <cell r="H402">
            <v>3</v>
          </cell>
        </row>
        <row r="403">
          <cell r="A403">
            <v>42233</v>
          </cell>
          <cell r="B403">
            <v>365</v>
          </cell>
          <cell r="C403" t="str">
            <v>RACHEAL VISSION WORKERS</v>
          </cell>
          <cell r="D403" t="str">
            <v>PV0474238</v>
          </cell>
          <cell r="E403" t="str">
            <v>Savings  withdrawal</v>
          </cell>
          <cell r="F403" t="str">
            <v>OK</v>
          </cell>
          <cell r="H403">
            <v>300</v>
          </cell>
          <cell r="M403">
            <v>300</v>
          </cell>
        </row>
        <row r="404">
          <cell r="A404">
            <v>42233</v>
          </cell>
          <cell r="B404">
            <v>231</v>
          </cell>
          <cell r="C404" t="str">
            <v>EMMANUEL DANSO</v>
          </cell>
          <cell r="D404" t="str">
            <v>RV0165058</v>
          </cell>
          <cell r="E404" t="str">
            <v>Cash  Deposit</v>
          </cell>
          <cell r="F404" t="str">
            <v>OK</v>
          </cell>
          <cell r="G404">
            <v>65</v>
          </cell>
          <cell r="N404">
            <v>65</v>
          </cell>
        </row>
        <row r="405">
          <cell r="A405">
            <v>42233</v>
          </cell>
          <cell r="B405">
            <v>310</v>
          </cell>
          <cell r="C405" t="str">
            <v>ST.PAUL'S METHODIST CHURCH KAKRBA</v>
          </cell>
          <cell r="D405" t="str">
            <v>RV0176601</v>
          </cell>
          <cell r="E405" t="str">
            <v>Cash  Deposit</v>
          </cell>
          <cell r="F405" t="str">
            <v>OK</v>
          </cell>
          <cell r="G405">
            <v>100</v>
          </cell>
          <cell r="N405">
            <v>100</v>
          </cell>
        </row>
        <row r="406">
          <cell r="A406">
            <v>42233</v>
          </cell>
          <cell r="B406">
            <v>183</v>
          </cell>
          <cell r="C406" t="str">
            <v>REV.DANIEL PERCY OMANANO</v>
          </cell>
          <cell r="D406" t="str">
            <v>RV0176602</v>
          </cell>
          <cell r="E406" t="str">
            <v>Loan repayment</v>
          </cell>
          <cell r="F406" t="str">
            <v>OK</v>
          </cell>
          <cell r="G406">
            <v>250</v>
          </cell>
          <cell r="R406">
            <v>250</v>
          </cell>
        </row>
        <row r="407">
          <cell r="A407">
            <v>42234</v>
          </cell>
          <cell r="B407">
            <v>33</v>
          </cell>
          <cell r="C407" t="str">
            <v>NANA KOJO QUANSAH</v>
          </cell>
          <cell r="D407" t="str">
            <v>PV0474239</v>
          </cell>
          <cell r="E407" t="str">
            <v>Savings  withdrawal</v>
          </cell>
          <cell r="F407" t="str">
            <v>OK</v>
          </cell>
          <cell r="J407">
            <v>2500</v>
          </cell>
          <cell r="M407">
            <v>2500</v>
          </cell>
        </row>
        <row r="408">
          <cell r="A408">
            <v>42234</v>
          </cell>
          <cell r="B408">
            <v>56900</v>
          </cell>
          <cell r="C408" t="str">
            <v>Office Expenses</v>
          </cell>
          <cell r="D408" t="str">
            <v>PV0474240</v>
          </cell>
          <cell r="E408" t="str">
            <v>Provissions for the office</v>
          </cell>
          <cell r="F408" t="str">
            <v>OK</v>
          </cell>
          <cell r="H408">
            <v>50</v>
          </cell>
        </row>
        <row r="409">
          <cell r="A409">
            <v>42234</v>
          </cell>
          <cell r="B409">
            <v>56420</v>
          </cell>
          <cell r="C409" t="str">
            <v>Travel &amp; Transport (incl. Motor, Fuel and Taxi fare expenses)</v>
          </cell>
          <cell r="D409" t="str">
            <v>PV0474241</v>
          </cell>
          <cell r="E409" t="str">
            <v>t&amp;t to bank</v>
          </cell>
          <cell r="F409" t="str">
            <v>OK</v>
          </cell>
          <cell r="H409">
            <v>10</v>
          </cell>
        </row>
        <row r="410">
          <cell r="A410">
            <v>42234</v>
          </cell>
          <cell r="B410">
            <v>11110</v>
          </cell>
          <cell r="C410" t="str">
            <v xml:space="preserve">Cash on Hand  </v>
          </cell>
          <cell r="D410" t="str">
            <v>RV0165059</v>
          </cell>
          <cell r="E410" t="str">
            <v>cash withdrawal from bank for office use</v>
          </cell>
          <cell r="F410" t="str">
            <v>OK</v>
          </cell>
          <cell r="G410">
            <v>1000</v>
          </cell>
          <cell r="J410">
            <v>1000</v>
          </cell>
        </row>
        <row r="411">
          <cell r="A411">
            <v>42234</v>
          </cell>
          <cell r="B411">
            <v>99999</v>
          </cell>
          <cell r="C411" t="str">
            <v>cancelled voucher</v>
          </cell>
          <cell r="D411" t="str">
            <v>RV0165060</v>
          </cell>
          <cell r="F411" t="str">
            <v>OK</v>
          </cell>
        </row>
        <row r="412">
          <cell r="A412">
            <v>42234</v>
          </cell>
          <cell r="B412">
            <v>348</v>
          </cell>
          <cell r="C412" t="str">
            <v>CHRISTABEL ABAKUA PRAH</v>
          </cell>
          <cell r="D412" t="str">
            <v>RV0165061</v>
          </cell>
          <cell r="E412" t="str">
            <v>Cash  Deposit</v>
          </cell>
          <cell r="F412" t="str">
            <v>OK</v>
          </cell>
          <cell r="G412">
            <v>250</v>
          </cell>
          <cell r="N412">
            <v>250</v>
          </cell>
        </row>
        <row r="413">
          <cell r="A413">
            <v>42234</v>
          </cell>
          <cell r="B413">
            <v>394</v>
          </cell>
          <cell r="C413" t="str">
            <v>JAMES KOUFIE</v>
          </cell>
          <cell r="D413" t="str">
            <v>RV0165062</v>
          </cell>
          <cell r="E413" t="str">
            <v>Cash  Deposit</v>
          </cell>
          <cell r="F413" t="str">
            <v>OK</v>
          </cell>
          <cell r="G413">
            <v>50</v>
          </cell>
          <cell r="N413">
            <v>50</v>
          </cell>
        </row>
        <row r="414">
          <cell r="A414">
            <v>42235</v>
          </cell>
          <cell r="B414">
            <v>163</v>
          </cell>
          <cell r="C414" t="str">
            <v>EMMANUEL KEELSON(JNR)</v>
          </cell>
          <cell r="D414" t="str">
            <v>RV0165063</v>
          </cell>
          <cell r="E414" t="str">
            <v>Cash  Deposit</v>
          </cell>
          <cell r="F414" t="str">
            <v>OK</v>
          </cell>
          <cell r="G414">
            <v>300</v>
          </cell>
          <cell r="N414">
            <v>300</v>
          </cell>
        </row>
        <row r="415">
          <cell r="A415">
            <v>42235</v>
          </cell>
          <cell r="B415">
            <v>375</v>
          </cell>
          <cell r="C415" t="str">
            <v>SUWMA BETHEL SOCIETY</v>
          </cell>
          <cell r="D415" t="str">
            <v>RV0165064</v>
          </cell>
          <cell r="E415" t="str">
            <v>Cash  Deposit</v>
          </cell>
          <cell r="F415" t="str">
            <v>OK</v>
          </cell>
          <cell r="G415">
            <v>369.75</v>
          </cell>
          <cell r="N415">
            <v>369.75</v>
          </cell>
        </row>
        <row r="416">
          <cell r="A416">
            <v>42235</v>
          </cell>
          <cell r="B416">
            <v>56900</v>
          </cell>
          <cell r="C416" t="str">
            <v>Office Expenses</v>
          </cell>
          <cell r="D416" t="str">
            <v>PV0474242</v>
          </cell>
          <cell r="E416" t="str">
            <v>purchase of ECG prepaid unit</v>
          </cell>
          <cell r="F416" t="str">
            <v>OK</v>
          </cell>
          <cell r="H416">
            <v>50</v>
          </cell>
        </row>
        <row r="417">
          <cell r="A417">
            <v>42235</v>
          </cell>
          <cell r="B417">
            <v>56420</v>
          </cell>
          <cell r="C417" t="str">
            <v>Travel &amp; Transport (incl. Motor, Fuel and Taxi fare expenses)</v>
          </cell>
          <cell r="D417" t="str">
            <v>PV0474243</v>
          </cell>
          <cell r="E417" t="str">
            <v>T&amp;t to ECG</v>
          </cell>
          <cell r="F417" t="str">
            <v>OK</v>
          </cell>
          <cell r="H417">
            <v>2</v>
          </cell>
        </row>
        <row r="418">
          <cell r="A418">
            <v>42222</v>
          </cell>
          <cell r="B418">
            <v>56420</v>
          </cell>
          <cell r="C418" t="str">
            <v>Travel &amp; Transport (incl. Motor, Fuel and Taxi fare expenses)</v>
          </cell>
          <cell r="D418" t="str">
            <v>PV0474244</v>
          </cell>
          <cell r="E418" t="str">
            <v>t&amp;t to bank</v>
          </cell>
          <cell r="F418" t="str">
            <v>OK</v>
          </cell>
          <cell r="H418">
            <v>10</v>
          </cell>
        </row>
        <row r="419">
          <cell r="A419">
            <v>42222</v>
          </cell>
          <cell r="B419">
            <v>56900</v>
          </cell>
          <cell r="C419" t="str">
            <v>Office Expenses</v>
          </cell>
          <cell r="D419" t="str">
            <v>PV0474245</v>
          </cell>
          <cell r="E419" t="str">
            <v>Water for the office</v>
          </cell>
          <cell r="F419" t="str">
            <v>OK</v>
          </cell>
          <cell r="H419">
            <v>3</v>
          </cell>
        </row>
        <row r="420">
          <cell r="A420">
            <v>42222</v>
          </cell>
          <cell r="B420">
            <v>56200</v>
          </cell>
          <cell r="C420" t="str">
            <v>Printing &amp; Stationery</v>
          </cell>
          <cell r="D420" t="str">
            <v>PV0474246</v>
          </cell>
          <cell r="E420" t="str">
            <v>cost of photocopies</v>
          </cell>
          <cell r="F420" t="str">
            <v>OK</v>
          </cell>
          <cell r="H420">
            <v>4.5</v>
          </cell>
        </row>
        <row r="421">
          <cell r="A421">
            <v>42236</v>
          </cell>
          <cell r="B421">
            <v>54300</v>
          </cell>
          <cell r="C421" t="str">
            <v>BoD and Committee expenses</v>
          </cell>
          <cell r="D421" t="str">
            <v>PV0474247</v>
          </cell>
          <cell r="E421" t="str">
            <v>sitting allowance paid to loans chairman</v>
          </cell>
          <cell r="F421" t="str">
            <v>OK</v>
          </cell>
          <cell r="H421">
            <v>50</v>
          </cell>
        </row>
        <row r="422">
          <cell r="A422">
            <v>42236</v>
          </cell>
          <cell r="B422">
            <v>46</v>
          </cell>
          <cell r="C422" t="str">
            <v>RICHARD GHANSON</v>
          </cell>
          <cell r="D422" t="str">
            <v>RV0165065</v>
          </cell>
          <cell r="E422" t="str">
            <v>Loan Repayment / Deposit</v>
          </cell>
          <cell r="F422" t="str">
            <v>OK</v>
          </cell>
          <cell r="G422">
            <v>600</v>
          </cell>
          <cell r="N422">
            <v>17</v>
          </cell>
          <cell r="R422">
            <v>500</v>
          </cell>
          <cell r="AQ422">
            <v>83</v>
          </cell>
        </row>
        <row r="423">
          <cell r="A423">
            <v>42236</v>
          </cell>
          <cell r="B423">
            <v>226</v>
          </cell>
          <cell r="C423" t="str">
            <v>JONATHAN AMPONSAH</v>
          </cell>
          <cell r="D423" t="str">
            <v>RV0165066</v>
          </cell>
          <cell r="E423" t="str">
            <v>Cash  Deposit</v>
          </cell>
          <cell r="F423" t="str">
            <v>OK</v>
          </cell>
          <cell r="G423">
            <v>1000</v>
          </cell>
          <cell r="N423">
            <v>1000</v>
          </cell>
        </row>
        <row r="424">
          <cell r="A424">
            <v>42236</v>
          </cell>
          <cell r="B424">
            <v>394</v>
          </cell>
          <cell r="C424" t="str">
            <v>JAMES KOUFIE</v>
          </cell>
          <cell r="D424" t="str">
            <v>RV0165067</v>
          </cell>
          <cell r="E424" t="str">
            <v>Cash  Deposit</v>
          </cell>
          <cell r="F424" t="str">
            <v>OK</v>
          </cell>
          <cell r="G424">
            <v>40</v>
          </cell>
          <cell r="N424">
            <v>40</v>
          </cell>
        </row>
        <row r="425">
          <cell r="A425">
            <v>42236</v>
          </cell>
          <cell r="B425">
            <v>56310</v>
          </cell>
          <cell r="C425" t="str">
            <v>Postage &amp; Communication</v>
          </cell>
          <cell r="D425" t="str">
            <v>PV0474248</v>
          </cell>
          <cell r="E425" t="str">
            <v>purchase of call credit</v>
          </cell>
          <cell r="F425" t="str">
            <v>OK</v>
          </cell>
          <cell r="H425">
            <v>40</v>
          </cell>
        </row>
        <row r="426">
          <cell r="A426">
            <v>42236</v>
          </cell>
          <cell r="B426">
            <v>35</v>
          </cell>
          <cell r="C426" t="str">
            <v>MICHEAL PADDY MENDS</v>
          </cell>
          <cell r="D426" t="str">
            <v>RV0165068</v>
          </cell>
          <cell r="E426" t="str">
            <v>Loan Repayment / Deposit</v>
          </cell>
          <cell r="F426" t="str">
            <v>OK</v>
          </cell>
          <cell r="G426">
            <v>90</v>
          </cell>
          <cell r="N426">
            <v>20</v>
          </cell>
          <cell r="R426">
            <v>60</v>
          </cell>
          <cell r="AQ426">
            <v>10</v>
          </cell>
        </row>
        <row r="427">
          <cell r="A427">
            <v>42236</v>
          </cell>
          <cell r="B427">
            <v>215</v>
          </cell>
          <cell r="C427" t="str">
            <v>JUSTICE ABRAHAMS</v>
          </cell>
          <cell r="D427" t="str">
            <v>RV0165069</v>
          </cell>
          <cell r="E427" t="str">
            <v>Loan Repayment / Deposit</v>
          </cell>
          <cell r="F427" t="str">
            <v>OK</v>
          </cell>
          <cell r="I427">
            <v>1800</v>
          </cell>
          <cell r="N427">
            <v>90</v>
          </cell>
          <cell r="R427">
            <v>1300</v>
          </cell>
          <cell r="AQ427">
            <v>410</v>
          </cell>
        </row>
        <row r="428">
          <cell r="A428">
            <v>42236</v>
          </cell>
          <cell r="B428">
            <v>11201</v>
          </cell>
          <cell r="C428" t="str">
            <v>Bawjiase Area Rural Bank</v>
          </cell>
          <cell r="E428" t="str">
            <v>Cash deposit to bank</v>
          </cell>
          <cell r="F428" t="str">
            <v>OK</v>
          </cell>
          <cell r="H428">
            <v>2500</v>
          </cell>
          <cell r="I428">
            <v>2500</v>
          </cell>
        </row>
        <row r="429">
          <cell r="A429">
            <v>42236</v>
          </cell>
          <cell r="B429">
            <v>56420</v>
          </cell>
          <cell r="C429" t="str">
            <v>Travel &amp; Transport (incl. Motor, Fuel and Taxi fare expenses)</v>
          </cell>
          <cell r="D429" t="str">
            <v>PV0474249</v>
          </cell>
          <cell r="E429" t="str">
            <v>T&amp;T to bank</v>
          </cell>
          <cell r="F429" t="str">
            <v>OK</v>
          </cell>
          <cell r="H429">
            <v>10</v>
          </cell>
        </row>
        <row r="430">
          <cell r="A430">
            <v>42224</v>
          </cell>
          <cell r="B430">
            <v>11201</v>
          </cell>
          <cell r="C430" t="str">
            <v>Bawjiase Area Rural Bank</v>
          </cell>
          <cell r="F430" t="str">
            <v>OK</v>
          </cell>
        </row>
        <row r="431">
          <cell r="A431">
            <v>42237</v>
          </cell>
          <cell r="B431">
            <v>394</v>
          </cell>
          <cell r="C431" t="str">
            <v>JAMES KOUFIE</v>
          </cell>
          <cell r="D431" t="str">
            <v>RV0165070</v>
          </cell>
          <cell r="E431" t="str">
            <v>Cash  Deposit</v>
          </cell>
          <cell r="F431" t="str">
            <v>OK</v>
          </cell>
          <cell r="G431">
            <v>20</v>
          </cell>
          <cell r="N431">
            <v>20</v>
          </cell>
        </row>
        <row r="432">
          <cell r="A432">
            <v>42237</v>
          </cell>
          <cell r="B432">
            <v>348</v>
          </cell>
          <cell r="C432" t="str">
            <v>CHRISTABEL ABAKUA PRAH</v>
          </cell>
          <cell r="D432" t="str">
            <v>RV0165071</v>
          </cell>
          <cell r="E432" t="str">
            <v>Cash  Deposit</v>
          </cell>
          <cell r="F432" t="str">
            <v>OK</v>
          </cell>
          <cell r="G432">
            <v>200</v>
          </cell>
          <cell r="N432">
            <v>200</v>
          </cell>
        </row>
        <row r="433">
          <cell r="A433">
            <v>42237</v>
          </cell>
          <cell r="B433">
            <v>226</v>
          </cell>
          <cell r="C433" t="str">
            <v>JONATHAN AMPONSAH</v>
          </cell>
          <cell r="D433" t="str">
            <v>RV0165072</v>
          </cell>
          <cell r="E433" t="str">
            <v>Cash  Deposit</v>
          </cell>
          <cell r="F433" t="str">
            <v>OK</v>
          </cell>
          <cell r="G433">
            <v>1200</v>
          </cell>
          <cell r="N433">
            <v>1200</v>
          </cell>
        </row>
        <row r="434">
          <cell r="A434">
            <v>42237</v>
          </cell>
          <cell r="B434">
            <v>56900</v>
          </cell>
          <cell r="C434" t="str">
            <v>Office Expenses</v>
          </cell>
          <cell r="D434" t="str">
            <v>PV0474250</v>
          </cell>
          <cell r="E434" t="str">
            <v>Water for the office</v>
          </cell>
          <cell r="F434" t="str">
            <v>OK</v>
          </cell>
          <cell r="H434">
            <v>3</v>
          </cell>
        </row>
        <row r="435">
          <cell r="A435">
            <v>42237</v>
          </cell>
          <cell r="B435">
            <v>202</v>
          </cell>
          <cell r="C435" t="str">
            <v>COMFORT KOTTAH</v>
          </cell>
          <cell r="D435" t="str">
            <v>PV0474251</v>
          </cell>
          <cell r="E435" t="str">
            <v>Savings  withdrawal</v>
          </cell>
          <cell r="F435" t="str">
            <v>OK</v>
          </cell>
          <cell r="H435">
            <v>300</v>
          </cell>
          <cell r="M435">
            <v>300</v>
          </cell>
        </row>
        <row r="436">
          <cell r="A436">
            <v>42237</v>
          </cell>
          <cell r="B436">
            <v>394</v>
          </cell>
          <cell r="C436" t="str">
            <v>JAMES KOUFIE</v>
          </cell>
          <cell r="D436" t="str">
            <v>PV0474252</v>
          </cell>
          <cell r="E436" t="str">
            <v>Savings  withdrawal</v>
          </cell>
          <cell r="F436" t="str">
            <v>OK</v>
          </cell>
          <cell r="H436">
            <v>130</v>
          </cell>
          <cell r="M436">
            <v>130</v>
          </cell>
        </row>
        <row r="437">
          <cell r="A437">
            <v>42237</v>
          </cell>
          <cell r="B437">
            <v>307</v>
          </cell>
          <cell r="C437" t="str">
            <v>BETHEL METH.CH.CHOIR WELFARE</v>
          </cell>
          <cell r="D437" t="str">
            <v>PV0474253</v>
          </cell>
          <cell r="E437" t="str">
            <v>Savings  withdrawal</v>
          </cell>
          <cell r="F437" t="str">
            <v>OK</v>
          </cell>
          <cell r="H437">
            <v>400</v>
          </cell>
          <cell r="M437">
            <v>400</v>
          </cell>
        </row>
        <row r="438">
          <cell r="A438">
            <v>42237</v>
          </cell>
          <cell r="B438">
            <v>54330</v>
          </cell>
          <cell r="C438" t="str">
            <v>Travel and Transport expenses for BoD and Committee executives</v>
          </cell>
          <cell r="D438" t="str">
            <v>PV0474254</v>
          </cell>
          <cell r="E438" t="str">
            <v>Cost of fuel to loan defaulters</v>
          </cell>
          <cell r="F438" t="str">
            <v>OK</v>
          </cell>
          <cell r="H438">
            <v>50</v>
          </cell>
        </row>
        <row r="439">
          <cell r="A439">
            <v>42237</v>
          </cell>
          <cell r="B439">
            <v>56420</v>
          </cell>
          <cell r="C439" t="str">
            <v>Travel &amp; Transport (incl. Motor, Fuel and Taxi fare expenses)</v>
          </cell>
          <cell r="D439" t="str">
            <v>PV0474255</v>
          </cell>
          <cell r="E439" t="str">
            <v>T&amp;T to bank</v>
          </cell>
          <cell r="F439" t="str">
            <v>OK</v>
          </cell>
          <cell r="H439">
            <v>10</v>
          </cell>
        </row>
        <row r="440">
          <cell r="A440">
            <v>42237</v>
          </cell>
          <cell r="B440">
            <v>11201</v>
          </cell>
          <cell r="C440" t="str">
            <v>Bawjiase Area Rural Bank</v>
          </cell>
          <cell r="E440" t="str">
            <v>Cash deposit to bank</v>
          </cell>
          <cell r="F440" t="str">
            <v>OK</v>
          </cell>
          <cell r="H440">
            <v>1000</v>
          </cell>
          <cell r="I440">
            <v>1000</v>
          </cell>
        </row>
        <row r="441">
          <cell r="A441">
            <v>42239</v>
          </cell>
          <cell r="B441">
            <v>52</v>
          </cell>
          <cell r="C441" t="str">
            <v>FLORENCE DONKOR</v>
          </cell>
          <cell r="D441" t="str">
            <v>RV0165073</v>
          </cell>
          <cell r="E441" t="str">
            <v>Loan Repayment / Deposit</v>
          </cell>
          <cell r="F441" t="str">
            <v>OK</v>
          </cell>
          <cell r="G441">
            <v>195</v>
          </cell>
          <cell r="N441">
            <v>20</v>
          </cell>
          <cell r="R441">
            <v>150</v>
          </cell>
          <cell r="AQ441">
            <v>25</v>
          </cell>
        </row>
        <row r="442">
          <cell r="A442">
            <v>42239</v>
          </cell>
          <cell r="B442">
            <v>332</v>
          </cell>
          <cell r="C442" t="str">
            <v>REBECCA SAIM</v>
          </cell>
          <cell r="D442" t="str">
            <v>RV0165074</v>
          </cell>
          <cell r="E442" t="str">
            <v>LOAN Repayment / interest</v>
          </cell>
          <cell r="F442" t="str">
            <v>OK</v>
          </cell>
          <cell r="G442">
            <v>700</v>
          </cell>
          <cell r="R442">
            <v>601</v>
          </cell>
          <cell r="AQ442">
            <v>99</v>
          </cell>
        </row>
        <row r="443">
          <cell r="A443">
            <v>42239</v>
          </cell>
          <cell r="B443">
            <v>177</v>
          </cell>
          <cell r="C443" t="str">
            <v>WEDNESDAY CLASS</v>
          </cell>
          <cell r="D443" t="str">
            <v>RV0165075</v>
          </cell>
          <cell r="E443" t="str">
            <v>Cash  Deposit</v>
          </cell>
          <cell r="F443" t="str">
            <v>OK</v>
          </cell>
          <cell r="G443">
            <v>55</v>
          </cell>
          <cell r="N443">
            <v>55</v>
          </cell>
        </row>
        <row r="444">
          <cell r="A444">
            <v>42239</v>
          </cell>
          <cell r="B444">
            <v>65</v>
          </cell>
          <cell r="C444" t="str">
            <v>COMFORT ARTHUR</v>
          </cell>
          <cell r="D444" t="str">
            <v>RV0165076</v>
          </cell>
          <cell r="E444" t="str">
            <v>Cash  Deposit</v>
          </cell>
          <cell r="F444" t="str">
            <v>OK</v>
          </cell>
          <cell r="G444">
            <v>50</v>
          </cell>
          <cell r="N444">
            <v>50</v>
          </cell>
        </row>
        <row r="445">
          <cell r="A445">
            <v>42240</v>
          </cell>
          <cell r="B445">
            <v>384</v>
          </cell>
          <cell r="C445" t="str">
            <v>SEMENHYIA METH PREACHING POST</v>
          </cell>
          <cell r="D445" t="str">
            <v>RV0165077</v>
          </cell>
          <cell r="E445" t="str">
            <v>Cash  Deposit</v>
          </cell>
          <cell r="F445" t="str">
            <v>OK</v>
          </cell>
          <cell r="G445">
            <v>542</v>
          </cell>
          <cell r="N445">
            <v>542</v>
          </cell>
        </row>
        <row r="446">
          <cell r="A446">
            <v>42240</v>
          </cell>
          <cell r="B446">
            <v>352</v>
          </cell>
          <cell r="C446" t="str">
            <v>ISAAC TAWIAH FYNN</v>
          </cell>
          <cell r="D446" t="str">
            <v>RV0165078</v>
          </cell>
          <cell r="E446" t="str">
            <v>Cash  Deposit</v>
          </cell>
          <cell r="F446" t="str">
            <v>OK</v>
          </cell>
          <cell r="G446">
            <v>100</v>
          </cell>
          <cell r="N446">
            <v>100</v>
          </cell>
        </row>
        <row r="447">
          <cell r="A447">
            <v>42240</v>
          </cell>
          <cell r="B447">
            <v>397</v>
          </cell>
          <cell r="C447" t="str">
            <v>KENNETH ADU ASAMOAH</v>
          </cell>
          <cell r="D447" t="str">
            <v>PV0474256</v>
          </cell>
          <cell r="E447" t="str">
            <v>Savings  withdrawal</v>
          </cell>
          <cell r="F447" t="str">
            <v>OK</v>
          </cell>
          <cell r="H447">
            <v>100</v>
          </cell>
          <cell r="M447">
            <v>100</v>
          </cell>
        </row>
        <row r="448">
          <cell r="A448">
            <v>42240</v>
          </cell>
          <cell r="B448">
            <v>56310</v>
          </cell>
          <cell r="C448" t="str">
            <v>Postage &amp; Communication</v>
          </cell>
          <cell r="D448" t="str">
            <v>PV0474257</v>
          </cell>
          <cell r="E448" t="str">
            <v>credit for internet modem</v>
          </cell>
          <cell r="F448" t="str">
            <v>OK</v>
          </cell>
          <cell r="H448">
            <v>10</v>
          </cell>
        </row>
        <row r="449">
          <cell r="A449">
            <v>42240</v>
          </cell>
          <cell r="B449">
            <v>264</v>
          </cell>
          <cell r="C449" t="str">
            <v>AGNES BENTIL</v>
          </cell>
          <cell r="E449" t="str">
            <v>loan disbursed entered as savings w/d 9/7/15(pv0054141) reversed</v>
          </cell>
          <cell r="F449" t="str">
            <v>OK</v>
          </cell>
          <cell r="G449">
            <v>800</v>
          </cell>
          <cell r="N449">
            <v>800</v>
          </cell>
        </row>
        <row r="450">
          <cell r="A450">
            <v>42240</v>
          </cell>
          <cell r="B450">
            <v>264</v>
          </cell>
          <cell r="C450" t="str">
            <v>AGNES BENTIL</v>
          </cell>
          <cell r="D450" t="str">
            <v>PV0054141</v>
          </cell>
          <cell r="E450" t="str">
            <v>Loan disbursed</v>
          </cell>
          <cell r="F450" t="str">
            <v>OK</v>
          </cell>
          <cell r="H450">
            <v>800</v>
          </cell>
          <cell r="Q450">
            <v>800</v>
          </cell>
        </row>
        <row r="451">
          <cell r="A451">
            <v>42240</v>
          </cell>
          <cell r="B451">
            <v>56350</v>
          </cell>
          <cell r="C451" t="str">
            <v>&lt;-- enter valid PB./Acc. # in this cell!</v>
          </cell>
          <cell r="D451" t="str">
            <v>PV0474258</v>
          </cell>
          <cell r="E451" t="str">
            <v>t&amp;t for CUA official</v>
          </cell>
          <cell r="F451" t="str">
            <v>OK</v>
          </cell>
          <cell r="H451">
            <v>20</v>
          </cell>
        </row>
        <row r="452">
          <cell r="A452">
            <v>42240</v>
          </cell>
          <cell r="B452">
            <v>260</v>
          </cell>
          <cell r="C452" t="str">
            <v>BETHEL METHODIST CHURCH CHOIR</v>
          </cell>
          <cell r="D452" t="str">
            <v>PV0474259</v>
          </cell>
          <cell r="E452" t="str">
            <v>Savings  withdrawal</v>
          </cell>
          <cell r="F452" t="str">
            <v>OK</v>
          </cell>
          <cell r="H452">
            <v>1250</v>
          </cell>
          <cell r="M452">
            <v>1250</v>
          </cell>
        </row>
        <row r="453">
          <cell r="A453">
            <v>42241</v>
          </cell>
          <cell r="B453">
            <v>223</v>
          </cell>
          <cell r="C453" t="str">
            <v>BETHEL METHODIST YOUTH FELLOSHIP</v>
          </cell>
          <cell r="D453" t="str">
            <v>RV0165079</v>
          </cell>
          <cell r="E453" t="str">
            <v>Cash  Deposit</v>
          </cell>
          <cell r="F453" t="str">
            <v>OK</v>
          </cell>
          <cell r="G453">
            <v>50</v>
          </cell>
          <cell r="N453">
            <v>50</v>
          </cell>
        </row>
        <row r="454">
          <cell r="A454">
            <v>42241</v>
          </cell>
          <cell r="B454">
            <v>56900</v>
          </cell>
          <cell r="C454" t="str">
            <v>Office Expenses</v>
          </cell>
          <cell r="D454" t="str">
            <v>PV0474260</v>
          </cell>
          <cell r="E454" t="str">
            <v>Call credit</v>
          </cell>
          <cell r="F454" t="str">
            <v>OK</v>
          </cell>
          <cell r="H454">
            <v>2</v>
          </cell>
        </row>
        <row r="455">
          <cell r="A455">
            <v>42242</v>
          </cell>
          <cell r="B455">
            <v>301</v>
          </cell>
          <cell r="C455" t="str">
            <v>ELIZABETH QUAYE</v>
          </cell>
          <cell r="D455" t="str">
            <v>RV0165080</v>
          </cell>
          <cell r="E455" t="str">
            <v>LOAN Repayment / interest</v>
          </cell>
          <cell r="F455" t="str">
            <v>OK</v>
          </cell>
          <cell r="G455">
            <v>50</v>
          </cell>
          <cell r="R455">
            <v>43.75</v>
          </cell>
          <cell r="AQ455">
            <v>6.25</v>
          </cell>
        </row>
        <row r="456">
          <cell r="A456">
            <v>42242</v>
          </cell>
          <cell r="B456">
            <v>338</v>
          </cell>
          <cell r="C456" t="str">
            <v>AGARTHA BOTCHWAY</v>
          </cell>
          <cell r="D456" t="str">
            <v>RV0165081</v>
          </cell>
          <cell r="E456" t="str">
            <v>Cash  Deposit</v>
          </cell>
          <cell r="F456" t="str">
            <v>OK</v>
          </cell>
          <cell r="G456">
            <v>20</v>
          </cell>
          <cell r="N456">
            <v>20</v>
          </cell>
        </row>
        <row r="457">
          <cell r="A457">
            <v>42242</v>
          </cell>
          <cell r="B457">
            <v>223</v>
          </cell>
          <cell r="C457" t="str">
            <v>BETHEL METHODIST YOUTH FELLOSHIP</v>
          </cell>
          <cell r="D457" t="str">
            <v>PV0474261</v>
          </cell>
          <cell r="E457" t="str">
            <v>Savings  withdrawal</v>
          </cell>
          <cell r="F457" t="str">
            <v>OK</v>
          </cell>
          <cell r="J457">
            <v>3000</v>
          </cell>
          <cell r="M457">
            <v>3000</v>
          </cell>
        </row>
        <row r="458">
          <cell r="A458">
            <v>42242</v>
          </cell>
          <cell r="B458">
            <v>56420</v>
          </cell>
          <cell r="C458" t="str">
            <v>Travel &amp; Transport (incl. Motor, Fuel and Taxi fare expenses)</v>
          </cell>
          <cell r="D458" t="str">
            <v>PV0474262</v>
          </cell>
          <cell r="E458" t="str">
            <v>T&amp;T to bank</v>
          </cell>
          <cell r="F458" t="str">
            <v>OK</v>
          </cell>
          <cell r="H458">
            <v>10</v>
          </cell>
        </row>
        <row r="459">
          <cell r="A459">
            <v>42242</v>
          </cell>
          <cell r="B459">
            <v>52100</v>
          </cell>
          <cell r="C459" t="str">
            <v>Staff Salaries</v>
          </cell>
          <cell r="D459" t="str">
            <v>PV0474263</v>
          </cell>
          <cell r="E459" t="str">
            <v>Staff salaries paid</v>
          </cell>
          <cell r="F459" t="str">
            <v>OK</v>
          </cell>
          <cell r="J459">
            <v>900</v>
          </cell>
        </row>
        <row r="460">
          <cell r="A460">
            <v>42243</v>
          </cell>
          <cell r="B460">
            <v>56</v>
          </cell>
          <cell r="C460" t="str">
            <v>BETHEL METHDIST MEN'S FELLOWSHIP</v>
          </cell>
          <cell r="D460" t="str">
            <v>PV0474264</v>
          </cell>
          <cell r="E460" t="str">
            <v>Savings  withdrawal</v>
          </cell>
          <cell r="F460" t="str">
            <v>OK</v>
          </cell>
          <cell r="J460">
            <v>600</v>
          </cell>
          <cell r="M460">
            <v>600</v>
          </cell>
        </row>
        <row r="461">
          <cell r="A461">
            <v>42243</v>
          </cell>
          <cell r="B461">
            <v>360</v>
          </cell>
          <cell r="C461" t="str">
            <v>GIFTY DADZIE</v>
          </cell>
          <cell r="D461" t="str">
            <v>PV0474265</v>
          </cell>
          <cell r="E461" t="str">
            <v>Savings  withdrawal</v>
          </cell>
          <cell r="F461" t="str">
            <v>OK</v>
          </cell>
          <cell r="H461">
            <v>300</v>
          </cell>
          <cell r="M461">
            <v>300</v>
          </cell>
        </row>
        <row r="462">
          <cell r="A462">
            <v>42243</v>
          </cell>
          <cell r="B462">
            <v>56310</v>
          </cell>
          <cell r="C462" t="str">
            <v>Postage &amp; Communication</v>
          </cell>
          <cell r="D462" t="str">
            <v>PV0474266</v>
          </cell>
          <cell r="E462" t="str">
            <v>credit for internet modem</v>
          </cell>
          <cell r="F462" t="str">
            <v>OK</v>
          </cell>
          <cell r="H462">
            <v>10</v>
          </cell>
        </row>
        <row r="463">
          <cell r="A463">
            <v>42243</v>
          </cell>
          <cell r="B463">
            <v>56900</v>
          </cell>
          <cell r="C463" t="str">
            <v>Office Expenses</v>
          </cell>
          <cell r="D463" t="str">
            <v>PV0474267</v>
          </cell>
          <cell r="E463" t="str">
            <v>Gabbage disposal</v>
          </cell>
          <cell r="F463" t="str">
            <v>OK</v>
          </cell>
          <cell r="H463">
            <v>1</v>
          </cell>
        </row>
        <row r="464">
          <cell r="A464">
            <v>42243</v>
          </cell>
          <cell r="B464">
            <v>271</v>
          </cell>
          <cell r="C464" t="str">
            <v>METHODIST MEN'S FELLOWSHIP KASOA</v>
          </cell>
          <cell r="D464" t="str">
            <v>PV0474268</v>
          </cell>
          <cell r="E464" t="str">
            <v>Savings  withdrawal</v>
          </cell>
          <cell r="F464" t="str">
            <v>OK</v>
          </cell>
          <cell r="H464">
            <v>80</v>
          </cell>
          <cell r="M464">
            <v>80</v>
          </cell>
        </row>
        <row r="465">
          <cell r="A465">
            <v>42243</v>
          </cell>
          <cell r="B465">
            <v>326</v>
          </cell>
          <cell r="C465" t="str">
            <v>OPEIKUMA TOWN METHODIST CH.</v>
          </cell>
          <cell r="D465" t="str">
            <v>RV0165082</v>
          </cell>
          <cell r="E465" t="str">
            <v>Cash  Deposit</v>
          </cell>
          <cell r="F465" t="str">
            <v>OK</v>
          </cell>
          <cell r="G465">
            <v>214.4</v>
          </cell>
          <cell r="N465">
            <v>214.4</v>
          </cell>
        </row>
        <row r="466">
          <cell r="A466">
            <v>42243</v>
          </cell>
          <cell r="B466">
            <v>163</v>
          </cell>
          <cell r="C466" t="str">
            <v>EMMANUEL KEELSON(JNR)</v>
          </cell>
          <cell r="D466" t="str">
            <v>RV0165083</v>
          </cell>
          <cell r="E466" t="str">
            <v>Cash  Deposit</v>
          </cell>
          <cell r="F466" t="str">
            <v>OK</v>
          </cell>
          <cell r="G466">
            <v>300</v>
          </cell>
          <cell r="N466">
            <v>300</v>
          </cell>
        </row>
        <row r="467">
          <cell r="A467">
            <v>42243</v>
          </cell>
          <cell r="B467">
            <v>99999</v>
          </cell>
          <cell r="C467" t="str">
            <v>cancelled voucher</v>
          </cell>
          <cell r="D467" t="str">
            <v>RV0165084</v>
          </cell>
          <cell r="F467" t="str">
            <v>OK</v>
          </cell>
        </row>
        <row r="468">
          <cell r="A468">
            <v>42243</v>
          </cell>
          <cell r="B468">
            <v>315</v>
          </cell>
          <cell r="C468" t="str">
            <v>SELINA NAANA ANDAM</v>
          </cell>
          <cell r="D468" t="str">
            <v>RV0165085</v>
          </cell>
          <cell r="E468" t="str">
            <v>Cash  Deposit</v>
          </cell>
          <cell r="F468" t="str">
            <v>OK</v>
          </cell>
          <cell r="G468">
            <v>50</v>
          </cell>
          <cell r="N468">
            <v>50</v>
          </cell>
        </row>
        <row r="469">
          <cell r="A469">
            <v>42243</v>
          </cell>
          <cell r="B469">
            <v>316</v>
          </cell>
          <cell r="C469" t="str">
            <v>AGNES ARKOFUL</v>
          </cell>
          <cell r="D469" t="str">
            <v>RV0165086</v>
          </cell>
          <cell r="E469" t="str">
            <v>Loan Repayment / Deposit</v>
          </cell>
          <cell r="F469" t="str">
            <v>OK</v>
          </cell>
          <cell r="G469">
            <v>88.5</v>
          </cell>
          <cell r="N469">
            <v>30</v>
          </cell>
          <cell r="R469">
            <v>50</v>
          </cell>
          <cell r="AQ469">
            <v>8.5</v>
          </cell>
        </row>
        <row r="470">
          <cell r="A470">
            <v>42243</v>
          </cell>
          <cell r="B470">
            <v>224</v>
          </cell>
          <cell r="C470" t="str">
            <v>THERESA ARKOFUL</v>
          </cell>
          <cell r="D470" t="str">
            <v>RV0165087</v>
          </cell>
          <cell r="E470" t="str">
            <v>Cash  Deposit</v>
          </cell>
          <cell r="F470" t="str">
            <v>OK</v>
          </cell>
          <cell r="G470">
            <v>30</v>
          </cell>
          <cell r="N470">
            <v>30</v>
          </cell>
        </row>
        <row r="471">
          <cell r="A471">
            <v>42243</v>
          </cell>
          <cell r="B471">
            <v>386</v>
          </cell>
          <cell r="C471" t="str">
            <v>ERNEST TETTEH</v>
          </cell>
          <cell r="D471" t="str">
            <v>PV0474269</v>
          </cell>
          <cell r="E471" t="str">
            <v>Savings  withdrawal</v>
          </cell>
          <cell r="F471" t="str">
            <v>OK</v>
          </cell>
          <cell r="H471">
            <v>800</v>
          </cell>
          <cell r="M471">
            <v>800</v>
          </cell>
        </row>
        <row r="472">
          <cell r="A472">
            <v>42244</v>
          </cell>
          <cell r="B472">
            <v>397</v>
          </cell>
          <cell r="C472" t="str">
            <v>KENNETH ADU ASAMOAH</v>
          </cell>
          <cell r="D472" t="str">
            <v>RV0165088</v>
          </cell>
          <cell r="E472" t="str">
            <v>Cash  Deposit</v>
          </cell>
          <cell r="F472" t="str">
            <v>OK</v>
          </cell>
          <cell r="G472">
            <v>1100</v>
          </cell>
          <cell r="N472">
            <v>1100</v>
          </cell>
        </row>
        <row r="473">
          <cell r="A473">
            <v>42244</v>
          </cell>
          <cell r="B473">
            <v>163</v>
          </cell>
          <cell r="C473" t="str">
            <v>EMMANUEL KEELSON(JNR)</v>
          </cell>
          <cell r="D473" t="str">
            <v>RV0165089</v>
          </cell>
          <cell r="E473" t="str">
            <v>Cash  Deposit</v>
          </cell>
          <cell r="F473" t="str">
            <v>OK</v>
          </cell>
          <cell r="G473">
            <v>300</v>
          </cell>
          <cell r="N473">
            <v>300</v>
          </cell>
        </row>
        <row r="474">
          <cell r="A474">
            <v>42244</v>
          </cell>
          <cell r="B474">
            <v>348</v>
          </cell>
          <cell r="C474" t="str">
            <v>CHRISTABEL ABAKUA PRAH</v>
          </cell>
          <cell r="D474" t="str">
            <v>PV0474270</v>
          </cell>
          <cell r="E474" t="str">
            <v>Savings  withdrawal</v>
          </cell>
          <cell r="F474" t="str">
            <v>OK</v>
          </cell>
          <cell r="H474">
            <v>40</v>
          </cell>
          <cell r="M474">
            <v>40</v>
          </cell>
        </row>
        <row r="475">
          <cell r="A475">
            <v>42247</v>
          </cell>
          <cell r="B475">
            <v>310</v>
          </cell>
          <cell r="C475" t="str">
            <v>ST.PAUL'S METHODIST CHURCH KAKRBA</v>
          </cell>
          <cell r="D475" t="str">
            <v>RV0165090</v>
          </cell>
          <cell r="E475" t="str">
            <v>Cash  Deposit</v>
          </cell>
          <cell r="F475" t="str">
            <v>OK</v>
          </cell>
          <cell r="G475">
            <v>500</v>
          </cell>
          <cell r="N475">
            <v>500</v>
          </cell>
        </row>
        <row r="476">
          <cell r="A476">
            <v>42247</v>
          </cell>
          <cell r="B476">
            <v>162</v>
          </cell>
          <cell r="C476" t="str">
            <v>EMMANUEL KEELSON(SNR)</v>
          </cell>
          <cell r="D476" t="str">
            <v>RV0165091</v>
          </cell>
          <cell r="E476" t="str">
            <v>LOAN Repayment / interest</v>
          </cell>
          <cell r="F476" t="str">
            <v>OK</v>
          </cell>
          <cell r="G476">
            <v>57</v>
          </cell>
          <cell r="R476">
            <v>50</v>
          </cell>
          <cell r="AQ476">
            <v>7</v>
          </cell>
        </row>
        <row r="477">
          <cell r="A477">
            <v>42247</v>
          </cell>
          <cell r="B477">
            <v>209</v>
          </cell>
          <cell r="C477" t="str">
            <v>BERNARD BENTSIL BARNES</v>
          </cell>
          <cell r="D477" t="str">
            <v>RV0165092</v>
          </cell>
          <cell r="E477" t="str">
            <v>Cash  Deposit</v>
          </cell>
          <cell r="F477" t="str">
            <v>OK</v>
          </cell>
          <cell r="G477">
            <v>50</v>
          </cell>
          <cell r="N477">
            <v>50</v>
          </cell>
        </row>
        <row r="478">
          <cell r="A478">
            <v>42247</v>
          </cell>
          <cell r="B478">
            <v>56310</v>
          </cell>
          <cell r="C478" t="str">
            <v>Postage &amp; Communication</v>
          </cell>
          <cell r="D478" t="str">
            <v>PV0474271</v>
          </cell>
          <cell r="E478" t="str">
            <v>Credit for call and internet</v>
          </cell>
          <cell r="F478" t="str">
            <v>OK</v>
          </cell>
          <cell r="H478">
            <v>40</v>
          </cell>
        </row>
        <row r="479">
          <cell r="A479">
            <v>42247</v>
          </cell>
          <cell r="B479">
            <v>54350</v>
          </cell>
          <cell r="C479" t="str">
            <v>Protocol Expenses</v>
          </cell>
          <cell r="D479" t="str">
            <v>PV0474272</v>
          </cell>
          <cell r="E479" t="str">
            <v>t&amp;t for CUA official</v>
          </cell>
          <cell r="F479" t="str">
            <v>OK</v>
          </cell>
          <cell r="H479">
            <v>20</v>
          </cell>
        </row>
        <row r="480">
          <cell r="A480">
            <v>42247</v>
          </cell>
          <cell r="B480">
            <v>390</v>
          </cell>
          <cell r="C480" t="str">
            <v>NOAH AFARI</v>
          </cell>
          <cell r="D480" t="str">
            <v>PV0474273</v>
          </cell>
          <cell r="E480" t="str">
            <v>Shares and savings withdrawal</v>
          </cell>
          <cell r="F480" t="str">
            <v>OK</v>
          </cell>
          <cell r="H480">
            <v>135</v>
          </cell>
          <cell r="K480">
            <v>100</v>
          </cell>
          <cell r="M480">
            <v>35</v>
          </cell>
        </row>
        <row r="481">
          <cell r="A481">
            <v>42218</v>
          </cell>
          <cell r="C481" t="str">
            <v>&lt;-- enter valid PB./Acc. # in this cell!</v>
          </cell>
          <cell r="E481" t="str">
            <v>91days fixed deposit made</v>
          </cell>
          <cell r="F481" t="str">
            <v>OK</v>
          </cell>
          <cell r="J481">
            <v>40000</v>
          </cell>
        </row>
        <row r="482">
          <cell r="C482" t="str">
            <v>&lt;-- enter valid PB./Acc. # in this cell!</v>
          </cell>
          <cell r="F482" t="str">
            <v>OK</v>
          </cell>
        </row>
        <row r="483">
          <cell r="C483" t="str">
            <v>&lt;-- enter valid PB./Acc. # in this cell!</v>
          </cell>
          <cell r="F483" t="str">
            <v>OK</v>
          </cell>
        </row>
        <row r="484">
          <cell r="C484" t="str">
            <v>&lt;-- enter valid PB./Acc. # in this cell!</v>
          </cell>
          <cell r="F484" t="str">
            <v>OK</v>
          </cell>
        </row>
        <row r="485">
          <cell r="C485" t="str">
            <v>&lt;-- enter valid PB./Acc. # in this cell!</v>
          </cell>
          <cell r="F485" t="str">
            <v>OK</v>
          </cell>
        </row>
        <row r="486">
          <cell r="C486" t="str">
            <v>&lt;-- enter valid PB./Acc. # in this cell!</v>
          </cell>
          <cell r="F486" t="str">
            <v>OK</v>
          </cell>
        </row>
        <row r="487">
          <cell r="C487" t="str">
            <v>&lt;-- enter valid PB./Acc. # in this cell!</v>
          </cell>
          <cell r="F487" t="str">
            <v>OK</v>
          </cell>
        </row>
        <row r="488">
          <cell r="C488" t="str">
            <v>&lt;-- enter valid PB./Acc. # in this cell!</v>
          </cell>
          <cell r="F488" t="str">
            <v>OK</v>
          </cell>
        </row>
        <row r="489">
          <cell r="C489" t="str">
            <v>&lt;-- enter valid PB./Acc. # in this cell!</v>
          </cell>
          <cell r="F489" t="str">
            <v>OK</v>
          </cell>
        </row>
        <row r="490">
          <cell r="C490" t="str">
            <v>&lt;-- enter valid PB./Acc. # in this cell!</v>
          </cell>
          <cell r="F490" t="str">
            <v>OK</v>
          </cell>
        </row>
        <row r="491">
          <cell r="C491" t="str">
            <v>&lt;-- enter valid PB./Acc. # in this cell!</v>
          </cell>
          <cell r="F491" t="str">
            <v>OK</v>
          </cell>
        </row>
        <row r="492">
          <cell r="C492" t="str">
            <v>&lt;-- enter valid PB./Acc. # in this cell!</v>
          </cell>
          <cell r="F492" t="str">
            <v>OK</v>
          </cell>
        </row>
        <row r="493">
          <cell r="C493" t="str">
            <v>&lt;-- enter valid PB./Acc. # in this cell!</v>
          </cell>
          <cell r="F493" t="str">
            <v>OK</v>
          </cell>
        </row>
        <row r="494">
          <cell r="C494" t="str">
            <v>&lt;-- enter valid PB./Acc. # in this cell!</v>
          </cell>
          <cell r="F494" t="str">
            <v>OK</v>
          </cell>
        </row>
        <row r="495">
          <cell r="C495" t="str">
            <v>&lt;-- enter valid PB./Acc. # in this cell!</v>
          </cell>
          <cell r="F495" t="str">
            <v>OK</v>
          </cell>
        </row>
        <row r="496">
          <cell r="C496" t="str">
            <v>&lt;-- enter valid PB./Acc. # in this cell!</v>
          </cell>
          <cell r="F496" t="str">
            <v>OK</v>
          </cell>
        </row>
        <row r="497">
          <cell r="C497" t="str">
            <v>&lt;-- enter valid PB./Acc. # in this cell!</v>
          </cell>
          <cell r="F497" t="str">
            <v>OK</v>
          </cell>
        </row>
        <row r="498">
          <cell r="C498" t="str">
            <v>&lt;-- enter valid PB./Acc. # in this cell!</v>
          </cell>
          <cell r="F498" t="str">
            <v>OK</v>
          </cell>
        </row>
        <row r="499">
          <cell r="C499" t="str">
            <v>&lt;-- enter valid PB./Acc. # in this cell!</v>
          </cell>
          <cell r="F499" t="str">
            <v>OK</v>
          </cell>
        </row>
        <row r="500">
          <cell r="C500" t="str">
            <v>&lt;-- enter valid PB./Acc. # in this cell!</v>
          </cell>
          <cell r="F500" t="str">
            <v>OK</v>
          </cell>
        </row>
        <row r="501">
          <cell r="C501" t="str">
            <v>&lt;-- enter valid PB./Acc. # in this cell!</v>
          </cell>
          <cell r="F501" t="str">
            <v>OK</v>
          </cell>
        </row>
        <row r="502">
          <cell r="C502" t="str">
            <v>&lt;-- enter valid PB./Acc. # in this cell!</v>
          </cell>
          <cell r="F502" t="str">
            <v>OK</v>
          </cell>
        </row>
        <row r="503">
          <cell r="C503" t="str">
            <v>&lt;-- enter valid PB./Acc. # in this cell!</v>
          </cell>
          <cell r="F503" t="str">
            <v>OK</v>
          </cell>
        </row>
        <row r="504">
          <cell r="C504" t="str">
            <v>&lt;-- enter valid PB./Acc. # in this cell!</v>
          </cell>
          <cell r="F504" t="str">
            <v>OK</v>
          </cell>
        </row>
        <row r="505">
          <cell r="C505" t="str">
            <v>&lt;-- enter valid PB./Acc. # in this cell!</v>
          </cell>
          <cell r="F505" t="str">
            <v>OK</v>
          </cell>
        </row>
        <row r="506">
          <cell r="C506" t="str">
            <v>&lt;-- enter valid PB./Acc. # in this cell!</v>
          </cell>
          <cell r="F506" t="str">
            <v>OK</v>
          </cell>
        </row>
        <row r="507">
          <cell r="C507" t="str">
            <v>&lt;-- enter valid PB./Acc. # in this cell!</v>
          </cell>
          <cell r="F507" t="str">
            <v>OK</v>
          </cell>
        </row>
        <row r="508">
          <cell r="C508" t="str">
            <v>&lt;-- enter valid PB./Acc. # in this cell!</v>
          </cell>
          <cell r="F508" t="str">
            <v>OK</v>
          </cell>
        </row>
        <row r="509">
          <cell r="C509" t="str">
            <v>&lt;-- enter valid PB./Acc. # in this cell!</v>
          </cell>
          <cell r="F509" t="str">
            <v>OK</v>
          </cell>
        </row>
        <row r="510">
          <cell r="C510" t="str">
            <v>&lt;-- enter valid PB./Acc. # in this cell!</v>
          </cell>
          <cell r="F510" t="str">
            <v>OK</v>
          </cell>
        </row>
        <row r="511">
          <cell r="C511" t="str">
            <v>&lt;-- enter valid PB./Acc. # in this cell!</v>
          </cell>
          <cell r="F511" t="str">
            <v>OK</v>
          </cell>
        </row>
        <row r="512">
          <cell r="C512" t="str">
            <v>&lt;-- enter valid PB./Acc. # in this cell!</v>
          </cell>
          <cell r="F512" t="str">
            <v>OK</v>
          </cell>
        </row>
        <row r="513">
          <cell r="C513" t="str">
            <v>&lt;-- enter valid PB./Acc. # in this cell!</v>
          </cell>
          <cell r="F513" t="str">
            <v>OK</v>
          </cell>
        </row>
        <row r="514">
          <cell r="C514" t="str">
            <v>&lt;-- enter valid PB./Acc. # in this cell!</v>
          </cell>
          <cell r="F514" t="str">
            <v>OK</v>
          </cell>
        </row>
        <row r="515">
          <cell r="C515" t="str">
            <v>&lt;-- enter valid PB./Acc. # in this cell!</v>
          </cell>
          <cell r="F515" t="str">
            <v>OK</v>
          </cell>
        </row>
        <row r="516">
          <cell r="C516" t="str">
            <v>&lt;-- enter valid PB./Acc. # in this cell!</v>
          </cell>
          <cell r="F516" t="str">
            <v>OK</v>
          </cell>
        </row>
        <row r="517">
          <cell r="C517" t="str">
            <v>&lt;-- enter valid PB./Acc. # in this cell!</v>
          </cell>
          <cell r="F517" t="str">
            <v>OK</v>
          </cell>
        </row>
        <row r="518">
          <cell r="C518" t="str">
            <v>&lt;-- enter valid PB./Acc. # in this cell!</v>
          </cell>
          <cell r="F518" t="str">
            <v>OK</v>
          </cell>
        </row>
        <row r="519">
          <cell r="C519" t="str">
            <v>&lt;-- enter valid PB./Acc. # in this cell!</v>
          </cell>
          <cell r="F519" t="str">
            <v>OK</v>
          </cell>
        </row>
        <row r="520">
          <cell r="C520" t="str">
            <v>&lt;-- enter valid PB./Acc. # in this cell!</v>
          </cell>
          <cell r="F520" t="str">
            <v>OK</v>
          </cell>
        </row>
        <row r="521">
          <cell r="C521" t="str">
            <v>&lt;-- enter valid PB./Acc. # in this cell!</v>
          </cell>
          <cell r="F521" t="str">
            <v>OK</v>
          </cell>
        </row>
        <row r="522">
          <cell r="C522" t="str">
            <v>&lt;-- enter valid PB./Acc. # in this cell!</v>
          </cell>
          <cell r="F522" t="str">
            <v>OK</v>
          </cell>
        </row>
        <row r="523">
          <cell r="C523" t="str">
            <v>&lt;-- enter valid PB./Acc. # in this cell!</v>
          </cell>
          <cell r="F523" t="str">
            <v>OK</v>
          </cell>
        </row>
        <row r="524">
          <cell r="C524" t="str">
            <v>&lt;-- enter valid PB./Acc. # in this cell!</v>
          </cell>
          <cell r="F524" t="str">
            <v>OK</v>
          </cell>
        </row>
        <row r="525">
          <cell r="C525" t="str">
            <v>&lt;-- enter valid PB./Acc. # in this cell!</v>
          </cell>
          <cell r="F525" t="str">
            <v>OK</v>
          </cell>
        </row>
        <row r="526">
          <cell r="C526" t="str">
            <v>&lt;-- enter valid PB./Acc. # in this cell!</v>
          </cell>
          <cell r="F526" t="str">
            <v>OK</v>
          </cell>
        </row>
        <row r="527">
          <cell r="C527" t="str">
            <v>&lt;-- enter valid PB./Acc. # in this cell!</v>
          </cell>
          <cell r="F527" t="str">
            <v>OK</v>
          </cell>
        </row>
        <row r="528">
          <cell r="C528" t="str">
            <v>&lt;-- enter valid PB./Acc. # in this cell!</v>
          </cell>
          <cell r="F528" t="str">
            <v>OK</v>
          </cell>
        </row>
        <row r="529">
          <cell r="C529" t="str">
            <v>&lt;-- enter valid PB./Acc. # in this cell!</v>
          </cell>
          <cell r="F529" t="str">
            <v>OK</v>
          </cell>
        </row>
        <row r="530">
          <cell r="C530" t="str">
            <v>&lt;-- enter valid PB./Acc. # in this cell!</v>
          </cell>
          <cell r="F530" t="str">
            <v>OK</v>
          </cell>
        </row>
        <row r="531">
          <cell r="C531" t="str">
            <v>&lt;-- enter valid PB./Acc. # in this cell!</v>
          </cell>
          <cell r="F531" t="str">
            <v>OK</v>
          </cell>
        </row>
        <row r="532">
          <cell r="C532" t="str">
            <v>&lt;-- enter valid PB./Acc. # in this cell!</v>
          </cell>
          <cell r="F532" t="str">
            <v>OK</v>
          </cell>
        </row>
        <row r="533">
          <cell r="C533" t="str">
            <v>&lt;-- enter valid PB./Acc. # in this cell!</v>
          </cell>
          <cell r="F533" t="str">
            <v>OK</v>
          </cell>
        </row>
        <row r="534">
          <cell r="C534" t="str">
            <v>&lt;-- enter valid PB./Acc. # in this cell!</v>
          </cell>
          <cell r="F534" t="str">
            <v>OK</v>
          </cell>
        </row>
        <row r="535">
          <cell r="C535" t="str">
            <v>&lt;-- enter valid PB./Acc. # in this cell!</v>
          </cell>
          <cell r="F535" t="str">
            <v>OK</v>
          </cell>
        </row>
        <row r="536">
          <cell r="C536" t="str">
            <v>&lt;-- enter valid PB./Acc. # in this cell!</v>
          </cell>
          <cell r="F536" t="str">
            <v>OK</v>
          </cell>
        </row>
        <row r="537">
          <cell r="C537" t="str">
            <v>&lt;-- enter valid PB./Acc. # in this cell!</v>
          </cell>
          <cell r="F537" t="str">
            <v>OK</v>
          </cell>
        </row>
        <row r="538">
          <cell r="C538" t="str">
            <v>&lt;-- enter valid PB./Acc. # in this cell!</v>
          </cell>
          <cell r="F538" t="str">
            <v>OK</v>
          </cell>
        </row>
        <row r="539">
          <cell r="C539" t="str">
            <v>&lt;-- enter valid PB./Acc. # in this cell!</v>
          </cell>
          <cell r="F539" t="str">
            <v>OK</v>
          </cell>
        </row>
        <row r="540">
          <cell r="C540" t="str">
            <v>&lt;-- enter valid PB./Acc. # in this cell!</v>
          </cell>
          <cell r="F540" t="str">
            <v>OK</v>
          </cell>
        </row>
        <row r="541">
          <cell r="C541" t="str">
            <v>&lt;-- enter valid PB./Acc. # in this cell!</v>
          </cell>
          <cell r="F541" t="str">
            <v>OK</v>
          </cell>
        </row>
        <row r="542">
          <cell r="C542" t="str">
            <v>&lt;-- enter valid PB./Acc. # in this cell!</v>
          </cell>
          <cell r="F542" t="str">
            <v>OK</v>
          </cell>
        </row>
        <row r="543">
          <cell r="C543" t="str">
            <v>&lt;-- enter valid PB./Acc. # in this cell!</v>
          </cell>
          <cell r="F543" t="str">
            <v>OK</v>
          </cell>
        </row>
        <row r="544">
          <cell r="C544" t="str">
            <v>&lt;-- enter valid PB./Acc. # in this cell!</v>
          </cell>
          <cell r="F544" t="str">
            <v>OK</v>
          </cell>
        </row>
        <row r="545">
          <cell r="C545" t="str">
            <v>&lt;-- enter valid PB./Acc. # in this cell!</v>
          </cell>
          <cell r="F545" t="str">
            <v>OK</v>
          </cell>
        </row>
        <row r="546">
          <cell r="C546" t="str">
            <v>&lt;-- enter valid PB./Acc. # in this cell!</v>
          </cell>
          <cell r="F546" t="str">
            <v>OK</v>
          </cell>
        </row>
        <row r="547">
          <cell r="C547" t="str">
            <v>&lt;-- enter valid PB./Acc. # in this cell!</v>
          </cell>
          <cell r="F547" t="str">
            <v>OK</v>
          </cell>
        </row>
        <row r="548">
          <cell r="C548" t="str">
            <v>&lt;-- enter valid PB./Acc. # in this cell!</v>
          </cell>
          <cell r="F548" t="str">
            <v>OK</v>
          </cell>
        </row>
        <row r="549">
          <cell r="C549" t="str">
            <v>&lt;-- enter valid PB./Acc. # in this cell!</v>
          </cell>
          <cell r="F549" t="str">
            <v>OK</v>
          </cell>
        </row>
        <row r="550">
          <cell r="C550" t="str">
            <v>&lt;-- enter valid PB./Acc. # in this cell!</v>
          </cell>
          <cell r="F550" t="str">
            <v>OK</v>
          </cell>
        </row>
        <row r="551">
          <cell r="C551" t="str">
            <v>&lt;-- enter valid PB./Acc. # in this cell!</v>
          </cell>
          <cell r="F551" t="str">
            <v>OK</v>
          </cell>
        </row>
        <row r="552">
          <cell r="C552" t="str">
            <v>&lt;-- enter valid PB./Acc. # in this cell!</v>
          </cell>
          <cell r="F552" t="str">
            <v>OK</v>
          </cell>
        </row>
        <row r="553">
          <cell r="C553" t="str">
            <v>&lt;-- enter valid PB./Acc. # in this cell!</v>
          </cell>
          <cell r="F553" t="str">
            <v>OK</v>
          </cell>
        </row>
        <row r="554">
          <cell r="C554" t="str">
            <v>&lt;-- enter valid PB./Acc. # in this cell!</v>
          </cell>
          <cell r="F554" t="str">
            <v>OK</v>
          </cell>
        </row>
        <row r="555">
          <cell r="C555" t="str">
            <v>&lt;-- enter valid PB./Acc. # in this cell!</v>
          </cell>
          <cell r="F555" t="str">
            <v>OK</v>
          </cell>
        </row>
        <row r="556">
          <cell r="C556" t="str">
            <v>&lt;-- enter valid PB./Acc. # in this cell!</v>
          </cell>
          <cell r="F556" t="str">
            <v>OK</v>
          </cell>
        </row>
        <row r="557">
          <cell r="C557" t="str">
            <v>&lt;-- enter valid PB./Acc. # in this cell!</v>
          </cell>
          <cell r="F557" t="str">
            <v>OK</v>
          </cell>
        </row>
        <row r="558">
          <cell r="C558" t="str">
            <v>&lt;-- enter valid PB./Acc. # in this cell!</v>
          </cell>
          <cell r="F558" t="str">
            <v>OK</v>
          </cell>
        </row>
        <row r="559">
          <cell r="C559" t="str">
            <v>&lt;-- enter valid PB./Acc. # in this cell!</v>
          </cell>
          <cell r="F559" t="str">
            <v>OK</v>
          </cell>
        </row>
        <row r="560">
          <cell r="C560" t="str">
            <v>&lt;-- enter valid PB./Acc. # in this cell!</v>
          </cell>
          <cell r="F560" t="str">
            <v>OK</v>
          </cell>
        </row>
        <row r="561">
          <cell r="C561" t="str">
            <v>&lt;-- enter valid PB./Acc. # in this cell!</v>
          </cell>
          <cell r="F561" t="str">
            <v>OK</v>
          </cell>
        </row>
        <row r="562">
          <cell r="C562" t="str">
            <v>&lt;-- enter valid PB./Acc. # in this cell!</v>
          </cell>
          <cell r="F562" t="str">
            <v>OK</v>
          </cell>
        </row>
        <row r="563">
          <cell r="C563" t="str">
            <v>&lt;-- enter valid PB./Acc. # in this cell!</v>
          </cell>
          <cell r="F563" t="str">
            <v>OK</v>
          </cell>
        </row>
        <row r="564">
          <cell r="C564" t="str">
            <v>&lt;-- enter valid PB./Acc. # in this cell!</v>
          </cell>
          <cell r="F564" t="str">
            <v>OK</v>
          </cell>
        </row>
        <row r="565">
          <cell r="C565" t="str">
            <v>&lt;-- enter valid PB./Acc. # in this cell!</v>
          </cell>
          <cell r="F565" t="str">
            <v>OK</v>
          </cell>
        </row>
        <row r="566">
          <cell r="C566" t="str">
            <v>&lt;-- enter valid PB./Acc. # in this cell!</v>
          </cell>
          <cell r="F566" t="str">
            <v>OK</v>
          </cell>
        </row>
        <row r="567">
          <cell r="C567" t="str">
            <v>&lt;-- enter valid PB./Acc. # in this cell!</v>
          </cell>
          <cell r="F567" t="str">
            <v>OK</v>
          </cell>
        </row>
        <row r="568">
          <cell r="C568" t="str">
            <v>&lt;-- enter valid PB./Acc. # in this cell!</v>
          </cell>
          <cell r="F568" t="str">
            <v>OK</v>
          </cell>
        </row>
        <row r="569">
          <cell r="C569" t="str">
            <v>&lt;-- enter valid PB./Acc. # in this cell!</v>
          </cell>
          <cell r="F569" t="str">
            <v>OK</v>
          </cell>
        </row>
        <row r="570">
          <cell r="C570" t="str">
            <v>&lt;-- enter valid PB./Acc. # in this cell!</v>
          </cell>
          <cell r="F570" t="str">
            <v>OK</v>
          </cell>
        </row>
        <row r="571">
          <cell r="C571" t="str">
            <v>&lt;-- enter valid PB./Acc. # in this cell!</v>
          </cell>
          <cell r="F571" t="str">
            <v>OK</v>
          </cell>
        </row>
        <row r="572">
          <cell r="C572" t="str">
            <v>&lt;-- enter valid PB./Acc. # in this cell!</v>
          </cell>
          <cell r="F572" t="str">
            <v>OK</v>
          </cell>
        </row>
        <row r="573">
          <cell r="C573" t="str">
            <v>&lt;-- enter valid PB./Acc. # in this cell!</v>
          </cell>
          <cell r="F573" t="str">
            <v>OK</v>
          </cell>
        </row>
        <row r="574">
          <cell r="C574" t="str">
            <v>&lt;-- enter valid PB./Acc. # in this cell!</v>
          </cell>
          <cell r="F574" t="str">
            <v>OK</v>
          </cell>
        </row>
        <row r="575">
          <cell r="C575" t="str">
            <v>&lt;-- enter valid PB./Acc. # in this cell!</v>
          </cell>
          <cell r="F575" t="str">
            <v>OK</v>
          </cell>
        </row>
        <row r="576">
          <cell r="C576" t="str">
            <v>&lt;-- enter valid PB./Acc. # in this cell!</v>
          </cell>
          <cell r="F576" t="str">
            <v>OK</v>
          </cell>
        </row>
        <row r="577">
          <cell r="C577" t="str">
            <v>&lt;-- enter valid PB./Acc. # in this cell!</v>
          </cell>
          <cell r="F577" t="str">
            <v>OK</v>
          </cell>
        </row>
        <row r="578">
          <cell r="C578" t="str">
            <v>&lt;-- enter valid PB./Acc. # in this cell!</v>
          </cell>
          <cell r="F578" t="str">
            <v>OK</v>
          </cell>
        </row>
        <row r="579">
          <cell r="C579" t="str">
            <v>&lt;-- enter valid PB./Acc. # in this cell!</v>
          </cell>
          <cell r="F579" t="str">
            <v>OK</v>
          </cell>
        </row>
        <row r="580">
          <cell r="C580" t="str">
            <v>&lt;-- enter valid PB./Acc. # in this cell!</v>
          </cell>
          <cell r="F580" t="str">
            <v>OK</v>
          </cell>
        </row>
        <row r="581">
          <cell r="C581" t="str">
            <v>&lt;-- enter valid PB./Acc. # in this cell!</v>
          </cell>
          <cell r="F581" t="str">
            <v>OK</v>
          </cell>
        </row>
        <row r="582">
          <cell r="C582" t="str">
            <v>&lt;-- enter valid PB./Acc. # in this cell!</v>
          </cell>
          <cell r="F582" t="str">
            <v>OK</v>
          </cell>
        </row>
        <row r="583">
          <cell r="C583" t="str">
            <v>&lt;-- enter valid PB./Acc. # in this cell!</v>
          </cell>
          <cell r="F583" t="str">
            <v>OK</v>
          </cell>
        </row>
        <row r="584">
          <cell r="C584" t="str">
            <v>&lt;-- enter valid PB./Acc. # in this cell!</v>
          </cell>
          <cell r="F584" t="str">
            <v>OK</v>
          </cell>
        </row>
        <row r="585">
          <cell r="C585" t="str">
            <v>&lt;-- enter valid PB./Acc. # in this cell!</v>
          </cell>
          <cell r="F585" t="str">
            <v>OK</v>
          </cell>
        </row>
        <row r="586">
          <cell r="C586" t="str">
            <v>&lt;-- enter valid PB./Acc. # in this cell!</v>
          </cell>
          <cell r="F586" t="str">
            <v>OK</v>
          </cell>
        </row>
        <row r="587">
          <cell r="C587" t="str">
            <v>&lt;-- enter valid PB./Acc. # in this cell!</v>
          </cell>
          <cell r="F587" t="str">
            <v>OK</v>
          </cell>
        </row>
        <row r="588">
          <cell r="C588" t="str">
            <v>&lt;-- enter valid PB./Acc. # in this cell!</v>
          </cell>
          <cell r="F588" t="str">
            <v>OK</v>
          </cell>
        </row>
        <row r="589">
          <cell r="C589" t="str">
            <v>&lt;-- enter valid PB./Acc. # in this cell!</v>
          </cell>
          <cell r="F589" t="str">
            <v>OK</v>
          </cell>
        </row>
        <row r="590">
          <cell r="C590" t="str">
            <v>&lt;-- enter valid PB./Acc. # in this cell!</v>
          </cell>
          <cell r="F590" t="str">
            <v>OK</v>
          </cell>
        </row>
        <row r="591">
          <cell r="C591" t="str">
            <v>&lt;-- enter valid PB./Acc. # in this cell!</v>
          </cell>
          <cell r="F591" t="str">
            <v>OK</v>
          </cell>
        </row>
        <row r="592">
          <cell r="C592" t="str">
            <v>&lt;-- enter valid PB./Acc. # in this cell!</v>
          </cell>
          <cell r="F592" t="str">
            <v>OK</v>
          </cell>
        </row>
        <row r="593">
          <cell r="C593" t="str">
            <v>&lt;-- enter valid PB./Acc. # in this cell!</v>
          </cell>
          <cell r="F593" t="str">
            <v>OK</v>
          </cell>
        </row>
        <row r="594">
          <cell r="C594" t="str">
            <v>&lt;-- enter valid PB./Acc. # in this cell!</v>
          </cell>
          <cell r="F594" t="str">
            <v>OK</v>
          </cell>
        </row>
        <row r="595">
          <cell r="C595" t="str">
            <v>&lt;-- enter valid PB./Acc. # in this cell!</v>
          </cell>
          <cell r="F595" t="str">
            <v>OK</v>
          </cell>
        </row>
        <row r="596">
          <cell r="C596" t="str">
            <v>&lt;-- enter valid PB./Acc. # in this cell!</v>
          </cell>
          <cell r="F596" t="str">
            <v>OK</v>
          </cell>
        </row>
        <row r="597">
          <cell r="C597" t="str">
            <v>&lt;-- enter valid PB./Acc. # in this cell!</v>
          </cell>
          <cell r="F597" t="str">
            <v>OK</v>
          </cell>
        </row>
        <row r="598">
          <cell r="C598" t="str">
            <v>&lt;-- enter valid PB./Acc. # in this cell!</v>
          </cell>
          <cell r="F598" t="str">
            <v>OK</v>
          </cell>
        </row>
        <row r="599">
          <cell r="C599" t="str">
            <v>&lt;-- enter valid PB./Acc. # in this cell!</v>
          </cell>
          <cell r="F599" t="str">
            <v>OK</v>
          </cell>
        </row>
        <row r="600">
          <cell r="A600" t="str">
            <v>Total Balances of August 2015</v>
          </cell>
          <cell r="F600" t="str">
            <v>OK</v>
          </cell>
          <cell r="G600">
            <v>21709.05</v>
          </cell>
          <cell r="H600">
            <v>20221.5</v>
          </cell>
          <cell r="I600">
            <v>12860</v>
          </cell>
          <cell r="J600">
            <v>83700</v>
          </cell>
          <cell r="K600">
            <v>100</v>
          </cell>
          <cell r="L600">
            <v>370</v>
          </cell>
          <cell r="M600">
            <v>27935</v>
          </cell>
          <cell r="N600">
            <v>14423.8</v>
          </cell>
          <cell r="O600">
            <v>0</v>
          </cell>
          <cell r="P600">
            <v>0</v>
          </cell>
          <cell r="Q600">
            <v>22400</v>
          </cell>
          <cell r="R600">
            <v>7136.5</v>
          </cell>
          <cell r="S600">
            <v>0</v>
          </cell>
          <cell r="T600">
            <v>0</v>
          </cell>
          <cell r="AQ600">
            <v>1231.75</v>
          </cell>
        </row>
        <row r="601">
          <cell r="A601">
            <v>42277</v>
          </cell>
        </row>
        <row r="602">
          <cell r="A602">
            <v>42248</v>
          </cell>
          <cell r="B602">
            <v>365</v>
          </cell>
          <cell r="C602" t="str">
            <v>RACHEAL VISSION WORKERS</v>
          </cell>
          <cell r="D602" t="str">
            <v>RV0165093</v>
          </cell>
          <cell r="E602" t="str">
            <v>Cash  Deposit</v>
          </cell>
          <cell r="F602" t="str">
            <v>OK</v>
          </cell>
          <cell r="G602">
            <v>200</v>
          </cell>
          <cell r="N602">
            <v>200</v>
          </cell>
        </row>
        <row r="603">
          <cell r="A603">
            <v>42248</v>
          </cell>
          <cell r="B603">
            <v>33</v>
          </cell>
          <cell r="C603" t="str">
            <v>NANA KOJO QUANSAH</v>
          </cell>
          <cell r="D603" t="str">
            <v>PV0474274</v>
          </cell>
          <cell r="E603" t="str">
            <v>Savings  withdrawal</v>
          </cell>
          <cell r="F603" t="str">
            <v>OK</v>
          </cell>
          <cell r="J603">
            <v>2500</v>
          </cell>
          <cell r="M603">
            <v>2500</v>
          </cell>
        </row>
        <row r="604">
          <cell r="A604">
            <v>42248</v>
          </cell>
          <cell r="B604">
            <v>56420</v>
          </cell>
          <cell r="C604" t="str">
            <v>Travel &amp; Transport (incl. Motor, Fuel and Taxi fare expenses)</v>
          </cell>
          <cell r="D604" t="str">
            <v>PV0474275</v>
          </cell>
          <cell r="E604" t="str">
            <v>T&amp;T to Mr.Okyeahene's School</v>
          </cell>
          <cell r="F604" t="str">
            <v>OK</v>
          </cell>
          <cell r="H604">
            <v>10</v>
          </cell>
        </row>
        <row r="605">
          <cell r="A605">
            <v>42248</v>
          </cell>
          <cell r="B605">
            <v>338</v>
          </cell>
          <cell r="C605" t="str">
            <v>AGARTHA BOTCHWAY</v>
          </cell>
          <cell r="D605" t="str">
            <v>RV0165094</v>
          </cell>
          <cell r="E605" t="str">
            <v>Cash  Deposit</v>
          </cell>
          <cell r="F605" t="str">
            <v>OK</v>
          </cell>
          <cell r="G605">
            <v>10</v>
          </cell>
          <cell r="N605">
            <v>10</v>
          </cell>
        </row>
        <row r="606">
          <cell r="A606">
            <v>42249</v>
          </cell>
          <cell r="B606">
            <v>178</v>
          </cell>
          <cell r="C606" t="str">
            <v>OSOFO MAAME CLASS</v>
          </cell>
          <cell r="D606" t="str">
            <v>RV0165095</v>
          </cell>
          <cell r="E606" t="str">
            <v>Cash  Deposit</v>
          </cell>
          <cell r="F606" t="str">
            <v>OK</v>
          </cell>
          <cell r="G606">
            <v>73</v>
          </cell>
          <cell r="N606">
            <v>73</v>
          </cell>
        </row>
        <row r="607">
          <cell r="A607">
            <v>42249</v>
          </cell>
          <cell r="B607">
            <v>365</v>
          </cell>
          <cell r="C607" t="str">
            <v>RACHEAL VISSION WORKERS</v>
          </cell>
          <cell r="D607" t="str">
            <v>RV0165096</v>
          </cell>
          <cell r="E607" t="str">
            <v>Cash  Deposit</v>
          </cell>
          <cell r="F607" t="str">
            <v>OK</v>
          </cell>
          <cell r="G607">
            <v>43</v>
          </cell>
          <cell r="N607">
            <v>43</v>
          </cell>
        </row>
        <row r="608">
          <cell r="A608">
            <v>42249</v>
          </cell>
          <cell r="B608">
            <v>300</v>
          </cell>
          <cell r="C608" t="str">
            <v>CIRCUIT WOMEN'S FELLOWSHIP METH.</v>
          </cell>
          <cell r="D608" t="str">
            <v>RV0165097</v>
          </cell>
          <cell r="E608" t="str">
            <v>Cash  Deposit</v>
          </cell>
          <cell r="F608" t="str">
            <v>OK</v>
          </cell>
          <cell r="G608">
            <v>45</v>
          </cell>
          <cell r="N608">
            <v>45</v>
          </cell>
        </row>
        <row r="609">
          <cell r="A609">
            <v>42249</v>
          </cell>
          <cell r="B609">
            <v>301</v>
          </cell>
          <cell r="C609" t="str">
            <v>ELIZABETH QUAYE</v>
          </cell>
          <cell r="D609" t="str">
            <v>RV0165098</v>
          </cell>
          <cell r="E609" t="str">
            <v>Loan repayment / interest</v>
          </cell>
          <cell r="F609" t="str">
            <v>OK</v>
          </cell>
          <cell r="G609">
            <v>45</v>
          </cell>
          <cell r="R609">
            <v>38.75</v>
          </cell>
          <cell r="AQ609">
            <v>6.25</v>
          </cell>
        </row>
        <row r="610">
          <cell r="A610">
            <v>42249</v>
          </cell>
          <cell r="B610">
            <v>300</v>
          </cell>
          <cell r="C610" t="str">
            <v>CIRCUIT WOMEN'S FELLOWSHIP METH.</v>
          </cell>
          <cell r="D610" t="str">
            <v>PV0474276</v>
          </cell>
          <cell r="E610" t="str">
            <v>Savings  withdrawal</v>
          </cell>
          <cell r="F610" t="str">
            <v>OK</v>
          </cell>
          <cell r="H610">
            <v>500</v>
          </cell>
          <cell r="M610">
            <v>500</v>
          </cell>
        </row>
        <row r="611">
          <cell r="A611">
            <v>42249</v>
          </cell>
          <cell r="B611">
            <v>326</v>
          </cell>
          <cell r="C611" t="str">
            <v>OPEIKUMA TOWN METHODIST CH.</v>
          </cell>
          <cell r="D611" t="str">
            <v>PV0474277</v>
          </cell>
          <cell r="E611" t="str">
            <v>Savings  withdrawal</v>
          </cell>
          <cell r="F611" t="str">
            <v>OK</v>
          </cell>
          <cell r="H611">
            <v>170</v>
          </cell>
          <cell r="M611">
            <v>170</v>
          </cell>
        </row>
        <row r="612">
          <cell r="A612">
            <v>42249</v>
          </cell>
          <cell r="B612">
            <v>53400</v>
          </cell>
          <cell r="C612" t="str">
            <v>Repairs and Maintenance of office premises</v>
          </cell>
          <cell r="D612" t="str">
            <v>PV0474278</v>
          </cell>
          <cell r="E612" t="str">
            <v>Repair of office door</v>
          </cell>
          <cell r="F612" t="str">
            <v>OK</v>
          </cell>
          <cell r="H612">
            <v>35</v>
          </cell>
        </row>
        <row r="613">
          <cell r="C613" t="str">
            <v>&lt;-- enter valid PB./Acc. # in this cell!</v>
          </cell>
          <cell r="F613" t="str">
            <v>OK</v>
          </cell>
        </row>
        <row r="614">
          <cell r="C614" t="str">
            <v>&lt;-- enter valid PB./Acc. # in this cell!</v>
          </cell>
          <cell r="F614" t="str">
            <v>OK</v>
          </cell>
        </row>
        <row r="615">
          <cell r="C615" t="str">
            <v>&lt;-- enter valid PB./Acc. # in this cell!</v>
          </cell>
          <cell r="F615" t="str">
            <v>OK</v>
          </cell>
        </row>
        <row r="616">
          <cell r="C616" t="str">
            <v>&lt;-- enter valid PB./Acc. # in this cell!</v>
          </cell>
          <cell r="F616" t="str">
            <v>OK</v>
          </cell>
        </row>
        <row r="617">
          <cell r="C617" t="str">
            <v>&lt;-- enter valid PB./Acc. # in this cell!</v>
          </cell>
          <cell r="F617" t="str">
            <v>OK</v>
          </cell>
        </row>
        <row r="618">
          <cell r="C618" t="str">
            <v>&lt;-- enter valid PB./Acc. # in this cell!</v>
          </cell>
          <cell r="F618" t="str">
            <v>OK</v>
          </cell>
        </row>
        <row r="619">
          <cell r="C619" t="str">
            <v>&lt;-- enter valid PB./Acc. # in this cell!</v>
          </cell>
          <cell r="F619" t="str">
            <v>OK</v>
          </cell>
        </row>
        <row r="620">
          <cell r="C620" t="str">
            <v>&lt;-- enter valid PB./Acc. # in this cell!</v>
          </cell>
          <cell r="F620" t="str">
            <v>OK</v>
          </cell>
        </row>
        <row r="621">
          <cell r="C621" t="str">
            <v>&lt;-- enter valid PB./Acc. # in this cell!</v>
          </cell>
          <cell r="F621" t="str">
            <v>OK</v>
          </cell>
        </row>
        <row r="622">
          <cell r="C622" t="str">
            <v>&lt;-- enter valid PB./Acc. # in this cell!</v>
          </cell>
          <cell r="F622" t="str">
            <v>OK</v>
          </cell>
        </row>
        <row r="623">
          <cell r="C623" t="str">
            <v>&lt;-- enter valid PB./Acc. # in this cell!</v>
          </cell>
          <cell r="F623" t="str">
            <v>OK</v>
          </cell>
        </row>
        <row r="624">
          <cell r="C624" t="str">
            <v>&lt;-- enter valid PB./Acc. # in this cell!</v>
          </cell>
          <cell r="F624" t="str">
            <v>OK</v>
          </cell>
        </row>
        <row r="625">
          <cell r="C625" t="str">
            <v>&lt;-- enter valid PB./Acc. # in this cell!</v>
          </cell>
          <cell r="F625" t="str">
            <v>OK</v>
          </cell>
        </row>
        <row r="626">
          <cell r="C626" t="str">
            <v>&lt;-- enter valid PB./Acc. # in this cell!</v>
          </cell>
          <cell r="F626" t="str">
            <v>OK</v>
          </cell>
        </row>
        <row r="627">
          <cell r="C627" t="str">
            <v>&lt;-- enter valid PB./Acc. # in this cell!</v>
          </cell>
          <cell r="F627" t="str">
            <v>OK</v>
          </cell>
        </row>
        <row r="628">
          <cell r="C628" t="str">
            <v>&lt;-- enter valid PB./Acc. # in this cell!</v>
          </cell>
          <cell r="F628" t="str">
            <v>OK</v>
          </cell>
        </row>
        <row r="629">
          <cell r="C629" t="str">
            <v>&lt;-- enter valid PB./Acc. # in this cell!</v>
          </cell>
          <cell r="F629" t="str">
            <v>OK</v>
          </cell>
        </row>
        <row r="630">
          <cell r="C630" t="str">
            <v>&lt;-- enter valid PB./Acc. # in this cell!</v>
          </cell>
          <cell r="F630" t="str">
            <v>OK</v>
          </cell>
        </row>
        <row r="631">
          <cell r="C631" t="str">
            <v>&lt;-- enter valid PB./Acc. # in this cell!</v>
          </cell>
          <cell r="F631" t="str">
            <v>OK</v>
          </cell>
        </row>
        <row r="632">
          <cell r="C632" t="str">
            <v>&lt;-- enter valid PB./Acc. # in this cell!</v>
          </cell>
          <cell r="F632" t="str">
            <v>OK</v>
          </cell>
        </row>
        <row r="633">
          <cell r="C633" t="str">
            <v>&lt;-- enter valid PB./Acc. # in this cell!</v>
          </cell>
          <cell r="F633" t="str">
            <v>OK</v>
          </cell>
        </row>
        <row r="634">
          <cell r="C634" t="str">
            <v>&lt;-- enter valid PB./Acc. # in this cell!</v>
          </cell>
          <cell r="F634" t="str">
            <v>OK</v>
          </cell>
        </row>
        <row r="635">
          <cell r="C635" t="str">
            <v>&lt;-- enter valid PB./Acc. # in this cell!</v>
          </cell>
          <cell r="F635" t="str">
            <v>OK</v>
          </cell>
        </row>
        <row r="636">
          <cell r="C636" t="str">
            <v>&lt;-- enter valid PB./Acc. # in this cell!</v>
          </cell>
          <cell r="F636" t="str">
            <v>OK</v>
          </cell>
        </row>
        <row r="637">
          <cell r="C637" t="str">
            <v>&lt;-- enter valid PB./Acc. # in this cell!</v>
          </cell>
          <cell r="F637" t="str">
            <v>OK</v>
          </cell>
        </row>
        <row r="638">
          <cell r="C638" t="str">
            <v>&lt;-- enter valid PB./Acc. # in this cell!</v>
          </cell>
          <cell r="F638" t="str">
            <v>OK</v>
          </cell>
        </row>
        <row r="639">
          <cell r="C639" t="str">
            <v>&lt;-- enter valid PB./Acc. # in this cell!</v>
          </cell>
          <cell r="F639" t="str">
            <v>OK</v>
          </cell>
        </row>
        <row r="640">
          <cell r="C640" t="str">
            <v>&lt;-- enter valid PB./Acc. # in this cell!</v>
          </cell>
          <cell r="F640" t="str">
            <v>OK</v>
          </cell>
        </row>
        <row r="641">
          <cell r="C641" t="str">
            <v>&lt;-- enter valid PB./Acc. # in this cell!</v>
          </cell>
          <cell r="F641" t="str">
            <v>OK</v>
          </cell>
        </row>
        <row r="642">
          <cell r="C642" t="str">
            <v>&lt;-- enter valid PB./Acc. # in this cell!</v>
          </cell>
          <cell r="F642" t="str">
            <v>OK</v>
          </cell>
        </row>
        <row r="643">
          <cell r="C643" t="str">
            <v>&lt;-- enter valid PB./Acc. # in this cell!</v>
          </cell>
          <cell r="F643" t="str">
            <v>OK</v>
          </cell>
        </row>
        <row r="644">
          <cell r="C644" t="str">
            <v>&lt;-- enter valid PB./Acc. # in this cell!</v>
          </cell>
          <cell r="F644" t="str">
            <v>OK</v>
          </cell>
        </row>
        <row r="645">
          <cell r="C645" t="str">
            <v>&lt;-- enter valid PB./Acc. # in this cell!</v>
          </cell>
          <cell r="F645" t="str">
            <v>OK</v>
          </cell>
        </row>
        <row r="646">
          <cell r="C646" t="str">
            <v>&lt;-- enter valid PB./Acc. # in this cell!</v>
          </cell>
          <cell r="F646" t="str">
            <v>OK</v>
          </cell>
        </row>
        <row r="647">
          <cell r="C647" t="str">
            <v>&lt;-- enter valid PB./Acc. # in this cell!</v>
          </cell>
          <cell r="F647" t="str">
            <v>OK</v>
          </cell>
        </row>
        <row r="648">
          <cell r="C648" t="str">
            <v>&lt;-- enter valid PB./Acc. # in this cell!</v>
          </cell>
          <cell r="F648" t="str">
            <v>OK</v>
          </cell>
        </row>
        <row r="649">
          <cell r="C649" t="str">
            <v>&lt;-- enter valid PB./Acc. # in this cell!</v>
          </cell>
          <cell r="F649" t="str">
            <v>OK</v>
          </cell>
        </row>
        <row r="650">
          <cell r="C650" t="str">
            <v>&lt;-- enter valid PB./Acc. # in this cell!</v>
          </cell>
          <cell r="F650" t="str">
            <v>OK</v>
          </cell>
        </row>
        <row r="651">
          <cell r="C651" t="str">
            <v>&lt;-- enter valid PB./Acc. # in this cell!</v>
          </cell>
          <cell r="F651" t="str">
            <v>OK</v>
          </cell>
        </row>
        <row r="652">
          <cell r="C652" t="str">
            <v>&lt;-- enter valid PB./Acc. # in this cell!</v>
          </cell>
          <cell r="F652" t="str">
            <v>OK</v>
          </cell>
        </row>
        <row r="653">
          <cell r="C653" t="str">
            <v>&lt;-- enter valid PB./Acc. # in this cell!</v>
          </cell>
          <cell r="F653" t="str">
            <v>OK</v>
          </cell>
        </row>
        <row r="654">
          <cell r="C654" t="str">
            <v>&lt;-- enter valid PB./Acc. # in this cell!</v>
          </cell>
          <cell r="F654" t="str">
            <v>OK</v>
          </cell>
        </row>
        <row r="655">
          <cell r="C655" t="str">
            <v>&lt;-- enter valid PB./Acc. # in this cell!</v>
          </cell>
          <cell r="F655" t="str">
            <v>OK</v>
          </cell>
        </row>
        <row r="656">
          <cell r="C656" t="str">
            <v>&lt;-- enter valid PB./Acc. # in this cell!</v>
          </cell>
          <cell r="F656" t="str">
            <v>OK</v>
          </cell>
        </row>
        <row r="657">
          <cell r="C657" t="str">
            <v>&lt;-- enter valid PB./Acc. # in this cell!</v>
          </cell>
          <cell r="F657" t="str">
            <v>OK</v>
          </cell>
        </row>
        <row r="658">
          <cell r="C658" t="str">
            <v>&lt;-- enter valid PB./Acc. # in this cell!</v>
          </cell>
          <cell r="F658" t="str">
            <v>OK</v>
          </cell>
        </row>
        <row r="659">
          <cell r="C659" t="str">
            <v>&lt;-- enter valid PB./Acc. # in this cell!</v>
          </cell>
          <cell r="F659" t="str">
            <v>OK</v>
          </cell>
        </row>
        <row r="660">
          <cell r="C660" t="str">
            <v>&lt;-- enter valid PB./Acc. # in this cell!</v>
          </cell>
          <cell r="F660" t="str">
            <v>OK</v>
          </cell>
        </row>
        <row r="661">
          <cell r="C661" t="str">
            <v>&lt;-- enter valid PB./Acc. # in this cell!</v>
          </cell>
          <cell r="F661" t="str">
            <v>OK</v>
          </cell>
        </row>
        <row r="662">
          <cell r="C662" t="str">
            <v>&lt;-- enter valid PB./Acc. # in this cell!</v>
          </cell>
          <cell r="F662" t="str">
            <v>OK</v>
          </cell>
        </row>
        <row r="663">
          <cell r="C663" t="str">
            <v>&lt;-- enter valid PB./Acc. # in this cell!</v>
          </cell>
          <cell r="F663" t="str">
            <v>OK</v>
          </cell>
        </row>
        <row r="664">
          <cell r="C664" t="str">
            <v>&lt;-- enter valid PB./Acc. # in this cell!</v>
          </cell>
          <cell r="F664" t="str">
            <v>OK</v>
          </cell>
        </row>
        <row r="665">
          <cell r="C665" t="str">
            <v>&lt;-- enter valid PB./Acc. # in this cell!</v>
          </cell>
          <cell r="F665" t="str">
            <v>OK</v>
          </cell>
        </row>
        <row r="666">
          <cell r="C666" t="str">
            <v>&lt;-- enter valid PB./Acc. # in this cell!</v>
          </cell>
          <cell r="F666" t="str">
            <v>OK</v>
          </cell>
        </row>
        <row r="667">
          <cell r="C667" t="str">
            <v>&lt;-- enter valid PB./Acc. # in this cell!</v>
          </cell>
          <cell r="F667" t="str">
            <v>OK</v>
          </cell>
        </row>
        <row r="668">
          <cell r="C668" t="str">
            <v>&lt;-- enter valid PB./Acc. # in this cell!</v>
          </cell>
          <cell r="F668" t="str">
            <v>OK</v>
          </cell>
        </row>
        <row r="669">
          <cell r="C669" t="str">
            <v>&lt;-- enter valid PB./Acc. # in this cell!</v>
          </cell>
          <cell r="F669" t="str">
            <v>OK</v>
          </cell>
        </row>
        <row r="670">
          <cell r="C670" t="str">
            <v>&lt;-- enter valid PB./Acc. # in this cell!</v>
          </cell>
          <cell r="F670" t="str">
            <v>OK</v>
          </cell>
        </row>
        <row r="671">
          <cell r="C671" t="str">
            <v>&lt;-- enter valid PB./Acc. # in this cell!</v>
          </cell>
          <cell r="F671" t="str">
            <v>OK</v>
          </cell>
        </row>
        <row r="672">
          <cell r="C672" t="str">
            <v>&lt;-- enter valid PB./Acc. # in this cell!</v>
          </cell>
          <cell r="F672" t="str">
            <v>OK</v>
          </cell>
        </row>
        <row r="673">
          <cell r="C673" t="str">
            <v>&lt;-- enter valid PB./Acc. # in this cell!</v>
          </cell>
          <cell r="F673" t="str">
            <v>OK</v>
          </cell>
        </row>
        <row r="674">
          <cell r="C674" t="str">
            <v>&lt;-- enter valid PB./Acc. # in this cell!</v>
          </cell>
          <cell r="F674" t="str">
            <v>OK</v>
          </cell>
        </row>
        <row r="675">
          <cell r="C675" t="str">
            <v>&lt;-- enter valid PB./Acc. # in this cell!</v>
          </cell>
          <cell r="F675" t="str">
            <v>OK</v>
          </cell>
        </row>
        <row r="676">
          <cell r="C676" t="str">
            <v>&lt;-- enter valid PB./Acc. # in this cell!</v>
          </cell>
          <cell r="F676" t="str">
            <v>OK</v>
          </cell>
        </row>
        <row r="677">
          <cell r="C677" t="str">
            <v>&lt;-- enter valid PB./Acc. # in this cell!</v>
          </cell>
          <cell r="F677" t="str">
            <v>OK</v>
          </cell>
        </row>
        <row r="678">
          <cell r="C678" t="str">
            <v>&lt;-- enter valid PB./Acc. # in this cell!</v>
          </cell>
          <cell r="F678" t="str">
            <v>OK</v>
          </cell>
        </row>
        <row r="679">
          <cell r="C679" t="str">
            <v>&lt;-- enter valid PB./Acc. # in this cell!</v>
          </cell>
          <cell r="F679" t="str">
            <v>OK</v>
          </cell>
        </row>
        <row r="680">
          <cell r="C680" t="str">
            <v>&lt;-- enter valid PB./Acc. # in this cell!</v>
          </cell>
          <cell r="F680" t="str">
            <v>OK</v>
          </cell>
        </row>
        <row r="681">
          <cell r="C681" t="str">
            <v>&lt;-- enter valid PB./Acc. # in this cell!</v>
          </cell>
          <cell r="F681" t="str">
            <v>OK</v>
          </cell>
        </row>
        <row r="682">
          <cell r="C682" t="str">
            <v>&lt;-- enter valid PB./Acc. # in this cell!</v>
          </cell>
          <cell r="F682" t="str">
            <v>OK</v>
          </cell>
        </row>
        <row r="683">
          <cell r="C683" t="str">
            <v>&lt;-- enter valid PB./Acc. # in this cell!</v>
          </cell>
          <cell r="F683" t="str">
            <v>OK</v>
          </cell>
        </row>
        <row r="684">
          <cell r="C684" t="str">
            <v>&lt;-- enter valid PB./Acc. # in this cell!</v>
          </cell>
          <cell r="F684" t="str">
            <v>OK</v>
          </cell>
        </row>
        <row r="685">
          <cell r="C685" t="str">
            <v>&lt;-- enter valid PB./Acc. # in this cell!</v>
          </cell>
          <cell r="F685" t="str">
            <v>OK</v>
          </cell>
        </row>
        <row r="686">
          <cell r="C686" t="str">
            <v>&lt;-- enter valid PB./Acc. # in this cell!</v>
          </cell>
          <cell r="F686" t="str">
            <v>OK</v>
          </cell>
        </row>
        <row r="687">
          <cell r="C687" t="str">
            <v>&lt;-- enter valid PB./Acc. # in this cell!</v>
          </cell>
          <cell r="F687" t="str">
            <v>OK</v>
          </cell>
        </row>
        <row r="688">
          <cell r="C688" t="str">
            <v>&lt;-- enter valid PB./Acc. # in this cell!</v>
          </cell>
          <cell r="F688" t="str">
            <v>OK</v>
          </cell>
        </row>
        <row r="689">
          <cell r="C689" t="str">
            <v>&lt;-- enter valid PB./Acc. # in this cell!</v>
          </cell>
          <cell r="F689" t="str">
            <v>OK</v>
          </cell>
        </row>
        <row r="690">
          <cell r="C690" t="str">
            <v>&lt;-- enter valid PB./Acc. # in this cell!</v>
          </cell>
          <cell r="F690" t="str">
            <v>OK</v>
          </cell>
        </row>
        <row r="691">
          <cell r="C691" t="str">
            <v>&lt;-- enter valid PB./Acc. # in this cell!</v>
          </cell>
          <cell r="F691" t="str">
            <v>OK</v>
          </cell>
        </row>
        <row r="692">
          <cell r="C692" t="str">
            <v>&lt;-- enter valid PB./Acc. # in this cell!</v>
          </cell>
          <cell r="F692" t="str">
            <v>OK</v>
          </cell>
        </row>
        <row r="693">
          <cell r="C693" t="str">
            <v>&lt;-- enter valid PB./Acc. # in this cell!</v>
          </cell>
          <cell r="F693" t="str">
            <v>OK</v>
          </cell>
        </row>
        <row r="694">
          <cell r="C694" t="str">
            <v>&lt;-- enter valid PB./Acc. # in this cell!</v>
          </cell>
          <cell r="F694" t="str">
            <v>OK</v>
          </cell>
        </row>
        <row r="695">
          <cell r="C695" t="str">
            <v>&lt;-- enter valid PB./Acc. # in this cell!</v>
          </cell>
          <cell r="F695" t="str">
            <v>OK</v>
          </cell>
        </row>
        <row r="696">
          <cell r="C696" t="str">
            <v>&lt;-- enter valid PB./Acc. # in this cell!</v>
          </cell>
          <cell r="F696" t="str">
            <v>OK</v>
          </cell>
        </row>
        <row r="697">
          <cell r="C697" t="str">
            <v>&lt;-- enter valid PB./Acc. # in this cell!</v>
          </cell>
          <cell r="F697" t="str">
            <v>OK</v>
          </cell>
        </row>
        <row r="698">
          <cell r="C698" t="str">
            <v>&lt;-- enter valid PB./Acc. # in this cell!</v>
          </cell>
          <cell r="F698" t="str">
            <v>OK</v>
          </cell>
        </row>
        <row r="699">
          <cell r="C699" t="str">
            <v>&lt;-- enter valid PB./Acc. # in this cell!</v>
          </cell>
          <cell r="F699" t="str">
            <v>OK</v>
          </cell>
        </row>
        <row r="700">
          <cell r="C700" t="str">
            <v>&lt;-- enter valid PB./Acc. # in this cell!</v>
          </cell>
          <cell r="F700" t="str">
            <v>OK</v>
          </cell>
        </row>
        <row r="701">
          <cell r="C701" t="str">
            <v>&lt;-- enter valid PB./Acc. # in this cell!</v>
          </cell>
          <cell r="F701" t="str">
            <v>OK</v>
          </cell>
        </row>
        <row r="702">
          <cell r="C702" t="str">
            <v>&lt;-- enter valid PB./Acc. # in this cell!</v>
          </cell>
          <cell r="F702" t="str">
            <v>OK</v>
          </cell>
        </row>
        <row r="703">
          <cell r="C703" t="str">
            <v>&lt;-- enter valid PB./Acc. # in this cell!</v>
          </cell>
          <cell r="F703" t="str">
            <v>OK</v>
          </cell>
        </row>
        <row r="704">
          <cell r="C704" t="str">
            <v>&lt;-- enter valid PB./Acc. # in this cell!</v>
          </cell>
          <cell r="F704" t="str">
            <v>OK</v>
          </cell>
        </row>
        <row r="705">
          <cell r="C705" t="str">
            <v>&lt;-- enter valid PB./Acc. # in this cell!</v>
          </cell>
          <cell r="F705" t="str">
            <v>OK</v>
          </cell>
        </row>
        <row r="706">
          <cell r="C706" t="str">
            <v>&lt;-- enter valid PB./Acc. # in this cell!</v>
          </cell>
          <cell r="F706" t="str">
            <v>OK</v>
          </cell>
        </row>
        <row r="707">
          <cell r="C707" t="str">
            <v>&lt;-- enter valid PB./Acc. # in this cell!</v>
          </cell>
          <cell r="F707" t="str">
            <v>OK</v>
          </cell>
        </row>
        <row r="708">
          <cell r="C708" t="str">
            <v>&lt;-- enter valid PB./Acc. # in this cell!</v>
          </cell>
          <cell r="F708" t="str">
            <v>OK</v>
          </cell>
        </row>
        <row r="709">
          <cell r="C709" t="str">
            <v>&lt;-- enter valid PB./Acc. # in this cell!</v>
          </cell>
          <cell r="F709" t="str">
            <v>OK</v>
          </cell>
        </row>
        <row r="710">
          <cell r="C710" t="str">
            <v>&lt;-- enter valid PB./Acc. # in this cell!</v>
          </cell>
          <cell r="F710" t="str">
            <v>OK</v>
          </cell>
        </row>
        <row r="711">
          <cell r="C711" t="str">
            <v>&lt;-- enter valid PB./Acc. # in this cell!</v>
          </cell>
          <cell r="F711" t="str">
            <v>OK</v>
          </cell>
        </row>
        <row r="712">
          <cell r="C712" t="str">
            <v>&lt;-- enter valid PB./Acc. # in this cell!</v>
          </cell>
          <cell r="F712" t="str">
            <v>OK</v>
          </cell>
        </row>
        <row r="713">
          <cell r="C713" t="str">
            <v>&lt;-- enter valid PB./Acc. # in this cell!</v>
          </cell>
          <cell r="F713" t="str">
            <v>OK</v>
          </cell>
        </row>
        <row r="714">
          <cell r="C714" t="str">
            <v>&lt;-- enter valid PB./Acc. # in this cell!</v>
          </cell>
          <cell r="F714" t="str">
            <v>OK</v>
          </cell>
        </row>
        <row r="715">
          <cell r="C715" t="str">
            <v>&lt;-- enter valid PB./Acc. # in this cell!</v>
          </cell>
          <cell r="F715" t="str">
            <v>OK</v>
          </cell>
        </row>
        <row r="716">
          <cell r="C716" t="str">
            <v>&lt;-- enter valid PB./Acc. # in this cell!</v>
          </cell>
          <cell r="F716" t="str">
            <v>OK</v>
          </cell>
        </row>
        <row r="717">
          <cell r="C717" t="str">
            <v>&lt;-- enter valid PB./Acc. # in this cell!</v>
          </cell>
          <cell r="F717" t="str">
            <v>OK</v>
          </cell>
        </row>
        <row r="718">
          <cell r="C718" t="str">
            <v>&lt;-- enter valid PB./Acc. # in this cell!</v>
          </cell>
          <cell r="F718" t="str">
            <v>OK</v>
          </cell>
        </row>
        <row r="719">
          <cell r="C719" t="str">
            <v>&lt;-- enter valid PB./Acc. # in this cell!</v>
          </cell>
          <cell r="F719" t="str">
            <v>OK</v>
          </cell>
        </row>
        <row r="720">
          <cell r="C720" t="str">
            <v>&lt;-- enter valid PB./Acc. # in this cell!</v>
          </cell>
          <cell r="F720" t="str">
            <v>OK</v>
          </cell>
        </row>
        <row r="721">
          <cell r="C721" t="str">
            <v>&lt;-- enter valid PB./Acc. # in this cell!</v>
          </cell>
          <cell r="F721" t="str">
            <v>OK</v>
          </cell>
        </row>
        <row r="722">
          <cell r="C722" t="str">
            <v>&lt;-- enter valid PB./Acc. # in this cell!</v>
          </cell>
          <cell r="F722" t="str">
            <v>OK</v>
          </cell>
        </row>
        <row r="723">
          <cell r="C723" t="str">
            <v>&lt;-- enter valid PB./Acc. # in this cell!</v>
          </cell>
          <cell r="F723" t="str">
            <v>OK</v>
          </cell>
        </row>
        <row r="724">
          <cell r="C724" t="str">
            <v>&lt;-- enter valid PB./Acc. # in this cell!</v>
          </cell>
          <cell r="F724" t="str">
            <v>OK</v>
          </cell>
        </row>
        <row r="725">
          <cell r="C725" t="str">
            <v>&lt;-- enter valid PB./Acc. # in this cell!</v>
          </cell>
          <cell r="F725" t="str">
            <v>OK</v>
          </cell>
        </row>
        <row r="726">
          <cell r="C726" t="str">
            <v>&lt;-- enter valid PB./Acc. # in this cell!</v>
          </cell>
          <cell r="F726" t="str">
            <v>OK</v>
          </cell>
        </row>
        <row r="727">
          <cell r="C727" t="str">
            <v>&lt;-- enter valid PB./Acc. # in this cell!</v>
          </cell>
          <cell r="F727" t="str">
            <v>OK</v>
          </cell>
        </row>
        <row r="728">
          <cell r="C728" t="str">
            <v>&lt;-- enter valid PB./Acc. # in this cell!</v>
          </cell>
          <cell r="F728" t="str">
            <v>OK</v>
          </cell>
        </row>
        <row r="729">
          <cell r="C729" t="str">
            <v>&lt;-- enter valid PB./Acc. # in this cell!</v>
          </cell>
          <cell r="F729" t="str">
            <v>OK</v>
          </cell>
        </row>
        <row r="730">
          <cell r="C730" t="str">
            <v>&lt;-- enter valid PB./Acc. # in this cell!</v>
          </cell>
          <cell r="F730" t="str">
            <v>OK</v>
          </cell>
        </row>
        <row r="731">
          <cell r="C731" t="str">
            <v>&lt;-- enter valid PB./Acc. # in this cell!</v>
          </cell>
          <cell r="F731" t="str">
            <v>OK</v>
          </cell>
        </row>
        <row r="732">
          <cell r="C732" t="str">
            <v>&lt;-- enter valid PB./Acc. # in this cell!</v>
          </cell>
          <cell r="F732" t="str">
            <v>OK</v>
          </cell>
        </row>
        <row r="733">
          <cell r="C733" t="str">
            <v>&lt;-- enter valid PB./Acc. # in this cell!</v>
          </cell>
          <cell r="F733" t="str">
            <v>OK</v>
          </cell>
        </row>
        <row r="734">
          <cell r="C734" t="str">
            <v>&lt;-- enter valid PB./Acc. # in this cell!</v>
          </cell>
          <cell r="F734" t="str">
            <v>OK</v>
          </cell>
        </row>
        <row r="735">
          <cell r="C735" t="str">
            <v>&lt;-- enter valid PB./Acc. # in this cell!</v>
          </cell>
          <cell r="F735" t="str">
            <v>OK</v>
          </cell>
        </row>
        <row r="736">
          <cell r="C736" t="str">
            <v>&lt;-- enter valid PB./Acc. # in this cell!</v>
          </cell>
          <cell r="F736" t="str">
            <v>OK</v>
          </cell>
        </row>
        <row r="737">
          <cell r="C737" t="str">
            <v>&lt;-- enter valid PB./Acc. # in this cell!</v>
          </cell>
          <cell r="F737" t="str">
            <v>OK</v>
          </cell>
        </row>
        <row r="738">
          <cell r="C738" t="str">
            <v>&lt;-- enter valid PB./Acc. # in this cell!</v>
          </cell>
          <cell r="F738" t="str">
            <v>OK</v>
          </cell>
        </row>
        <row r="739">
          <cell r="C739" t="str">
            <v>&lt;-- enter valid PB./Acc. # in this cell!</v>
          </cell>
          <cell r="F739" t="str">
            <v>OK</v>
          </cell>
        </row>
        <row r="740">
          <cell r="C740" t="str">
            <v>&lt;-- enter valid PB./Acc. # in this cell!</v>
          </cell>
          <cell r="F740" t="str">
            <v>OK</v>
          </cell>
        </row>
        <row r="741">
          <cell r="C741" t="str">
            <v>&lt;-- enter valid PB./Acc. # in this cell!</v>
          </cell>
          <cell r="F741" t="str">
            <v>OK</v>
          </cell>
        </row>
        <row r="742">
          <cell r="C742" t="str">
            <v>&lt;-- enter valid PB./Acc. # in this cell!</v>
          </cell>
          <cell r="F742" t="str">
            <v>OK</v>
          </cell>
        </row>
        <row r="743">
          <cell r="C743" t="str">
            <v>&lt;-- enter valid PB./Acc. # in this cell!</v>
          </cell>
          <cell r="F743" t="str">
            <v>OK</v>
          </cell>
        </row>
        <row r="744">
          <cell r="C744" t="str">
            <v>&lt;-- enter valid PB./Acc. # in this cell!</v>
          </cell>
          <cell r="F744" t="str">
            <v>OK</v>
          </cell>
        </row>
        <row r="745">
          <cell r="C745" t="str">
            <v>&lt;-- enter valid PB./Acc. # in this cell!</v>
          </cell>
          <cell r="F745" t="str">
            <v>OK</v>
          </cell>
        </row>
        <row r="746">
          <cell r="C746" t="str">
            <v>&lt;-- enter valid PB./Acc. # in this cell!</v>
          </cell>
          <cell r="F746" t="str">
            <v>OK</v>
          </cell>
        </row>
        <row r="747">
          <cell r="C747" t="str">
            <v>&lt;-- enter valid PB./Acc. # in this cell!</v>
          </cell>
          <cell r="F747" t="str">
            <v>OK</v>
          </cell>
        </row>
        <row r="748">
          <cell r="C748" t="str">
            <v>&lt;-- enter valid PB./Acc. # in this cell!</v>
          </cell>
          <cell r="F748" t="str">
            <v>OK</v>
          </cell>
        </row>
        <row r="749">
          <cell r="C749" t="str">
            <v>&lt;-- enter valid PB./Acc. # in this cell!</v>
          </cell>
          <cell r="F749" t="str">
            <v>OK</v>
          </cell>
        </row>
        <row r="750">
          <cell r="C750" t="str">
            <v>&lt;-- enter valid PB./Acc. # in this cell!</v>
          </cell>
          <cell r="F750" t="str">
            <v>OK</v>
          </cell>
        </row>
        <row r="751">
          <cell r="C751" t="str">
            <v>&lt;-- enter valid PB./Acc. # in this cell!</v>
          </cell>
          <cell r="F751" t="str">
            <v>OK</v>
          </cell>
        </row>
        <row r="752">
          <cell r="C752" t="str">
            <v>&lt;-- enter valid PB./Acc. # in this cell!</v>
          </cell>
          <cell r="F752" t="str">
            <v>OK</v>
          </cell>
        </row>
        <row r="753">
          <cell r="C753" t="str">
            <v>&lt;-- enter valid PB./Acc. # in this cell!</v>
          </cell>
          <cell r="F753" t="str">
            <v>OK</v>
          </cell>
        </row>
        <row r="754">
          <cell r="C754" t="str">
            <v>&lt;-- enter valid PB./Acc. # in this cell!</v>
          </cell>
          <cell r="F754" t="str">
            <v>OK</v>
          </cell>
        </row>
        <row r="755">
          <cell r="C755" t="str">
            <v>&lt;-- enter valid PB./Acc. # in this cell!</v>
          </cell>
          <cell r="F755" t="str">
            <v>OK</v>
          </cell>
        </row>
        <row r="756">
          <cell r="C756" t="str">
            <v>&lt;-- enter valid PB./Acc. # in this cell!</v>
          </cell>
          <cell r="F756" t="str">
            <v>OK</v>
          </cell>
        </row>
        <row r="757">
          <cell r="C757" t="str">
            <v>&lt;-- enter valid PB./Acc. # in this cell!</v>
          </cell>
          <cell r="F757" t="str">
            <v>OK</v>
          </cell>
        </row>
        <row r="758">
          <cell r="C758" t="str">
            <v>&lt;-- enter valid PB./Acc. # in this cell!</v>
          </cell>
          <cell r="F758" t="str">
            <v>OK</v>
          </cell>
        </row>
        <row r="759">
          <cell r="C759" t="str">
            <v>&lt;-- enter valid PB./Acc. # in this cell!</v>
          </cell>
          <cell r="F759" t="str">
            <v>OK</v>
          </cell>
        </row>
        <row r="760">
          <cell r="C760" t="str">
            <v>&lt;-- enter valid PB./Acc. # in this cell!</v>
          </cell>
          <cell r="F760" t="str">
            <v>OK</v>
          </cell>
        </row>
        <row r="761">
          <cell r="C761" t="str">
            <v>&lt;-- enter valid PB./Acc. # in this cell!</v>
          </cell>
          <cell r="F761" t="str">
            <v>OK</v>
          </cell>
        </row>
        <row r="762">
          <cell r="C762" t="str">
            <v>&lt;-- enter valid PB./Acc. # in this cell!</v>
          </cell>
          <cell r="F762" t="str">
            <v>OK</v>
          </cell>
        </row>
        <row r="763">
          <cell r="C763" t="str">
            <v>&lt;-- enter valid PB./Acc. # in this cell!</v>
          </cell>
          <cell r="F763" t="str">
            <v>OK</v>
          </cell>
        </row>
        <row r="764">
          <cell r="C764" t="str">
            <v>&lt;-- enter valid PB./Acc. # in this cell!</v>
          </cell>
          <cell r="F764" t="str">
            <v>OK</v>
          </cell>
        </row>
        <row r="765">
          <cell r="C765" t="str">
            <v>&lt;-- enter valid PB./Acc. # in this cell!</v>
          </cell>
          <cell r="F765" t="str">
            <v>OK</v>
          </cell>
        </row>
        <row r="766">
          <cell r="C766" t="str">
            <v>&lt;-- enter valid PB./Acc. # in this cell!</v>
          </cell>
          <cell r="F766" t="str">
            <v>OK</v>
          </cell>
        </row>
        <row r="767">
          <cell r="C767" t="str">
            <v>&lt;-- enter valid PB./Acc. # in this cell!</v>
          </cell>
          <cell r="F767" t="str">
            <v>OK</v>
          </cell>
        </row>
        <row r="768">
          <cell r="C768" t="str">
            <v>&lt;-- enter valid PB./Acc. # in this cell!</v>
          </cell>
          <cell r="F768" t="str">
            <v>OK</v>
          </cell>
        </row>
        <row r="769">
          <cell r="C769" t="str">
            <v>&lt;-- enter valid PB./Acc. # in this cell!</v>
          </cell>
          <cell r="F769" t="str">
            <v>OK</v>
          </cell>
        </row>
        <row r="770">
          <cell r="C770" t="str">
            <v>&lt;-- enter valid PB./Acc. # in this cell!</v>
          </cell>
          <cell r="F770" t="str">
            <v>OK</v>
          </cell>
        </row>
        <row r="771">
          <cell r="C771" t="str">
            <v>&lt;-- enter valid PB./Acc. # in this cell!</v>
          </cell>
          <cell r="F771" t="str">
            <v>OK</v>
          </cell>
        </row>
        <row r="772">
          <cell r="C772" t="str">
            <v>&lt;-- enter valid PB./Acc. # in this cell!</v>
          </cell>
          <cell r="F772" t="str">
            <v>OK</v>
          </cell>
        </row>
        <row r="773">
          <cell r="C773" t="str">
            <v>&lt;-- enter valid PB./Acc. # in this cell!</v>
          </cell>
          <cell r="F773" t="str">
            <v>OK</v>
          </cell>
        </row>
        <row r="774">
          <cell r="C774" t="str">
            <v>&lt;-- enter valid PB./Acc. # in this cell!</v>
          </cell>
          <cell r="F774" t="str">
            <v>OK</v>
          </cell>
        </row>
        <row r="775">
          <cell r="C775" t="str">
            <v>&lt;-- enter valid PB./Acc. # in this cell!</v>
          </cell>
          <cell r="F775" t="str">
            <v>OK</v>
          </cell>
        </row>
        <row r="776">
          <cell r="C776" t="str">
            <v>&lt;-- enter valid PB./Acc. # in this cell!</v>
          </cell>
          <cell r="F776" t="str">
            <v>OK</v>
          </cell>
        </row>
        <row r="777">
          <cell r="C777" t="str">
            <v>&lt;-- enter valid PB./Acc. # in this cell!</v>
          </cell>
          <cell r="F777" t="str">
            <v>OK</v>
          </cell>
        </row>
        <row r="778">
          <cell r="C778" t="str">
            <v>&lt;-- enter valid PB./Acc. # in this cell!</v>
          </cell>
          <cell r="F778" t="str">
            <v>OK</v>
          </cell>
        </row>
        <row r="779">
          <cell r="C779" t="str">
            <v>&lt;-- enter valid PB./Acc. # in this cell!</v>
          </cell>
          <cell r="F779" t="str">
            <v>OK</v>
          </cell>
        </row>
        <row r="780">
          <cell r="C780" t="str">
            <v>&lt;-- enter valid PB./Acc. # in this cell!</v>
          </cell>
          <cell r="F780" t="str">
            <v>OK</v>
          </cell>
        </row>
        <row r="781">
          <cell r="C781" t="str">
            <v>&lt;-- enter valid PB./Acc. # in this cell!</v>
          </cell>
          <cell r="F781" t="str">
            <v>OK</v>
          </cell>
        </row>
        <row r="782">
          <cell r="C782" t="str">
            <v>&lt;-- enter valid PB./Acc. # in this cell!</v>
          </cell>
          <cell r="F782" t="str">
            <v>OK</v>
          </cell>
        </row>
        <row r="783">
          <cell r="C783" t="str">
            <v>&lt;-- enter valid PB./Acc. # in this cell!</v>
          </cell>
          <cell r="F783" t="str">
            <v>OK</v>
          </cell>
        </row>
        <row r="784">
          <cell r="C784" t="str">
            <v>&lt;-- enter valid PB./Acc. # in this cell!</v>
          </cell>
          <cell r="F784" t="str">
            <v>OK</v>
          </cell>
        </row>
        <row r="785">
          <cell r="C785" t="str">
            <v>&lt;-- enter valid PB./Acc. # in this cell!</v>
          </cell>
          <cell r="F785" t="str">
            <v>OK</v>
          </cell>
        </row>
        <row r="786">
          <cell r="C786" t="str">
            <v>&lt;-- enter valid PB./Acc. # in this cell!</v>
          </cell>
          <cell r="F786" t="str">
            <v>OK</v>
          </cell>
        </row>
        <row r="787">
          <cell r="C787" t="str">
            <v>&lt;-- enter valid PB./Acc. # in this cell!</v>
          </cell>
          <cell r="F787" t="str">
            <v>OK</v>
          </cell>
        </row>
        <row r="788">
          <cell r="C788" t="str">
            <v>&lt;-- enter valid PB./Acc. # in this cell!</v>
          </cell>
          <cell r="F788" t="str">
            <v>OK</v>
          </cell>
        </row>
        <row r="789">
          <cell r="C789" t="str">
            <v>&lt;-- enter valid PB./Acc. # in this cell!</v>
          </cell>
          <cell r="F789" t="str">
            <v>OK</v>
          </cell>
        </row>
        <row r="790">
          <cell r="C790" t="str">
            <v>&lt;-- enter valid PB./Acc. # in this cell!</v>
          </cell>
          <cell r="F790" t="str">
            <v>OK</v>
          </cell>
        </row>
        <row r="791">
          <cell r="C791" t="str">
            <v>&lt;-- enter valid PB./Acc. # in this cell!</v>
          </cell>
          <cell r="F791" t="str">
            <v>OK</v>
          </cell>
        </row>
        <row r="792">
          <cell r="C792" t="str">
            <v>&lt;-- enter valid PB./Acc. # in this cell!</v>
          </cell>
          <cell r="F792" t="str">
            <v>OK</v>
          </cell>
        </row>
        <row r="793">
          <cell r="C793" t="str">
            <v>&lt;-- enter valid PB./Acc. # in this cell!</v>
          </cell>
          <cell r="F793" t="str">
            <v>OK</v>
          </cell>
        </row>
        <row r="794">
          <cell r="C794" t="str">
            <v>&lt;-- enter valid PB./Acc. # in this cell!</v>
          </cell>
          <cell r="F794" t="str">
            <v>OK</v>
          </cell>
        </row>
        <row r="795">
          <cell r="C795" t="str">
            <v>&lt;-- enter valid PB./Acc. # in this cell!</v>
          </cell>
          <cell r="F795" t="str">
            <v>OK</v>
          </cell>
        </row>
        <row r="796">
          <cell r="C796" t="str">
            <v>&lt;-- enter valid PB./Acc. # in this cell!</v>
          </cell>
          <cell r="F796" t="str">
            <v>OK</v>
          </cell>
        </row>
        <row r="797">
          <cell r="C797" t="str">
            <v>&lt;-- enter valid PB./Acc. # in this cell!</v>
          </cell>
          <cell r="F797" t="str">
            <v>OK</v>
          </cell>
        </row>
        <row r="798">
          <cell r="C798" t="str">
            <v>&lt;-- enter valid PB./Acc. # in this cell!</v>
          </cell>
          <cell r="F798" t="str">
            <v>OK</v>
          </cell>
        </row>
        <row r="799">
          <cell r="C799" t="str">
            <v>&lt;-- enter valid PB./Acc. # in this cell!</v>
          </cell>
          <cell r="F799" t="str">
            <v>OK</v>
          </cell>
        </row>
        <row r="800">
          <cell r="C800" t="str">
            <v>&lt;-- enter valid PB./Acc. # in this cell!</v>
          </cell>
          <cell r="F800" t="str">
            <v>OK</v>
          </cell>
        </row>
        <row r="801">
          <cell r="C801" t="str">
            <v>&lt;-- enter valid PB./Acc. # in this cell!</v>
          </cell>
          <cell r="F801" t="str">
            <v>OK</v>
          </cell>
        </row>
        <row r="802">
          <cell r="C802" t="str">
            <v>&lt;-- enter valid PB./Acc. # in this cell!</v>
          </cell>
          <cell r="F802" t="str">
            <v>OK</v>
          </cell>
        </row>
        <row r="803">
          <cell r="C803" t="str">
            <v>&lt;-- enter valid PB./Acc. # in this cell!</v>
          </cell>
          <cell r="F803" t="str">
            <v>OK</v>
          </cell>
        </row>
        <row r="804">
          <cell r="C804" t="str">
            <v>&lt;-- enter valid PB./Acc. # in this cell!</v>
          </cell>
          <cell r="F804" t="str">
            <v>OK</v>
          </cell>
        </row>
        <row r="805">
          <cell r="C805" t="str">
            <v>&lt;-- enter valid PB./Acc. # in this cell!</v>
          </cell>
          <cell r="F805" t="str">
            <v>OK</v>
          </cell>
        </row>
        <row r="806">
          <cell r="C806" t="str">
            <v>&lt;-- enter valid PB./Acc. # in this cell!</v>
          </cell>
          <cell r="F806" t="str">
            <v>OK</v>
          </cell>
        </row>
        <row r="807">
          <cell r="C807" t="str">
            <v>&lt;-- enter valid PB./Acc. # in this cell!</v>
          </cell>
          <cell r="F807" t="str">
            <v>OK</v>
          </cell>
        </row>
        <row r="808">
          <cell r="C808" t="str">
            <v>&lt;-- enter valid PB./Acc. # in this cell!</v>
          </cell>
          <cell r="F808" t="str">
            <v>OK</v>
          </cell>
        </row>
        <row r="809">
          <cell r="C809" t="str">
            <v>&lt;-- enter valid PB./Acc. # in this cell!</v>
          </cell>
          <cell r="F809" t="str">
            <v>OK</v>
          </cell>
        </row>
        <row r="810">
          <cell r="C810" t="str">
            <v>&lt;-- enter valid PB./Acc. # in this cell!</v>
          </cell>
          <cell r="F810" t="str">
            <v>OK</v>
          </cell>
        </row>
        <row r="811">
          <cell r="C811" t="str">
            <v>&lt;-- enter valid PB./Acc. # in this cell!</v>
          </cell>
          <cell r="F811" t="str">
            <v>OK</v>
          </cell>
        </row>
        <row r="812">
          <cell r="C812" t="str">
            <v>&lt;-- enter valid PB./Acc. # in this cell!</v>
          </cell>
          <cell r="F812" t="str">
            <v>OK</v>
          </cell>
        </row>
        <row r="813">
          <cell r="C813" t="str">
            <v>&lt;-- enter valid PB./Acc. # in this cell!</v>
          </cell>
          <cell r="F813" t="str">
            <v>OK</v>
          </cell>
        </row>
        <row r="814">
          <cell r="C814" t="str">
            <v>&lt;-- enter valid PB./Acc. # in this cell!</v>
          </cell>
          <cell r="F814" t="str">
            <v>OK</v>
          </cell>
        </row>
        <row r="815">
          <cell r="C815" t="str">
            <v>&lt;-- enter valid PB./Acc. # in this cell!</v>
          </cell>
          <cell r="F815" t="str">
            <v>OK</v>
          </cell>
        </row>
        <row r="816">
          <cell r="C816" t="str">
            <v>&lt;-- enter valid PB./Acc. # in this cell!</v>
          </cell>
          <cell r="F816" t="str">
            <v>OK</v>
          </cell>
        </row>
        <row r="817">
          <cell r="C817" t="str">
            <v>&lt;-- enter valid PB./Acc. # in this cell!</v>
          </cell>
          <cell r="F817" t="str">
            <v>OK</v>
          </cell>
        </row>
        <row r="818">
          <cell r="C818" t="str">
            <v>&lt;-- enter valid PB./Acc. # in this cell!</v>
          </cell>
          <cell r="F818" t="str">
            <v>OK</v>
          </cell>
        </row>
        <row r="819">
          <cell r="C819" t="str">
            <v>&lt;-- enter valid PB./Acc. # in this cell!</v>
          </cell>
          <cell r="F819" t="str">
            <v>OK</v>
          </cell>
        </row>
        <row r="820">
          <cell r="C820" t="str">
            <v>&lt;-- enter valid PB./Acc. # in this cell!</v>
          </cell>
          <cell r="F820" t="str">
            <v>OK</v>
          </cell>
        </row>
        <row r="821">
          <cell r="C821" t="str">
            <v>&lt;-- enter valid PB./Acc. # in this cell!</v>
          </cell>
          <cell r="F821" t="str">
            <v>OK</v>
          </cell>
        </row>
        <row r="822">
          <cell r="C822" t="str">
            <v>&lt;-- enter valid PB./Acc. # in this cell!</v>
          </cell>
          <cell r="F822" t="str">
            <v>OK</v>
          </cell>
        </row>
        <row r="823">
          <cell r="C823" t="str">
            <v>&lt;-- enter valid PB./Acc. # in this cell!</v>
          </cell>
          <cell r="F823" t="str">
            <v>OK</v>
          </cell>
        </row>
        <row r="824">
          <cell r="C824" t="str">
            <v>&lt;-- enter valid PB./Acc. # in this cell!</v>
          </cell>
          <cell r="F824" t="str">
            <v>OK</v>
          </cell>
        </row>
        <row r="825">
          <cell r="C825" t="str">
            <v>&lt;-- enter valid PB./Acc. # in this cell!</v>
          </cell>
          <cell r="F825" t="str">
            <v>OK</v>
          </cell>
        </row>
        <row r="826">
          <cell r="C826" t="str">
            <v>&lt;-- enter valid PB./Acc. # in this cell!</v>
          </cell>
          <cell r="F826" t="str">
            <v>OK</v>
          </cell>
        </row>
        <row r="827">
          <cell r="C827" t="str">
            <v>&lt;-- enter valid PB./Acc. # in this cell!</v>
          </cell>
          <cell r="F827" t="str">
            <v>OK</v>
          </cell>
        </row>
        <row r="828">
          <cell r="C828" t="str">
            <v>&lt;-- enter valid PB./Acc. # in this cell!</v>
          </cell>
          <cell r="F828" t="str">
            <v>OK</v>
          </cell>
        </row>
        <row r="829">
          <cell r="C829" t="str">
            <v>&lt;-- enter valid PB./Acc. # in this cell!</v>
          </cell>
          <cell r="F829" t="str">
            <v>OK</v>
          </cell>
        </row>
        <row r="830">
          <cell r="C830" t="str">
            <v>&lt;-- enter valid PB./Acc. # in this cell!</v>
          </cell>
          <cell r="F830" t="str">
            <v>OK</v>
          </cell>
        </row>
        <row r="831">
          <cell r="C831" t="str">
            <v>&lt;-- enter valid PB./Acc. # in this cell!</v>
          </cell>
          <cell r="F831" t="str">
            <v>OK</v>
          </cell>
        </row>
        <row r="832">
          <cell r="C832" t="str">
            <v>&lt;-- enter valid PB./Acc. # in this cell!</v>
          </cell>
          <cell r="F832" t="str">
            <v>OK</v>
          </cell>
        </row>
        <row r="833">
          <cell r="C833" t="str">
            <v>&lt;-- enter valid PB./Acc. # in this cell!</v>
          </cell>
          <cell r="F833" t="str">
            <v>OK</v>
          </cell>
        </row>
        <row r="834">
          <cell r="C834" t="str">
            <v>&lt;-- enter valid PB./Acc. # in this cell!</v>
          </cell>
          <cell r="F834" t="str">
            <v>OK</v>
          </cell>
        </row>
        <row r="835">
          <cell r="C835" t="str">
            <v>&lt;-- enter valid PB./Acc. # in this cell!</v>
          </cell>
          <cell r="F835" t="str">
            <v>OK</v>
          </cell>
        </row>
        <row r="836">
          <cell r="C836" t="str">
            <v>&lt;-- enter valid PB./Acc. # in this cell!</v>
          </cell>
          <cell r="F836" t="str">
            <v>OK</v>
          </cell>
        </row>
        <row r="837">
          <cell r="C837" t="str">
            <v>&lt;-- enter valid PB./Acc. # in this cell!</v>
          </cell>
          <cell r="F837" t="str">
            <v>OK</v>
          </cell>
        </row>
        <row r="838">
          <cell r="C838" t="str">
            <v>&lt;-- enter valid PB./Acc. # in this cell!</v>
          </cell>
          <cell r="F838" t="str">
            <v>OK</v>
          </cell>
        </row>
        <row r="839">
          <cell r="C839" t="str">
            <v>&lt;-- enter valid PB./Acc. # in this cell!</v>
          </cell>
          <cell r="F839" t="str">
            <v>OK</v>
          </cell>
        </row>
        <row r="840">
          <cell r="C840" t="str">
            <v>&lt;-- enter valid PB./Acc. # in this cell!</v>
          </cell>
          <cell r="F840" t="str">
            <v>OK</v>
          </cell>
        </row>
        <row r="841">
          <cell r="C841" t="str">
            <v>&lt;-- enter valid PB./Acc. # in this cell!</v>
          </cell>
          <cell r="F841" t="str">
            <v>OK</v>
          </cell>
        </row>
        <row r="842">
          <cell r="C842" t="str">
            <v>&lt;-- enter valid PB./Acc. # in this cell!</v>
          </cell>
          <cell r="F842" t="str">
            <v>OK</v>
          </cell>
        </row>
        <row r="843">
          <cell r="C843" t="str">
            <v>&lt;-- enter valid PB./Acc. # in this cell!</v>
          </cell>
          <cell r="F843" t="str">
            <v>OK</v>
          </cell>
        </row>
        <row r="844">
          <cell r="C844" t="str">
            <v>&lt;-- enter valid PB./Acc. # in this cell!</v>
          </cell>
          <cell r="F844" t="str">
            <v>OK</v>
          </cell>
        </row>
        <row r="845">
          <cell r="C845" t="str">
            <v>&lt;-- enter valid PB./Acc. # in this cell!</v>
          </cell>
          <cell r="F845" t="str">
            <v>OK</v>
          </cell>
        </row>
        <row r="846">
          <cell r="C846" t="str">
            <v>&lt;-- enter valid PB./Acc. # in this cell!</v>
          </cell>
          <cell r="F846" t="str">
            <v>OK</v>
          </cell>
        </row>
        <row r="847">
          <cell r="C847" t="str">
            <v>&lt;-- enter valid PB./Acc. # in this cell!</v>
          </cell>
          <cell r="F847" t="str">
            <v>OK</v>
          </cell>
        </row>
        <row r="848">
          <cell r="C848" t="str">
            <v>&lt;-- enter valid PB./Acc. # in this cell!</v>
          </cell>
          <cell r="F848" t="str">
            <v>OK</v>
          </cell>
        </row>
        <row r="849">
          <cell r="C849" t="str">
            <v>&lt;-- enter valid PB./Acc. # in this cell!</v>
          </cell>
          <cell r="F849" t="str">
            <v>OK</v>
          </cell>
        </row>
        <row r="850">
          <cell r="C850" t="str">
            <v>&lt;-- enter valid PB./Acc. # in this cell!</v>
          </cell>
          <cell r="F850" t="str">
            <v>OK</v>
          </cell>
        </row>
        <row r="851">
          <cell r="C851" t="str">
            <v>&lt;-- enter valid PB./Acc. # in this cell!</v>
          </cell>
          <cell r="F851" t="str">
            <v>OK</v>
          </cell>
        </row>
        <row r="852">
          <cell r="C852" t="str">
            <v>&lt;-- enter valid PB./Acc. # in this cell!</v>
          </cell>
          <cell r="F852" t="str">
            <v>OK</v>
          </cell>
        </row>
        <row r="853">
          <cell r="C853" t="str">
            <v>&lt;-- enter valid PB./Acc. # in this cell!</v>
          </cell>
          <cell r="F853" t="str">
            <v>OK</v>
          </cell>
        </row>
        <row r="854">
          <cell r="C854" t="str">
            <v>&lt;-- enter valid PB./Acc. # in this cell!</v>
          </cell>
          <cell r="F854" t="str">
            <v>OK</v>
          </cell>
        </row>
        <row r="855">
          <cell r="C855" t="str">
            <v>&lt;-- enter valid PB./Acc. # in this cell!</v>
          </cell>
          <cell r="F855" t="str">
            <v>OK</v>
          </cell>
        </row>
        <row r="856">
          <cell r="C856" t="str">
            <v>&lt;-- enter valid PB./Acc. # in this cell!</v>
          </cell>
          <cell r="F856" t="str">
            <v>OK</v>
          </cell>
        </row>
        <row r="857">
          <cell r="C857" t="str">
            <v>&lt;-- enter valid PB./Acc. # in this cell!</v>
          </cell>
          <cell r="F857" t="str">
            <v>OK</v>
          </cell>
        </row>
        <row r="858">
          <cell r="C858" t="str">
            <v>&lt;-- enter valid PB./Acc. # in this cell!</v>
          </cell>
          <cell r="F858" t="str">
            <v>OK</v>
          </cell>
        </row>
        <row r="859">
          <cell r="C859" t="str">
            <v>&lt;-- enter valid PB./Acc. # in this cell!</v>
          </cell>
          <cell r="F859" t="str">
            <v>OK</v>
          </cell>
        </row>
        <row r="860">
          <cell r="C860" t="str">
            <v>&lt;-- enter valid PB./Acc. # in this cell!</v>
          </cell>
          <cell r="F860" t="str">
            <v>OK</v>
          </cell>
        </row>
        <row r="861">
          <cell r="C861" t="str">
            <v>&lt;-- enter valid PB./Acc. # in this cell!</v>
          </cell>
          <cell r="F861" t="str">
            <v>OK</v>
          </cell>
        </row>
        <row r="862">
          <cell r="C862" t="str">
            <v>&lt;-- enter valid PB./Acc. # in this cell!</v>
          </cell>
          <cell r="F862" t="str">
            <v>OK</v>
          </cell>
        </row>
        <row r="863">
          <cell r="C863" t="str">
            <v>&lt;-- enter valid PB./Acc. # in this cell!</v>
          </cell>
          <cell r="F863" t="str">
            <v>OK</v>
          </cell>
        </row>
        <row r="864">
          <cell r="C864" t="str">
            <v>&lt;-- enter valid PB./Acc. # in this cell!</v>
          </cell>
          <cell r="F864" t="str">
            <v>OK</v>
          </cell>
        </row>
        <row r="865">
          <cell r="C865" t="str">
            <v>&lt;-- enter valid PB./Acc. # in this cell!</v>
          </cell>
          <cell r="F865" t="str">
            <v>OK</v>
          </cell>
        </row>
        <row r="866">
          <cell r="C866" t="str">
            <v>&lt;-- enter valid PB./Acc. # in this cell!</v>
          </cell>
          <cell r="F866" t="str">
            <v>OK</v>
          </cell>
        </row>
        <row r="867">
          <cell r="C867" t="str">
            <v>&lt;-- enter valid PB./Acc. # in this cell!</v>
          </cell>
          <cell r="F867" t="str">
            <v>OK</v>
          </cell>
        </row>
        <row r="868">
          <cell r="C868" t="str">
            <v>&lt;-- enter valid PB./Acc. # in this cell!</v>
          </cell>
          <cell r="F868" t="str">
            <v>OK</v>
          </cell>
        </row>
        <row r="869">
          <cell r="C869" t="str">
            <v>&lt;-- enter valid PB./Acc. # in this cell!</v>
          </cell>
          <cell r="F869" t="str">
            <v>OK</v>
          </cell>
        </row>
        <row r="870">
          <cell r="C870" t="str">
            <v>&lt;-- enter valid PB./Acc. # in this cell!</v>
          </cell>
          <cell r="F870" t="str">
            <v>OK</v>
          </cell>
        </row>
        <row r="871">
          <cell r="C871" t="str">
            <v>&lt;-- enter valid PB./Acc. # in this cell!</v>
          </cell>
          <cell r="F871" t="str">
            <v>OK</v>
          </cell>
        </row>
        <row r="872">
          <cell r="C872" t="str">
            <v>&lt;-- enter valid PB./Acc. # in this cell!</v>
          </cell>
          <cell r="F872" t="str">
            <v>OK</v>
          </cell>
        </row>
        <row r="873">
          <cell r="C873" t="str">
            <v>&lt;-- enter valid PB./Acc. # in this cell!</v>
          </cell>
          <cell r="F873" t="str">
            <v>OK</v>
          </cell>
        </row>
        <row r="874">
          <cell r="C874" t="str">
            <v>&lt;-- enter valid PB./Acc. # in this cell!</v>
          </cell>
          <cell r="F874" t="str">
            <v>OK</v>
          </cell>
        </row>
        <row r="875">
          <cell r="C875" t="str">
            <v>&lt;-- enter valid PB./Acc. # in this cell!</v>
          </cell>
          <cell r="F875" t="str">
            <v>OK</v>
          </cell>
        </row>
        <row r="876">
          <cell r="C876" t="str">
            <v>&lt;-- enter valid PB./Acc. # in this cell!</v>
          </cell>
          <cell r="F876" t="str">
            <v>OK</v>
          </cell>
        </row>
        <row r="877">
          <cell r="C877" t="str">
            <v>&lt;-- enter valid PB./Acc. # in this cell!</v>
          </cell>
          <cell r="F877" t="str">
            <v>OK</v>
          </cell>
        </row>
        <row r="878">
          <cell r="C878" t="str">
            <v>&lt;-- enter valid PB./Acc. # in this cell!</v>
          </cell>
          <cell r="F878" t="str">
            <v>OK</v>
          </cell>
        </row>
        <row r="879">
          <cell r="C879" t="str">
            <v>&lt;-- enter valid PB./Acc. # in this cell!</v>
          </cell>
          <cell r="F879" t="str">
            <v>OK</v>
          </cell>
        </row>
        <row r="880">
          <cell r="C880" t="str">
            <v>&lt;-- enter valid PB./Acc. # in this cell!</v>
          </cell>
          <cell r="F880" t="str">
            <v>OK</v>
          </cell>
        </row>
        <row r="881">
          <cell r="C881" t="str">
            <v>&lt;-- enter valid PB./Acc. # in this cell!</v>
          </cell>
          <cell r="F881" t="str">
            <v>OK</v>
          </cell>
        </row>
        <row r="882">
          <cell r="C882" t="str">
            <v>&lt;-- enter valid PB./Acc. # in this cell!</v>
          </cell>
          <cell r="F882" t="str">
            <v>OK</v>
          </cell>
        </row>
        <row r="883">
          <cell r="C883" t="str">
            <v>&lt;-- enter valid PB./Acc. # in this cell!</v>
          </cell>
          <cell r="F883" t="str">
            <v>OK</v>
          </cell>
        </row>
        <row r="884">
          <cell r="C884" t="str">
            <v>&lt;-- enter valid PB./Acc. # in this cell!</v>
          </cell>
          <cell r="F884" t="str">
            <v>OK</v>
          </cell>
        </row>
        <row r="885">
          <cell r="C885" t="str">
            <v>&lt;-- enter valid PB./Acc. # in this cell!</v>
          </cell>
          <cell r="F885" t="str">
            <v>OK</v>
          </cell>
        </row>
        <row r="886">
          <cell r="C886" t="str">
            <v>&lt;-- enter valid PB./Acc. # in this cell!</v>
          </cell>
          <cell r="F886" t="str">
            <v>OK</v>
          </cell>
        </row>
        <row r="887">
          <cell r="C887" t="str">
            <v>&lt;-- enter valid PB./Acc. # in this cell!</v>
          </cell>
          <cell r="F887" t="str">
            <v>OK</v>
          </cell>
        </row>
        <row r="888">
          <cell r="C888" t="str">
            <v>&lt;-- enter valid PB./Acc. # in this cell!</v>
          </cell>
          <cell r="F888" t="str">
            <v>OK</v>
          </cell>
        </row>
        <row r="889">
          <cell r="C889" t="str">
            <v>&lt;-- enter valid PB./Acc. # in this cell!</v>
          </cell>
          <cell r="F889" t="str">
            <v>OK</v>
          </cell>
        </row>
        <row r="890">
          <cell r="C890" t="str">
            <v>&lt;-- enter valid PB./Acc. # in this cell!</v>
          </cell>
          <cell r="F890" t="str">
            <v>OK</v>
          </cell>
        </row>
        <row r="891">
          <cell r="C891" t="str">
            <v>&lt;-- enter valid PB./Acc. # in this cell!</v>
          </cell>
          <cell r="F891" t="str">
            <v>OK</v>
          </cell>
        </row>
        <row r="892">
          <cell r="C892" t="str">
            <v>&lt;-- enter valid PB./Acc. # in this cell!</v>
          </cell>
          <cell r="F892" t="str">
            <v>OK</v>
          </cell>
        </row>
        <row r="893">
          <cell r="C893" t="str">
            <v>&lt;-- enter valid PB./Acc. # in this cell!</v>
          </cell>
          <cell r="F893" t="str">
            <v>OK</v>
          </cell>
        </row>
        <row r="894">
          <cell r="C894" t="str">
            <v>&lt;-- enter valid PB./Acc. # in this cell!</v>
          </cell>
          <cell r="F894" t="str">
            <v>OK</v>
          </cell>
        </row>
        <row r="895">
          <cell r="C895" t="str">
            <v>&lt;-- enter valid PB./Acc. # in this cell!</v>
          </cell>
          <cell r="F895" t="str">
            <v>OK</v>
          </cell>
        </row>
        <row r="896">
          <cell r="C896" t="str">
            <v>&lt;-- enter valid PB./Acc. # in this cell!</v>
          </cell>
          <cell r="F896" t="str">
            <v>OK</v>
          </cell>
        </row>
        <row r="897">
          <cell r="C897" t="str">
            <v>&lt;-- enter valid PB./Acc. # in this cell!</v>
          </cell>
          <cell r="F897" t="str">
            <v>OK</v>
          </cell>
        </row>
        <row r="898">
          <cell r="C898" t="str">
            <v>&lt;-- enter valid PB./Acc. # in this cell!</v>
          </cell>
          <cell r="F898" t="str">
            <v>OK</v>
          </cell>
        </row>
        <row r="899">
          <cell r="C899" t="str">
            <v>&lt;-- enter valid PB./Acc. # in this cell!</v>
          </cell>
          <cell r="F899" t="str">
            <v>OK</v>
          </cell>
        </row>
        <row r="900">
          <cell r="A900" t="str">
            <v>Total Balances of September 2015</v>
          </cell>
          <cell r="F900" t="str">
            <v>OK</v>
          </cell>
          <cell r="G900">
            <v>416</v>
          </cell>
          <cell r="H900">
            <v>715</v>
          </cell>
          <cell r="I900">
            <v>0</v>
          </cell>
          <cell r="J900">
            <v>2500</v>
          </cell>
          <cell r="K900">
            <v>0</v>
          </cell>
          <cell r="L900">
            <v>0</v>
          </cell>
          <cell r="M900">
            <v>3170</v>
          </cell>
          <cell r="N900">
            <v>371</v>
          </cell>
          <cell r="O900">
            <v>0</v>
          </cell>
          <cell r="P900">
            <v>0</v>
          </cell>
          <cell r="Q900">
            <v>0</v>
          </cell>
          <cell r="R900">
            <v>38.75</v>
          </cell>
          <cell r="S900">
            <v>0</v>
          </cell>
          <cell r="T900">
            <v>0</v>
          </cell>
          <cell r="AQ900">
            <v>6.25</v>
          </cell>
        </row>
        <row r="901">
          <cell r="A901">
            <v>42308</v>
          </cell>
        </row>
        <row r="902">
          <cell r="C902" t="str">
            <v>&lt;-- enter valid PB./Acc. # in this cell!</v>
          </cell>
          <cell r="F902" t="str">
            <v>OK</v>
          </cell>
        </row>
        <row r="903">
          <cell r="C903" t="str">
            <v>&lt;-- enter valid PB./Acc. # in this cell!</v>
          </cell>
          <cell r="F903" t="str">
            <v>OK</v>
          </cell>
        </row>
        <row r="904">
          <cell r="C904" t="str">
            <v>&lt;-- enter valid PB./Acc. # in this cell!</v>
          </cell>
          <cell r="F904" t="str">
            <v>OK</v>
          </cell>
        </row>
        <row r="905">
          <cell r="C905" t="str">
            <v>&lt;-- enter valid PB./Acc. # in this cell!</v>
          </cell>
          <cell r="F905" t="str">
            <v>OK</v>
          </cell>
        </row>
        <row r="906">
          <cell r="C906" t="str">
            <v>&lt;-- enter valid PB./Acc. # in this cell!</v>
          </cell>
          <cell r="F906" t="str">
            <v>OK</v>
          </cell>
        </row>
        <row r="907">
          <cell r="C907" t="str">
            <v>&lt;-- enter valid PB./Acc. # in this cell!</v>
          </cell>
          <cell r="F907" t="str">
            <v>OK</v>
          </cell>
        </row>
        <row r="908">
          <cell r="C908" t="str">
            <v>&lt;-- enter valid PB./Acc. # in this cell!</v>
          </cell>
          <cell r="F908" t="str">
            <v>OK</v>
          </cell>
        </row>
        <row r="909">
          <cell r="C909" t="str">
            <v>&lt;-- enter valid PB./Acc. # in this cell!</v>
          </cell>
          <cell r="F909" t="str">
            <v>OK</v>
          </cell>
        </row>
        <row r="910">
          <cell r="C910" t="str">
            <v>&lt;-- enter valid PB./Acc. # in this cell!</v>
          </cell>
          <cell r="F910" t="str">
            <v>OK</v>
          </cell>
        </row>
        <row r="911">
          <cell r="C911" t="str">
            <v>&lt;-- enter valid PB./Acc. # in this cell!</v>
          </cell>
          <cell r="F911" t="str">
            <v>OK</v>
          </cell>
        </row>
        <row r="912">
          <cell r="C912" t="str">
            <v>&lt;-- enter valid PB./Acc. # in this cell!</v>
          </cell>
          <cell r="F912" t="str">
            <v>OK</v>
          </cell>
        </row>
        <row r="913">
          <cell r="C913" t="str">
            <v>&lt;-- enter valid PB./Acc. # in this cell!</v>
          </cell>
          <cell r="F913" t="str">
            <v>OK</v>
          </cell>
        </row>
        <row r="914">
          <cell r="C914" t="str">
            <v>&lt;-- enter valid PB./Acc. # in this cell!</v>
          </cell>
          <cell r="F914" t="str">
            <v>OK</v>
          </cell>
        </row>
        <row r="915">
          <cell r="C915" t="str">
            <v>&lt;-- enter valid PB./Acc. # in this cell!</v>
          </cell>
          <cell r="F915" t="str">
            <v>OK</v>
          </cell>
        </row>
        <row r="916">
          <cell r="C916" t="str">
            <v>&lt;-- enter valid PB./Acc. # in this cell!</v>
          </cell>
          <cell r="F916" t="str">
            <v>OK</v>
          </cell>
        </row>
        <row r="917">
          <cell r="C917" t="str">
            <v>&lt;-- enter valid PB./Acc. # in this cell!</v>
          </cell>
          <cell r="F917" t="str">
            <v>OK</v>
          </cell>
        </row>
        <row r="918">
          <cell r="C918" t="str">
            <v>&lt;-- enter valid PB./Acc. # in this cell!</v>
          </cell>
          <cell r="F918" t="str">
            <v>OK</v>
          </cell>
        </row>
        <row r="919">
          <cell r="C919" t="str">
            <v>&lt;-- enter valid PB./Acc. # in this cell!</v>
          </cell>
          <cell r="F919" t="str">
            <v>OK</v>
          </cell>
        </row>
        <row r="920">
          <cell r="C920" t="str">
            <v>&lt;-- enter valid PB./Acc. # in this cell!</v>
          </cell>
          <cell r="F920" t="str">
            <v>OK</v>
          </cell>
        </row>
        <row r="921">
          <cell r="C921" t="str">
            <v>&lt;-- enter valid PB./Acc. # in this cell!</v>
          </cell>
          <cell r="F921" t="str">
            <v>OK</v>
          </cell>
        </row>
        <row r="922">
          <cell r="C922" t="str">
            <v>&lt;-- enter valid PB./Acc. # in this cell!</v>
          </cell>
          <cell r="F922" t="str">
            <v>OK</v>
          </cell>
        </row>
        <row r="923">
          <cell r="C923" t="str">
            <v>&lt;-- enter valid PB./Acc. # in this cell!</v>
          </cell>
          <cell r="F923" t="str">
            <v>OK</v>
          </cell>
        </row>
        <row r="924">
          <cell r="C924" t="str">
            <v>&lt;-- enter valid PB./Acc. # in this cell!</v>
          </cell>
          <cell r="F924" t="str">
            <v>OK</v>
          </cell>
        </row>
        <row r="925">
          <cell r="C925" t="str">
            <v>&lt;-- enter valid PB./Acc. # in this cell!</v>
          </cell>
          <cell r="F925" t="str">
            <v>OK</v>
          </cell>
        </row>
        <row r="926">
          <cell r="C926" t="str">
            <v>&lt;-- enter valid PB./Acc. # in this cell!</v>
          </cell>
          <cell r="F926" t="str">
            <v>OK</v>
          </cell>
        </row>
        <row r="927">
          <cell r="C927" t="str">
            <v>&lt;-- enter valid PB./Acc. # in this cell!</v>
          </cell>
          <cell r="F927" t="str">
            <v>OK</v>
          </cell>
        </row>
        <row r="928">
          <cell r="C928" t="str">
            <v>&lt;-- enter valid PB./Acc. # in this cell!</v>
          </cell>
          <cell r="F928" t="str">
            <v>OK</v>
          </cell>
        </row>
        <row r="929">
          <cell r="C929" t="str">
            <v>&lt;-- enter valid PB./Acc. # in this cell!</v>
          </cell>
          <cell r="F929" t="str">
            <v>OK</v>
          </cell>
        </row>
        <row r="930">
          <cell r="C930" t="str">
            <v>&lt;-- enter valid PB./Acc. # in this cell!</v>
          </cell>
          <cell r="F930" t="str">
            <v>OK</v>
          </cell>
        </row>
        <row r="931">
          <cell r="C931" t="str">
            <v>&lt;-- enter valid PB./Acc. # in this cell!</v>
          </cell>
          <cell r="F931" t="str">
            <v>OK</v>
          </cell>
        </row>
        <row r="932">
          <cell r="C932" t="str">
            <v>&lt;-- enter valid PB./Acc. # in this cell!</v>
          </cell>
          <cell r="F932" t="str">
            <v>OK</v>
          </cell>
        </row>
        <row r="933">
          <cell r="C933" t="str">
            <v>&lt;-- enter valid PB./Acc. # in this cell!</v>
          </cell>
          <cell r="F933" t="str">
            <v>OK</v>
          </cell>
        </row>
        <row r="934">
          <cell r="C934" t="str">
            <v>&lt;-- enter valid PB./Acc. # in this cell!</v>
          </cell>
          <cell r="F934" t="str">
            <v>OK</v>
          </cell>
        </row>
        <row r="935">
          <cell r="C935" t="str">
            <v>&lt;-- enter valid PB./Acc. # in this cell!</v>
          </cell>
          <cell r="F935" t="str">
            <v>OK</v>
          </cell>
        </row>
        <row r="936">
          <cell r="C936" t="str">
            <v>&lt;-- enter valid PB./Acc. # in this cell!</v>
          </cell>
          <cell r="F936" t="str">
            <v>OK</v>
          </cell>
        </row>
        <row r="937">
          <cell r="C937" t="str">
            <v>&lt;-- enter valid PB./Acc. # in this cell!</v>
          </cell>
          <cell r="F937" t="str">
            <v>OK</v>
          </cell>
        </row>
        <row r="938">
          <cell r="C938" t="str">
            <v>&lt;-- enter valid PB./Acc. # in this cell!</v>
          </cell>
          <cell r="F938" t="str">
            <v>OK</v>
          </cell>
        </row>
        <row r="939">
          <cell r="C939" t="str">
            <v>&lt;-- enter valid PB./Acc. # in this cell!</v>
          </cell>
          <cell r="F939" t="str">
            <v>OK</v>
          </cell>
        </row>
        <row r="940">
          <cell r="C940" t="str">
            <v>&lt;-- enter valid PB./Acc. # in this cell!</v>
          </cell>
          <cell r="F940" t="str">
            <v>OK</v>
          </cell>
        </row>
        <row r="941">
          <cell r="C941" t="str">
            <v>&lt;-- enter valid PB./Acc. # in this cell!</v>
          </cell>
          <cell r="F941" t="str">
            <v>OK</v>
          </cell>
        </row>
        <row r="942">
          <cell r="C942" t="str">
            <v>&lt;-- enter valid PB./Acc. # in this cell!</v>
          </cell>
          <cell r="F942" t="str">
            <v>OK</v>
          </cell>
        </row>
        <row r="943">
          <cell r="C943" t="str">
            <v>&lt;-- enter valid PB./Acc. # in this cell!</v>
          </cell>
          <cell r="F943" t="str">
            <v>OK</v>
          </cell>
        </row>
        <row r="944">
          <cell r="C944" t="str">
            <v>&lt;-- enter valid PB./Acc. # in this cell!</v>
          </cell>
          <cell r="F944" t="str">
            <v>OK</v>
          </cell>
        </row>
        <row r="945">
          <cell r="C945" t="str">
            <v>&lt;-- enter valid PB./Acc. # in this cell!</v>
          </cell>
          <cell r="F945" t="str">
            <v>OK</v>
          </cell>
        </row>
        <row r="946">
          <cell r="C946" t="str">
            <v>&lt;-- enter valid PB./Acc. # in this cell!</v>
          </cell>
          <cell r="F946" t="str">
            <v>OK</v>
          </cell>
        </row>
        <row r="947">
          <cell r="C947" t="str">
            <v>&lt;-- enter valid PB./Acc. # in this cell!</v>
          </cell>
          <cell r="F947" t="str">
            <v>OK</v>
          </cell>
        </row>
        <row r="948">
          <cell r="C948" t="str">
            <v>&lt;-- enter valid PB./Acc. # in this cell!</v>
          </cell>
          <cell r="F948" t="str">
            <v>OK</v>
          </cell>
        </row>
        <row r="949">
          <cell r="C949" t="str">
            <v>&lt;-- enter valid PB./Acc. # in this cell!</v>
          </cell>
          <cell r="F949" t="str">
            <v>OK</v>
          </cell>
        </row>
        <row r="950">
          <cell r="C950" t="str">
            <v>&lt;-- enter valid PB./Acc. # in this cell!</v>
          </cell>
          <cell r="F950" t="str">
            <v>OK</v>
          </cell>
        </row>
        <row r="951">
          <cell r="C951" t="str">
            <v>&lt;-- enter valid PB./Acc. # in this cell!</v>
          </cell>
          <cell r="F951" t="str">
            <v>OK</v>
          </cell>
        </row>
        <row r="952">
          <cell r="C952" t="str">
            <v>&lt;-- enter valid PB./Acc. # in this cell!</v>
          </cell>
          <cell r="F952" t="str">
            <v>OK</v>
          </cell>
        </row>
        <row r="953">
          <cell r="C953" t="str">
            <v>&lt;-- enter valid PB./Acc. # in this cell!</v>
          </cell>
          <cell r="F953" t="str">
            <v>OK</v>
          </cell>
        </row>
        <row r="954">
          <cell r="C954" t="str">
            <v>&lt;-- enter valid PB./Acc. # in this cell!</v>
          </cell>
          <cell r="F954" t="str">
            <v>OK</v>
          </cell>
        </row>
        <row r="955">
          <cell r="C955" t="str">
            <v>&lt;-- enter valid PB./Acc. # in this cell!</v>
          </cell>
          <cell r="F955" t="str">
            <v>OK</v>
          </cell>
        </row>
        <row r="956">
          <cell r="C956" t="str">
            <v>&lt;-- enter valid PB./Acc. # in this cell!</v>
          </cell>
          <cell r="F956" t="str">
            <v>OK</v>
          </cell>
        </row>
        <row r="957">
          <cell r="C957" t="str">
            <v>&lt;-- enter valid PB./Acc. # in this cell!</v>
          </cell>
          <cell r="F957" t="str">
            <v>OK</v>
          </cell>
        </row>
        <row r="958">
          <cell r="C958" t="str">
            <v>&lt;-- enter valid PB./Acc. # in this cell!</v>
          </cell>
          <cell r="F958" t="str">
            <v>OK</v>
          </cell>
        </row>
        <row r="959">
          <cell r="C959" t="str">
            <v>&lt;-- enter valid PB./Acc. # in this cell!</v>
          </cell>
          <cell r="F959" t="str">
            <v>OK</v>
          </cell>
        </row>
        <row r="960">
          <cell r="C960" t="str">
            <v>&lt;-- enter valid PB./Acc. # in this cell!</v>
          </cell>
          <cell r="F960" t="str">
            <v>OK</v>
          </cell>
        </row>
        <row r="961">
          <cell r="C961" t="str">
            <v>&lt;-- enter valid PB./Acc. # in this cell!</v>
          </cell>
          <cell r="F961" t="str">
            <v>OK</v>
          </cell>
        </row>
        <row r="962">
          <cell r="C962" t="str">
            <v>&lt;-- enter valid PB./Acc. # in this cell!</v>
          </cell>
          <cell r="F962" t="str">
            <v>OK</v>
          </cell>
        </row>
        <row r="963">
          <cell r="C963" t="str">
            <v>&lt;-- enter valid PB./Acc. # in this cell!</v>
          </cell>
          <cell r="F963" t="str">
            <v>OK</v>
          </cell>
        </row>
        <row r="964">
          <cell r="C964" t="str">
            <v>&lt;-- enter valid PB./Acc. # in this cell!</v>
          </cell>
          <cell r="F964" t="str">
            <v>OK</v>
          </cell>
        </row>
        <row r="965">
          <cell r="C965" t="str">
            <v>&lt;-- enter valid PB./Acc. # in this cell!</v>
          </cell>
          <cell r="F965" t="str">
            <v>OK</v>
          </cell>
        </row>
        <row r="966">
          <cell r="C966" t="str">
            <v>&lt;-- enter valid PB./Acc. # in this cell!</v>
          </cell>
          <cell r="F966" t="str">
            <v>OK</v>
          </cell>
        </row>
        <row r="967">
          <cell r="C967" t="str">
            <v>&lt;-- enter valid PB./Acc. # in this cell!</v>
          </cell>
          <cell r="F967" t="str">
            <v>OK</v>
          </cell>
        </row>
        <row r="968">
          <cell r="C968" t="str">
            <v>&lt;-- enter valid PB./Acc. # in this cell!</v>
          </cell>
          <cell r="F968" t="str">
            <v>OK</v>
          </cell>
        </row>
        <row r="969">
          <cell r="C969" t="str">
            <v>&lt;-- enter valid PB./Acc. # in this cell!</v>
          </cell>
          <cell r="F969" t="str">
            <v>OK</v>
          </cell>
        </row>
        <row r="970">
          <cell r="C970" t="str">
            <v>&lt;-- enter valid PB./Acc. # in this cell!</v>
          </cell>
          <cell r="F970" t="str">
            <v>OK</v>
          </cell>
        </row>
        <row r="971">
          <cell r="C971" t="str">
            <v>&lt;-- enter valid PB./Acc. # in this cell!</v>
          </cell>
          <cell r="F971" t="str">
            <v>OK</v>
          </cell>
        </row>
        <row r="972">
          <cell r="C972" t="str">
            <v>&lt;-- enter valid PB./Acc. # in this cell!</v>
          </cell>
          <cell r="F972" t="str">
            <v>OK</v>
          </cell>
        </row>
        <row r="973">
          <cell r="C973" t="str">
            <v>&lt;-- enter valid PB./Acc. # in this cell!</v>
          </cell>
          <cell r="F973" t="str">
            <v>OK</v>
          </cell>
        </row>
        <row r="974">
          <cell r="C974" t="str">
            <v>&lt;-- enter valid PB./Acc. # in this cell!</v>
          </cell>
          <cell r="F974" t="str">
            <v>OK</v>
          </cell>
        </row>
        <row r="975">
          <cell r="C975" t="str">
            <v>&lt;-- enter valid PB./Acc. # in this cell!</v>
          </cell>
          <cell r="F975" t="str">
            <v>OK</v>
          </cell>
        </row>
        <row r="976">
          <cell r="C976" t="str">
            <v>&lt;-- enter valid PB./Acc. # in this cell!</v>
          </cell>
          <cell r="F976" t="str">
            <v>OK</v>
          </cell>
        </row>
        <row r="977">
          <cell r="C977" t="str">
            <v>&lt;-- enter valid PB./Acc. # in this cell!</v>
          </cell>
          <cell r="F977" t="str">
            <v>OK</v>
          </cell>
        </row>
        <row r="978">
          <cell r="C978" t="str">
            <v>&lt;-- enter valid PB./Acc. # in this cell!</v>
          </cell>
          <cell r="F978" t="str">
            <v>OK</v>
          </cell>
        </row>
        <row r="979">
          <cell r="C979" t="str">
            <v>&lt;-- enter valid PB./Acc. # in this cell!</v>
          </cell>
          <cell r="F979" t="str">
            <v>OK</v>
          </cell>
        </row>
        <row r="980">
          <cell r="C980" t="str">
            <v>&lt;-- enter valid PB./Acc. # in this cell!</v>
          </cell>
          <cell r="F980" t="str">
            <v>OK</v>
          </cell>
        </row>
        <row r="981">
          <cell r="C981" t="str">
            <v>&lt;-- enter valid PB./Acc. # in this cell!</v>
          </cell>
          <cell r="F981" t="str">
            <v>OK</v>
          </cell>
        </row>
        <row r="982">
          <cell r="C982" t="str">
            <v>&lt;-- enter valid PB./Acc. # in this cell!</v>
          </cell>
          <cell r="F982" t="str">
            <v>OK</v>
          </cell>
        </row>
        <row r="983">
          <cell r="C983" t="str">
            <v>&lt;-- enter valid PB./Acc. # in this cell!</v>
          </cell>
          <cell r="F983" t="str">
            <v>OK</v>
          </cell>
        </row>
        <row r="984">
          <cell r="C984" t="str">
            <v>&lt;-- enter valid PB./Acc. # in this cell!</v>
          </cell>
          <cell r="F984" t="str">
            <v>OK</v>
          </cell>
        </row>
        <row r="985">
          <cell r="C985" t="str">
            <v>&lt;-- enter valid PB./Acc. # in this cell!</v>
          </cell>
          <cell r="F985" t="str">
            <v>OK</v>
          </cell>
        </row>
        <row r="986">
          <cell r="C986" t="str">
            <v>&lt;-- enter valid PB./Acc. # in this cell!</v>
          </cell>
          <cell r="F986" t="str">
            <v>OK</v>
          </cell>
        </row>
        <row r="987">
          <cell r="C987" t="str">
            <v>&lt;-- enter valid PB./Acc. # in this cell!</v>
          </cell>
          <cell r="F987" t="str">
            <v>OK</v>
          </cell>
        </row>
        <row r="988">
          <cell r="C988" t="str">
            <v>&lt;-- enter valid PB./Acc. # in this cell!</v>
          </cell>
          <cell r="F988" t="str">
            <v>OK</v>
          </cell>
        </row>
        <row r="989">
          <cell r="C989" t="str">
            <v>&lt;-- enter valid PB./Acc. # in this cell!</v>
          </cell>
          <cell r="F989" t="str">
            <v>OK</v>
          </cell>
        </row>
        <row r="990">
          <cell r="C990" t="str">
            <v>&lt;-- enter valid PB./Acc. # in this cell!</v>
          </cell>
          <cell r="F990" t="str">
            <v>OK</v>
          </cell>
        </row>
        <row r="991">
          <cell r="C991" t="str">
            <v>&lt;-- enter valid PB./Acc. # in this cell!</v>
          </cell>
          <cell r="F991" t="str">
            <v>OK</v>
          </cell>
        </row>
        <row r="992">
          <cell r="C992" t="str">
            <v>&lt;-- enter valid PB./Acc. # in this cell!</v>
          </cell>
          <cell r="F992" t="str">
            <v>OK</v>
          </cell>
        </row>
        <row r="993">
          <cell r="C993" t="str">
            <v>&lt;-- enter valid PB./Acc. # in this cell!</v>
          </cell>
          <cell r="F993" t="str">
            <v>OK</v>
          </cell>
        </row>
        <row r="994">
          <cell r="C994" t="str">
            <v>&lt;-- enter valid PB./Acc. # in this cell!</v>
          </cell>
          <cell r="F994" t="str">
            <v>OK</v>
          </cell>
        </row>
        <row r="995">
          <cell r="C995" t="str">
            <v>&lt;-- enter valid PB./Acc. # in this cell!</v>
          </cell>
          <cell r="F995" t="str">
            <v>OK</v>
          </cell>
        </row>
        <row r="996">
          <cell r="C996" t="str">
            <v>&lt;-- enter valid PB./Acc. # in this cell!</v>
          </cell>
          <cell r="F996" t="str">
            <v>OK</v>
          </cell>
        </row>
        <row r="997">
          <cell r="C997" t="str">
            <v>&lt;-- enter valid PB./Acc. # in this cell!</v>
          </cell>
          <cell r="F997" t="str">
            <v>OK</v>
          </cell>
        </row>
        <row r="998">
          <cell r="C998" t="str">
            <v>&lt;-- enter valid PB./Acc. # in this cell!</v>
          </cell>
          <cell r="F998" t="str">
            <v>OK</v>
          </cell>
        </row>
        <row r="999">
          <cell r="C999" t="str">
            <v>&lt;-- enter valid PB./Acc. # in this cell!</v>
          </cell>
          <cell r="F999" t="str">
            <v>OK</v>
          </cell>
        </row>
        <row r="1000">
          <cell r="C1000" t="str">
            <v>&lt;-- enter valid PB./Acc. # in this cell!</v>
          </cell>
          <cell r="F1000" t="str">
            <v>OK</v>
          </cell>
        </row>
        <row r="1001">
          <cell r="C1001" t="str">
            <v>&lt;-- enter valid PB./Acc. # in this cell!</v>
          </cell>
          <cell r="F1001" t="str">
            <v>OK</v>
          </cell>
        </row>
        <row r="1002">
          <cell r="C1002" t="str">
            <v>&lt;-- enter valid PB./Acc. # in this cell!</v>
          </cell>
          <cell r="F1002" t="str">
            <v>OK</v>
          </cell>
        </row>
        <row r="1003">
          <cell r="C1003" t="str">
            <v>&lt;-- enter valid PB./Acc. # in this cell!</v>
          </cell>
          <cell r="F1003" t="str">
            <v>OK</v>
          </cell>
        </row>
        <row r="1004">
          <cell r="C1004" t="str">
            <v>&lt;-- enter valid PB./Acc. # in this cell!</v>
          </cell>
          <cell r="F1004" t="str">
            <v>OK</v>
          </cell>
        </row>
        <row r="1005">
          <cell r="C1005" t="str">
            <v>&lt;-- enter valid PB./Acc. # in this cell!</v>
          </cell>
          <cell r="F1005" t="str">
            <v>OK</v>
          </cell>
        </row>
        <row r="1006">
          <cell r="C1006" t="str">
            <v>&lt;-- enter valid PB./Acc. # in this cell!</v>
          </cell>
          <cell r="F1006" t="str">
            <v>OK</v>
          </cell>
        </row>
        <row r="1007">
          <cell r="C1007" t="str">
            <v>&lt;-- enter valid PB./Acc. # in this cell!</v>
          </cell>
          <cell r="F1007" t="str">
            <v>OK</v>
          </cell>
        </row>
        <row r="1008">
          <cell r="C1008" t="str">
            <v>&lt;-- enter valid PB./Acc. # in this cell!</v>
          </cell>
          <cell r="F1008" t="str">
            <v>OK</v>
          </cell>
        </row>
        <row r="1009">
          <cell r="C1009" t="str">
            <v>&lt;-- enter valid PB./Acc. # in this cell!</v>
          </cell>
          <cell r="F1009" t="str">
            <v>OK</v>
          </cell>
        </row>
        <row r="1010">
          <cell r="C1010" t="str">
            <v>&lt;-- enter valid PB./Acc. # in this cell!</v>
          </cell>
          <cell r="F1010" t="str">
            <v>OK</v>
          </cell>
        </row>
        <row r="1011">
          <cell r="C1011" t="str">
            <v>&lt;-- enter valid PB./Acc. # in this cell!</v>
          </cell>
          <cell r="F1011" t="str">
            <v>OK</v>
          </cell>
        </row>
        <row r="1012">
          <cell r="C1012" t="str">
            <v>&lt;-- enter valid PB./Acc. # in this cell!</v>
          </cell>
          <cell r="F1012" t="str">
            <v>OK</v>
          </cell>
        </row>
        <row r="1013">
          <cell r="C1013" t="str">
            <v>&lt;-- enter valid PB./Acc. # in this cell!</v>
          </cell>
          <cell r="F1013" t="str">
            <v>OK</v>
          </cell>
        </row>
        <row r="1014">
          <cell r="C1014" t="str">
            <v>&lt;-- enter valid PB./Acc. # in this cell!</v>
          </cell>
          <cell r="F1014" t="str">
            <v>OK</v>
          </cell>
        </row>
        <row r="1015">
          <cell r="C1015" t="str">
            <v>&lt;-- enter valid PB./Acc. # in this cell!</v>
          </cell>
          <cell r="F1015" t="str">
            <v>OK</v>
          </cell>
        </row>
        <row r="1016">
          <cell r="C1016" t="str">
            <v>&lt;-- enter valid PB./Acc. # in this cell!</v>
          </cell>
          <cell r="F1016" t="str">
            <v>OK</v>
          </cell>
        </row>
        <row r="1017">
          <cell r="C1017" t="str">
            <v>&lt;-- enter valid PB./Acc. # in this cell!</v>
          </cell>
          <cell r="F1017" t="str">
            <v>OK</v>
          </cell>
        </row>
        <row r="1018">
          <cell r="C1018" t="str">
            <v>&lt;-- enter valid PB./Acc. # in this cell!</v>
          </cell>
          <cell r="F1018" t="str">
            <v>OK</v>
          </cell>
        </row>
        <row r="1019">
          <cell r="C1019" t="str">
            <v>&lt;-- enter valid PB./Acc. # in this cell!</v>
          </cell>
          <cell r="F1019" t="str">
            <v>OK</v>
          </cell>
        </row>
        <row r="1020">
          <cell r="C1020" t="str">
            <v>&lt;-- enter valid PB./Acc. # in this cell!</v>
          </cell>
          <cell r="F1020" t="str">
            <v>OK</v>
          </cell>
        </row>
        <row r="1021">
          <cell r="C1021" t="str">
            <v>&lt;-- enter valid PB./Acc. # in this cell!</v>
          </cell>
          <cell r="F1021" t="str">
            <v>OK</v>
          </cell>
        </row>
        <row r="1022">
          <cell r="C1022" t="str">
            <v>&lt;-- enter valid PB./Acc. # in this cell!</v>
          </cell>
          <cell r="F1022" t="str">
            <v>OK</v>
          </cell>
        </row>
        <row r="1023">
          <cell r="C1023" t="str">
            <v>&lt;-- enter valid PB./Acc. # in this cell!</v>
          </cell>
          <cell r="F1023" t="str">
            <v>OK</v>
          </cell>
        </row>
        <row r="1024">
          <cell r="C1024" t="str">
            <v>&lt;-- enter valid PB./Acc. # in this cell!</v>
          </cell>
          <cell r="F1024" t="str">
            <v>OK</v>
          </cell>
        </row>
        <row r="1025">
          <cell r="C1025" t="str">
            <v>&lt;-- enter valid PB./Acc. # in this cell!</v>
          </cell>
          <cell r="F1025" t="str">
            <v>OK</v>
          </cell>
        </row>
        <row r="1026">
          <cell r="C1026" t="str">
            <v>&lt;-- enter valid PB./Acc. # in this cell!</v>
          </cell>
          <cell r="F1026" t="str">
            <v>OK</v>
          </cell>
        </row>
        <row r="1027">
          <cell r="C1027" t="str">
            <v>&lt;-- enter valid PB./Acc. # in this cell!</v>
          </cell>
          <cell r="F1027" t="str">
            <v>OK</v>
          </cell>
        </row>
        <row r="1028">
          <cell r="C1028" t="str">
            <v>&lt;-- enter valid PB./Acc. # in this cell!</v>
          </cell>
          <cell r="F1028" t="str">
            <v>OK</v>
          </cell>
        </row>
        <row r="1029">
          <cell r="C1029" t="str">
            <v>&lt;-- enter valid PB./Acc. # in this cell!</v>
          </cell>
          <cell r="F1029" t="str">
            <v>OK</v>
          </cell>
        </row>
        <row r="1030">
          <cell r="C1030" t="str">
            <v>&lt;-- enter valid PB./Acc. # in this cell!</v>
          </cell>
          <cell r="F1030" t="str">
            <v>OK</v>
          </cell>
        </row>
        <row r="1031">
          <cell r="C1031" t="str">
            <v>&lt;-- enter valid PB./Acc. # in this cell!</v>
          </cell>
          <cell r="F1031" t="str">
            <v>OK</v>
          </cell>
        </row>
        <row r="1032">
          <cell r="C1032" t="str">
            <v>&lt;-- enter valid PB./Acc. # in this cell!</v>
          </cell>
          <cell r="F1032" t="str">
            <v>OK</v>
          </cell>
        </row>
        <row r="1033">
          <cell r="C1033" t="str">
            <v>&lt;-- enter valid PB./Acc. # in this cell!</v>
          </cell>
          <cell r="F1033" t="str">
            <v>OK</v>
          </cell>
        </row>
        <row r="1034">
          <cell r="C1034" t="str">
            <v>&lt;-- enter valid PB./Acc. # in this cell!</v>
          </cell>
          <cell r="F1034" t="str">
            <v>OK</v>
          </cell>
        </row>
        <row r="1035">
          <cell r="C1035" t="str">
            <v>&lt;-- enter valid PB./Acc. # in this cell!</v>
          </cell>
          <cell r="F1035" t="str">
            <v>OK</v>
          </cell>
        </row>
        <row r="1036">
          <cell r="C1036" t="str">
            <v>&lt;-- enter valid PB./Acc. # in this cell!</v>
          </cell>
          <cell r="F1036" t="str">
            <v>OK</v>
          </cell>
        </row>
        <row r="1037">
          <cell r="C1037" t="str">
            <v>&lt;-- enter valid PB./Acc. # in this cell!</v>
          </cell>
          <cell r="F1037" t="str">
            <v>OK</v>
          </cell>
        </row>
        <row r="1038">
          <cell r="C1038" t="str">
            <v>&lt;-- enter valid PB./Acc. # in this cell!</v>
          </cell>
          <cell r="F1038" t="str">
            <v>OK</v>
          </cell>
        </row>
        <row r="1039">
          <cell r="C1039" t="str">
            <v>&lt;-- enter valid PB./Acc. # in this cell!</v>
          </cell>
          <cell r="F1039" t="str">
            <v>OK</v>
          </cell>
        </row>
        <row r="1040">
          <cell r="C1040" t="str">
            <v>&lt;-- enter valid PB./Acc. # in this cell!</v>
          </cell>
          <cell r="F1040" t="str">
            <v>OK</v>
          </cell>
        </row>
        <row r="1041">
          <cell r="C1041" t="str">
            <v>&lt;-- enter valid PB./Acc. # in this cell!</v>
          </cell>
          <cell r="F1041" t="str">
            <v>OK</v>
          </cell>
        </row>
        <row r="1042">
          <cell r="C1042" t="str">
            <v>&lt;-- enter valid PB./Acc. # in this cell!</v>
          </cell>
          <cell r="F1042" t="str">
            <v>OK</v>
          </cell>
        </row>
        <row r="1043">
          <cell r="C1043" t="str">
            <v>&lt;-- enter valid PB./Acc. # in this cell!</v>
          </cell>
          <cell r="F1043" t="str">
            <v>OK</v>
          </cell>
        </row>
        <row r="1044">
          <cell r="C1044" t="str">
            <v>&lt;-- enter valid PB./Acc. # in this cell!</v>
          </cell>
          <cell r="F1044" t="str">
            <v>OK</v>
          </cell>
        </row>
        <row r="1045">
          <cell r="C1045" t="str">
            <v>&lt;-- enter valid PB./Acc. # in this cell!</v>
          </cell>
          <cell r="F1045" t="str">
            <v>OK</v>
          </cell>
        </row>
        <row r="1046">
          <cell r="C1046" t="str">
            <v>&lt;-- enter valid PB./Acc. # in this cell!</v>
          </cell>
          <cell r="F1046" t="str">
            <v>OK</v>
          </cell>
        </row>
        <row r="1047">
          <cell r="C1047" t="str">
            <v>&lt;-- enter valid PB./Acc. # in this cell!</v>
          </cell>
          <cell r="F1047" t="str">
            <v>OK</v>
          </cell>
        </row>
        <row r="1048">
          <cell r="C1048" t="str">
            <v>&lt;-- enter valid PB./Acc. # in this cell!</v>
          </cell>
          <cell r="F1048" t="str">
            <v>OK</v>
          </cell>
        </row>
        <row r="1049">
          <cell r="C1049" t="str">
            <v>&lt;-- enter valid PB./Acc. # in this cell!</v>
          </cell>
          <cell r="F1049" t="str">
            <v>OK</v>
          </cell>
        </row>
        <row r="1050">
          <cell r="C1050" t="str">
            <v>&lt;-- enter valid PB./Acc. # in this cell!</v>
          </cell>
          <cell r="F1050" t="str">
            <v>OK</v>
          </cell>
        </row>
        <row r="1051">
          <cell r="C1051" t="str">
            <v>&lt;-- enter valid PB./Acc. # in this cell!</v>
          </cell>
          <cell r="F1051" t="str">
            <v>OK</v>
          </cell>
        </row>
        <row r="1052">
          <cell r="C1052" t="str">
            <v>&lt;-- enter valid PB./Acc. # in this cell!</v>
          </cell>
          <cell r="F1052" t="str">
            <v>OK</v>
          </cell>
        </row>
        <row r="1053">
          <cell r="C1053" t="str">
            <v>&lt;-- enter valid PB./Acc. # in this cell!</v>
          </cell>
          <cell r="F1053" t="str">
            <v>OK</v>
          </cell>
        </row>
        <row r="1054">
          <cell r="C1054" t="str">
            <v>&lt;-- enter valid PB./Acc. # in this cell!</v>
          </cell>
          <cell r="F1054" t="str">
            <v>OK</v>
          </cell>
        </row>
        <row r="1055">
          <cell r="C1055" t="str">
            <v>&lt;-- enter valid PB./Acc. # in this cell!</v>
          </cell>
          <cell r="F1055" t="str">
            <v>OK</v>
          </cell>
        </row>
        <row r="1056">
          <cell r="C1056" t="str">
            <v>&lt;-- enter valid PB./Acc. # in this cell!</v>
          </cell>
          <cell r="F1056" t="str">
            <v>OK</v>
          </cell>
        </row>
        <row r="1057">
          <cell r="C1057" t="str">
            <v>&lt;-- enter valid PB./Acc. # in this cell!</v>
          </cell>
          <cell r="F1057" t="str">
            <v>OK</v>
          </cell>
        </row>
        <row r="1058">
          <cell r="C1058" t="str">
            <v>&lt;-- enter valid PB./Acc. # in this cell!</v>
          </cell>
          <cell r="F1058" t="str">
            <v>OK</v>
          </cell>
        </row>
        <row r="1059">
          <cell r="C1059" t="str">
            <v>&lt;-- enter valid PB./Acc. # in this cell!</v>
          </cell>
          <cell r="F1059" t="str">
            <v>OK</v>
          </cell>
        </row>
        <row r="1060">
          <cell r="C1060" t="str">
            <v>&lt;-- enter valid PB./Acc. # in this cell!</v>
          </cell>
          <cell r="F1060" t="str">
            <v>OK</v>
          </cell>
        </row>
        <row r="1061">
          <cell r="C1061" t="str">
            <v>&lt;-- enter valid PB./Acc. # in this cell!</v>
          </cell>
          <cell r="F1061" t="str">
            <v>OK</v>
          </cell>
        </row>
        <row r="1062">
          <cell r="C1062" t="str">
            <v>&lt;-- enter valid PB./Acc. # in this cell!</v>
          </cell>
          <cell r="F1062" t="str">
            <v>OK</v>
          </cell>
        </row>
        <row r="1063">
          <cell r="C1063" t="str">
            <v>&lt;-- enter valid PB./Acc. # in this cell!</v>
          </cell>
          <cell r="F1063" t="str">
            <v>OK</v>
          </cell>
        </row>
        <row r="1064">
          <cell r="C1064" t="str">
            <v>&lt;-- enter valid PB./Acc. # in this cell!</v>
          </cell>
          <cell r="F1064" t="str">
            <v>OK</v>
          </cell>
        </row>
        <row r="1065">
          <cell r="C1065" t="str">
            <v>&lt;-- enter valid PB./Acc. # in this cell!</v>
          </cell>
          <cell r="F1065" t="str">
            <v>OK</v>
          </cell>
        </row>
        <row r="1066">
          <cell r="C1066" t="str">
            <v>&lt;-- enter valid PB./Acc. # in this cell!</v>
          </cell>
          <cell r="F1066" t="str">
            <v>OK</v>
          </cell>
        </row>
        <row r="1067">
          <cell r="C1067" t="str">
            <v>&lt;-- enter valid PB./Acc. # in this cell!</v>
          </cell>
          <cell r="F1067" t="str">
            <v>OK</v>
          </cell>
        </row>
        <row r="1068">
          <cell r="C1068" t="str">
            <v>&lt;-- enter valid PB./Acc. # in this cell!</v>
          </cell>
          <cell r="F1068" t="str">
            <v>OK</v>
          </cell>
        </row>
        <row r="1069">
          <cell r="C1069" t="str">
            <v>&lt;-- enter valid PB./Acc. # in this cell!</v>
          </cell>
          <cell r="F1069" t="str">
            <v>OK</v>
          </cell>
        </row>
        <row r="1070">
          <cell r="C1070" t="str">
            <v>&lt;-- enter valid PB./Acc. # in this cell!</v>
          </cell>
          <cell r="F1070" t="str">
            <v>OK</v>
          </cell>
        </row>
        <row r="1071">
          <cell r="C1071" t="str">
            <v>&lt;-- enter valid PB./Acc. # in this cell!</v>
          </cell>
          <cell r="F1071" t="str">
            <v>OK</v>
          </cell>
        </row>
        <row r="1072">
          <cell r="C1072" t="str">
            <v>&lt;-- enter valid PB./Acc. # in this cell!</v>
          </cell>
          <cell r="F1072" t="str">
            <v>OK</v>
          </cell>
        </row>
        <row r="1073">
          <cell r="C1073" t="str">
            <v>&lt;-- enter valid PB./Acc. # in this cell!</v>
          </cell>
          <cell r="F1073" t="str">
            <v>OK</v>
          </cell>
        </row>
        <row r="1074">
          <cell r="C1074" t="str">
            <v>&lt;-- enter valid PB./Acc. # in this cell!</v>
          </cell>
          <cell r="F1074" t="str">
            <v>OK</v>
          </cell>
        </row>
        <row r="1075">
          <cell r="C1075" t="str">
            <v>&lt;-- enter valid PB./Acc. # in this cell!</v>
          </cell>
          <cell r="F1075" t="str">
            <v>OK</v>
          </cell>
        </row>
        <row r="1076">
          <cell r="C1076" t="str">
            <v>&lt;-- enter valid PB./Acc. # in this cell!</v>
          </cell>
          <cell r="F1076" t="str">
            <v>OK</v>
          </cell>
        </row>
        <row r="1077">
          <cell r="C1077" t="str">
            <v>&lt;-- enter valid PB./Acc. # in this cell!</v>
          </cell>
          <cell r="F1077" t="str">
            <v>OK</v>
          </cell>
        </row>
        <row r="1078">
          <cell r="C1078" t="str">
            <v>&lt;-- enter valid PB./Acc. # in this cell!</v>
          </cell>
          <cell r="F1078" t="str">
            <v>OK</v>
          </cell>
        </row>
        <row r="1079">
          <cell r="C1079" t="str">
            <v>&lt;-- enter valid PB./Acc. # in this cell!</v>
          </cell>
          <cell r="F1079" t="str">
            <v>OK</v>
          </cell>
        </row>
        <row r="1080">
          <cell r="C1080" t="str">
            <v>&lt;-- enter valid PB./Acc. # in this cell!</v>
          </cell>
          <cell r="F1080" t="str">
            <v>OK</v>
          </cell>
        </row>
        <row r="1081">
          <cell r="C1081" t="str">
            <v>&lt;-- enter valid PB./Acc. # in this cell!</v>
          </cell>
          <cell r="F1081" t="str">
            <v>OK</v>
          </cell>
        </row>
        <row r="1082">
          <cell r="C1082" t="str">
            <v>&lt;-- enter valid PB./Acc. # in this cell!</v>
          </cell>
          <cell r="F1082" t="str">
            <v>OK</v>
          </cell>
        </row>
        <row r="1083">
          <cell r="C1083" t="str">
            <v>&lt;-- enter valid PB./Acc. # in this cell!</v>
          </cell>
          <cell r="F1083" t="str">
            <v>OK</v>
          </cell>
        </row>
        <row r="1084">
          <cell r="C1084" t="str">
            <v>&lt;-- enter valid PB./Acc. # in this cell!</v>
          </cell>
          <cell r="F1084" t="str">
            <v>OK</v>
          </cell>
        </row>
        <row r="1085">
          <cell r="C1085" t="str">
            <v>&lt;-- enter valid PB./Acc. # in this cell!</v>
          </cell>
          <cell r="F1085" t="str">
            <v>OK</v>
          </cell>
        </row>
        <row r="1086">
          <cell r="C1086" t="str">
            <v>&lt;-- enter valid PB./Acc. # in this cell!</v>
          </cell>
          <cell r="F1086" t="str">
            <v>OK</v>
          </cell>
        </row>
        <row r="1087">
          <cell r="C1087" t="str">
            <v>&lt;-- enter valid PB./Acc. # in this cell!</v>
          </cell>
          <cell r="F1087" t="str">
            <v>OK</v>
          </cell>
        </row>
        <row r="1088">
          <cell r="C1088" t="str">
            <v>&lt;-- enter valid PB./Acc. # in this cell!</v>
          </cell>
          <cell r="F1088" t="str">
            <v>OK</v>
          </cell>
        </row>
        <row r="1089">
          <cell r="C1089" t="str">
            <v>&lt;-- enter valid PB./Acc. # in this cell!</v>
          </cell>
          <cell r="F1089" t="str">
            <v>OK</v>
          </cell>
        </row>
        <row r="1090">
          <cell r="C1090" t="str">
            <v>&lt;-- enter valid PB./Acc. # in this cell!</v>
          </cell>
          <cell r="F1090" t="str">
            <v>OK</v>
          </cell>
        </row>
        <row r="1091">
          <cell r="C1091" t="str">
            <v>&lt;-- enter valid PB./Acc. # in this cell!</v>
          </cell>
          <cell r="F1091" t="str">
            <v>OK</v>
          </cell>
        </row>
        <row r="1092">
          <cell r="C1092" t="str">
            <v>&lt;-- enter valid PB./Acc. # in this cell!</v>
          </cell>
          <cell r="F1092" t="str">
            <v>OK</v>
          </cell>
        </row>
        <row r="1093">
          <cell r="C1093" t="str">
            <v>&lt;-- enter valid PB./Acc. # in this cell!</v>
          </cell>
          <cell r="F1093" t="str">
            <v>OK</v>
          </cell>
        </row>
        <row r="1094">
          <cell r="C1094" t="str">
            <v>&lt;-- enter valid PB./Acc. # in this cell!</v>
          </cell>
          <cell r="F1094" t="str">
            <v>OK</v>
          </cell>
        </row>
        <row r="1095">
          <cell r="C1095" t="str">
            <v>&lt;-- enter valid PB./Acc. # in this cell!</v>
          </cell>
          <cell r="F1095" t="str">
            <v>OK</v>
          </cell>
        </row>
        <row r="1096">
          <cell r="C1096" t="str">
            <v>&lt;-- enter valid PB./Acc. # in this cell!</v>
          </cell>
          <cell r="F1096" t="str">
            <v>OK</v>
          </cell>
        </row>
        <row r="1097">
          <cell r="C1097" t="str">
            <v>&lt;-- enter valid PB./Acc. # in this cell!</v>
          </cell>
          <cell r="F1097" t="str">
            <v>OK</v>
          </cell>
        </row>
        <row r="1098">
          <cell r="C1098" t="str">
            <v>&lt;-- enter valid PB./Acc. # in this cell!</v>
          </cell>
          <cell r="F1098" t="str">
            <v>OK</v>
          </cell>
        </row>
        <row r="1099">
          <cell r="C1099" t="str">
            <v>&lt;-- enter valid PB./Acc. # in this cell!</v>
          </cell>
          <cell r="F1099" t="str">
            <v>OK</v>
          </cell>
        </row>
        <row r="1100">
          <cell r="C1100" t="str">
            <v>&lt;-- enter valid PB./Acc. # in this cell!</v>
          </cell>
          <cell r="F1100" t="str">
            <v>OK</v>
          </cell>
        </row>
        <row r="1101">
          <cell r="C1101" t="str">
            <v>&lt;-- enter valid PB./Acc. # in this cell!</v>
          </cell>
          <cell r="F1101" t="str">
            <v>OK</v>
          </cell>
        </row>
        <row r="1102">
          <cell r="C1102" t="str">
            <v>&lt;-- enter valid PB./Acc. # in this cell!</v>
          </cell>
          <cell r="F1102" t="str">
            <v>OK</v>
          </cell>
        </row>
        <row r="1103">
          <cell r="C1103" t="str">
            <v>&lt;-- enter valid PB./Acc. # in this cell!</v>
          </cell>
          <cell r="F1103" t="str">
            <v>OK</v>
          </cell>
        </row>
        <row r="1104">
          <cell r="C1104" t="str">
            <v>&lt;-- enter valid PB./Acc. # in this cell!</v>
          </cell>
          <cell r="F1104" t="str">
            <v>OK</v>
          </cell>
        </row>
        <row r="1105">
          <cell r="C1105" t="str">
            <v>&lt;-- enter valid PB./Acc. # in this cell!</v>
          </cell>
          <cell r="F1105" t="str">
            <v>OK</v>
          </cell>
        </row>
        <row r="1106">
          <cell r="C1106" t="str">
            <v>&lt;-- enter valid PB./Acc. # in this cell!</v>
          </cell>
          <cell r="F1106" t="str">
            <v>OK</v>
          </cell>
        </row>
        <row r="1107">
          <cell r="C1107" t="str">
            <v>&lt;-- enter valid PB./Acc. # in this cell!</v>
          </cell>
          <cell r="F1107" t="str">
            <v>OK</v>
          </cell>
        </row>
        <row r="1108">
          <cell r="C1108" t="str">
            <v>&lt;-- enter valid PB./Acc. # in this cell!</v>
          </cell>
          <cell r="F1108" t="str">
            <v>OK</v>
          </cell>
        </row>
        <row r="1109">
          <cell r="C1109" t="str">
            <v>&lt;-- enter valid PB./Acc. # in this cell!</v>
          </cell>
          <cell r="F1109" t="str">
            <v>OK</v>
          </cell>
        </row>
        <row r="1110">
          <cell r="C1110" t="str">
            <v>&lt;-- enter valid PB./Acc. # in this cell!</v>
          </cell>
          <cell r="F1110" t="str">
            <v>OK</v>
          </cell>
        </row>
        <row r="1111">
          <cell r="C1111" t="str">
            <v>&lt;-- enter valid PB./Acc. # in this cell!</v>
          </cell>
          <cell r="F1111" t="str">
            <v>OK</v>
          </cell>
        </row>
        <row r="1112">
          <cell r="C1112" t="str">
            <v>&lt;-- enter valid PB./Acc. # in this cell!</v>
          </cell>
          <cell r="F1112" t="str">
            <v>OK</v>
          </cell>
        </row>
        <row r="1113">
          <cell r="C1113" t="str">
            <v>&lt;-- enter valid PB./Acc. # in this cell!</v>
          </cell>
          <cell r="F1113" t="str">
            <v>OK</v>
          </cell>
        </row>
        <row r="1114">
          <cell r="C1114" t="str">
            <v>&lt;-- enter valid PB./Acc. # in this cell!</v>
          </cell>
          <cell r="F1114" t="str">
            <v>OK</v>
          </cell>
        </row>
        <row r="1115">
          <cell r="C1115" t="str">
            <v>&lt;-- enter valid PB./Acc. # in this cell!</v>
          </cell>
          <cell r="F1115" t="str">
            <v>OK</v>
          </cell>
        </row>
        <row r="1116">
          <cell r="C1116" t="str">
            <v>&lt;-- enter valid PB./Acc. # in this cell!</v>
          </cell>
          <cell r="F1116" t="str">
            <v>OK</v>
          </cell>
        </row>
        <row r="1117">
          <cell r="C1117" t="str">
            <v>&lt;-- enter valid PB./Acc. # in this cell!</v>
          </cell>
          <cell r="F1117" t="str">
            <v>OK</v>
          </cell>
        </row>
        <row r="1118">
          <cell r="C1118" t="str">
            <v>&lt;-- enter valid PB./Acc. # in this cell!</v>
          </cell>
          <cell r="F1118" t="str">
            <v>OK</v>
          </cell>
        </row>
        <row r="1119">
          <cell r="C1119" t="str">
            <v>&lt;-- enter valid PB./Acc. # in this cell!</v>
          </cell>
          <cell r="F1119" t="str">
            <v>OK</v>
          </cell>
        </row>
        <row r="1120">
          <cell r="C1120" t="str">
            <v>&lt;-- enter valid PB./Acc. # in this cell!</v>
          </cell>
          <cell r="F1120" t="str">
            <v>OK</v>
          </cell>
        </row>
        <row r="1121">
          <cell r="C1121" t="str">
            <v>&lt;-- enter valid PB./Acc. # in this cell!</v>
          </cell>
          <cell r="F1121" t="str">
            <v>OK</v>
          </cell>
        </row>
        <row r="1122">
          <cell r="C1122" t="str">
            <v>&lt;-- enter valid PB./Acc. # in this cell!</v>
          </cell>
          <cell r="F1122" t="str">
            <v>OK</v>
          </cell>
        </row>
        <row r="1123">
          <cell r="C1123" t="str">
            <v>&lt;-- enter valid PB./Acc. # in this cell!</v>
          </cell>
          <cell r="F1123" t="str">
            <v>OK</v>
          </cell>
        </row>
        <row r="1124">
          <cell r="C1124" t="str">
            <v>&lt;-- enter valid PB./Acc. # in this cell!</v>
          </cell>
          <cell r="F1124" t="str">
            <v>OK</v>
          </cell>
        </row>
        <row r="1125">
          <cell r="C1125" t="str">
            <v>&lt;-- enter valid PB./Acc. # in this cell!</v>
          </cell>
          <cell r="F1125" t="str">
            <v>OK</v>
          </cell>
        </row>
        <row r="1126">
          <cell r="C1126" t="str">
            <v>&lt;-- enter valid PB./Acc. # in this cell!</v>
          </cell>
          <cell r="F1126" t="str">
            <v>OK</v>
          </cell>
        </row>
        <row r="1127">
          <cell r="C1127" t="str">
            <v>&lt;-- enter valid PB./Acc. # in this cell!</v>
          </cell>
          <cell r="F1127" t="str">
            <v>OK</v>
          </cell>
        </row>
        <row r="1128">
          <cell r="C1128" t="str">
            <v>&lt;-- enter valid PB./Acc. # in this cell!</v>
          </cell>
          <cell r="F1128" t="str">
            <v>OK</v>
          </cell>
        </row>
        <row r="1129">
          <cell r="C1129" t="str">
            <v>&lt;-- enter valid PB./Acc. # in this cell!</v>
          </cell>
          <cell r="F1129" t="str">
            <v>OK</v>
          </cell>
        </row>
        <row r="1130">
          <cell r="C1130" t="str">
            <v>&lt;-- enter valid PB./Acc. # in this cell!</v>
          </cell>
          <cell r="F1130" t="str">
            <v>OK</v>
          </cell>
        </row>
        <row r="1131">
          <cell r="C1131" t="str">
            <v>&lt;-- enter valid PB./Acc. # in this cell!</v>
          </cell>
          <cell r="F1131" t="str">
            <v>OK</v>
          </cell>
        </row>
        <row r="1132">
          <cell r="C1132" t="str">
            <v>&lt;-- enter valid PB./Acc. # in this cell!</v>
          </cell>
          <cell r="F1132" t="str">
            <v>OK</v>
          </cell>
        </row>
        <row r="1133">
          <cell r="C1133" t="str">
            <v>&lt;-- enter valid PB./Acc. # in this cell!</v>
          </cell>
          <cell r="F1133" t="str">
            <v>OK</v>
          </cell>
        </row>
        <row r="1134">
          <cell r="C1134" t="str">
            <v>&lt;-- enter valid PB./Acc. # in this cell!</v>
          </cell>
          <cell r="F1134" t="str">
            <v>OK</v>
          </cell>
        </row>
        <row r="1135">
          <cell r="C1135" t="str">
            <v>&lt;-- enter valid PB./Acc. # in this cell!</v>
          </cell>
          <cell r="F1135" t="str">
            <v>OK</v>
          </cell>
        </row>
        <row r="1136">
          <cell r="C1136" t="str">
            <v>&lt;-- enter valid PB./Acc. # in this cell!</v>
          </cell>
          <cell r="F1136" t="str">
            <v>OK</v>
          </cell>
        </row>
        <row r="1137">
          <cell r="C1137" t="str">
            <v>&lt;-- enter valid PB./Acc. # in this cell!</v>
          </cell>
          <cell r="F1137" t="str">
            <v>OK</v>
          </cell>
        </row>
        <row r="1138">
          <cell r="C1138" t="str">
            <v>&lt;-- enter valid PB./Acc. # in this cell!</v>
          </cell>
          <cell r="F1138" t="str">
            <v>OK</v>
          </cell>
        </row>
        <row r="1139">
          <cell r="C1139" t="str">
            <v>&lt;-- enter valid PB./Acc. # in this cell!</v>
          </cell>
          <cell r="F1139" t="str">
            <v>OK</v>
          </cell>
        </row>
        <row r="1140">
          <cell r="C1140" t="str">
            <v>&lt;-- enter valid PB./Acc. # in this cell!</v>
          </cell>
          <cell r="F1140" t="str">
            <v>OK</v>
          </cell>
        </row>
        <row r="1141">
          <cell r="C1141" t="str">
            <v>&lt;-- enter valid PB./Acc. # in this cell!</v>
          </cell>
          <cell r="F1141" t="str">
            <v>OK</v>
          </cell>
        </row>
        <row r="1142">
          <cell r="C1142" t="str">
            <v>&lt;-- enter valid PB./Acc. # in this cell!</v>
          </cell>
          <cell r="F1142" t="str">
            <v>OK</v>
          </cell>
        </row>
        <row r="1143">
          <cell r="C1143" t="str">
            <v>&lt;-- enter valid PB./Acc. # in this cell!</v>
          </cell>
          <cell r="F1143" t="str">
            <v>OK</v>
          </cell>
        </row>
        <row r="1144">
          <cell r="C1144" t="str">
            <v>&lt;-- enter valid PB./Acc. # in this cell!</v>
          </cell>
          <cell r="F1144" t="str">
            <v>OK</v>
          </cell>
        </row>
        <row r="1145">
          <cell r="C1145" t="str">
            <v>&lt;-- enter valid PB./Acc. # in this cell!</v>
          </cell>
          <cell r="F1145" t="str">
            <v>OK</v>
          </cell>
        </row>
        <row r="1146">
          <cell r="C1146" t="str">
            <v>&lt;-- enter valid PB./Acc. # in this cell!</v>
          </cell>
          <cell r="F1146" t="str">
            <v>OK</v>
          </cell>
        </row>
        <row r="1147">
          <cell r="C1147" t="str">
            <v>&lt;-- enter valid PB./Acc. # in this cell!</v>
          </cell>
          <cell r="F1147" t="str">
            <v>OK</v>
          </cell>
        </row>
        <row r="1148">
          <cell r="C1148" t="str">
            <v>&lt;-- enter valid PB./Acc. # in this cell!</v>
          </cell>
          <cell r="F1148" t="str">
            <v>OK</v>
          </cell>
        </row>
        <row r="1149">
          <cell r="C1149" t="str">
            <v>&lt;-- enter valid PB./Acc. # in this cell!</v>
          </cell>
          <cell r="F1149" t="str">
            <v>OK</v>
          </cell>
        </row>
        <row r="1150">
          <cell r="C1150" t="str">
            <v>&lt;-- enter valid PB./Acc. # in this cell!</v>
          </cell>
          <cell r="F1150" t="str">
            <v>OK</v>
          </cell>
        </row>
        <row r="1151">
          <cell r="C1151" t="str">
            <v>&lt;-- enter valid PB./Acc. # in this cell!</v>
          </cell>
          <cell r="F1151" t="str">
            <v>OK</v>
          </cell>
        </row>
        <row r="1152">
          <cell r="C1152" t="str">
            <v>&lt;-- enter valid PB./Acc. # in this cell!</v>
          </cell>
          <cell r="F1152" t="str">
            <v>OK</v>
          </cell>
        </row>
        <row r="1153">
          <cell r="C1153" t="str">
            <v>&lt;-- enter valid PB./Acc. # in this cell!</v>
          </cell>
          <cell r="F1153" t="str">
            <v>OK</v>
          </cell>
        </row>
        <row r="1154">
          <cell r="C1154" t="str">
            <v>&lt;-- enter valid PB./Acc. # in this cell!</v>
          </cell>
          <cell r="F1154" t="str">
            <v>OK</v>
          </cell>
        </row>
        <row r="1155">
          <cell r="C1155" t="str">
            <v>&lt;-- enter valid PB./Acc. # in this cell!</v>
          </cell>
          <cell r="F1155" t="str">
            <v>OK</v>
          </cell>
        </row>
        <row r="1156">
          <cell r="C1156" t="str">
            <v>&lt;-- enter valid PB./Acc. # in this cell!</v>
          </cell>
          <cell r="F1156" t="str">
            <v>OK</v>
          </cell>
        </row>
        <row r="1157">
          <cell r="C1157" t="str">
            <v>&lt;-- enter valid PB./Acc. # in this cell!</v>
          </cell>
          <cell r="F1157" t="str">
            <v>OK</v>
          </cell>
        </row>
        <row r="1158">
          <cell r="C1158" t="str">
            <v>&lt;-- enter valid PB./Acc. # in this cell!</v>
          </cell>
          <cell r="F1158" t="str">
            <v>OK</v>
          </cell>
        </row>
        <row r="1159">
          <cell r="C1159" t="str">
            <v>&lt;-- enter valid PB./Acc. # in this cell!</v>
          </cell>
          <cell r="F1159" t="str">
            <v>OK</v>
          </cell>
        </row>
        <row r="1160">
          <cell r="C1160" t="str">
            <v>&lt;-- enter valid PB./Acc. # in this cell!</v>
          </cell>
          <cell r="F1160" t="str">
            <v>OK</v>
          </cell>
        </row>
        <row r="1161">
          <cell r="C1161" t="str">
            <v>&lt;-- enter valid PB./Acc. # in this cell!</v>
          </cell>
          <cell r="F1161" t="str">
            <v>OK</v>
          </cell>
        </row>
        <row r="1162">
          <cell r="C1162" t="str">
            <v>&lt;-- enter valid PB./Acc. # in this cell!</v>
          </cell>
          <cell r="F1162" t="str">
            <v>OK</v>
          </cell>
        </row>
        <row r="1163">
          <cell r="C1163" t="str">
            <v>&lt;-- enter valid PB./Acc. # in this cell!</v>
          </cell>
          <cell r="F1163" t="str">
            <v>OK</v>
          </cell>
        </row>
        <row r="1164">
          <cell r="C1164" t="str">
            <v>&lt;-- enter valid PB./Acc. # in this cell!</v>
          </cell>
          <cell r="F1164" t="str">
            <v>OK</v>
          </cell>
        </row>
        <row r="1165">
          <cell r="C1165" t="str">
            <v>&lt;-- enter valid PB./Acc. # in this cell!</v>
          </cell>
          <cell r="F1165" t="str">
            <v>OK</v>
          </cell>
        </row>
        <row r="1166">
          <cell r="C1166" t="str">
            <v>&lt;-- enter valid PB./Acc. # in this cell!</v>
          </cell>
          <cell r="F1166" t="str">
            <v>OK</v>
          </cell>
        </row>
        <row r="1167">
          <cell r="C1167" t="str">
            <v>&lt;-- enter valid PB./Acc. # in this cell!</v>
          </cell>
          <cell r="F1167" t="str">
            <v>OK</v>
          </cell>
        </row>
        <row r="1168">
          <cell r="C1168" t="str">
            <v>&lt;-- enter valid PB./Acc. # in this cell!</v>
          </cell>
          <cell r="F1168" t="str">
            <v>OK</v>
          </cell>
        </row>
        <row r="1169">
          <cell r="C1169" t="str">
            <v>&lt;-- enter valid PB./Acc. # in this cell!</v>
          </cell>
          <cell r="F1169" t="str">
            <v>OK</v>
          </cell>
        </row>
        <row r="1170">
          <cell r="C1170" t="str">
            <v>&lt;-- enter valid PB./Acc. # in this cell!</v>
          </cell>
          <cell r="F1170" t="str">
            <v>OK</v>
          </cell>
        </row>
        <row r="1171">
          <cell r="C1171" t="str">
            <v>&lt;-- enter valid PB./Acc. # in this cell!</v>
          </cell>
          <cell r="F1171" t="str">
            <v>OK</v>
          </cell>
        </row>
        <row r="1172">
          <cell r="C1172" t="str">
            <v>&lt;-- enter valid PB./Acc. # in this cell!</v>
          </cell>
          <cell r="F1172" t="str">
            <v>OK</v>
          </cell>
        </row>
        <row r="1173">
          <cell r="C1173" t="str">
            <v>&lt;-- enter valid PB./Acc. # in this cell!</v>
          </cell>
          <cell r="F1173" t="str">
            <v>OK</v>
          </cell>
        </row>
        <row r="1174">
          <cell r="C1174" t="str">
            <v>&lt;-- enter valid PB./Acc. # in this cell!</v>
          </cell>
          <cell r="F1174" t="str">
            <v>OK</v>
          </cell>
        </row>
        <row r="1175">
          <cell r="C1175" t="str">
            <v>&lt;-- enter valid PB./Acc. # in this cell!</v>
          </cell>
          <cell r="F1175" t="str">
            <v>OK</v>
          </cell>
        </row>
        <row r="1176">
          <cell r="C1176" t="str">
            <v>&lt;-- enter valid PB./Acc. # in this cell!</v>
          </cell>
          <cell r="F1176" t="str">
            <v>OK</v>
          </cell>
        </row>
        <row r="1177">
          <cell r="C1177" t="str">
            <v>&lt;-- enter valid PB./Acc. # in this cell!</v>
          </cell>
          <cell r="F1177" t="str">
            <v>OK</v>
          </cell>
        </row>
        <row r="1178">
          <cell r="C1178" t="str">
            <v>&lt;-- enter valid PB./Acc. # in this cell!</v>
          </cell>
          <cell r="F1178" t="str">
            <v>OK</v>
          </cell>
        </row>
        <row r="1179">
          <cell r="C1179" t="str">
            <v>&lt;-- enter valid PB./Acc. # in this cell!</v>
          </cell>
          <cell r="F1179" t="str">
            <v>OK</v>
          </cell>
        </row>
        <row r="1180">
          <cell r="C1180" t="str">
            <v>&lt;-- enter valid PB./Acc. # in this cell!</v>
          </cell>
          <cell r="F1180" t="str">
            <v>OK</v>
          </cell>
        </row>
        <row r="1181">
          <cell r="C1181" t="str">
            <v>&lt;-- enter valid PB./Acc. # in this cell!</v>
          </cell>
          <cell r="F1181" t="str">
            <v>OK</v>
          </cell>
        </row>
        <row r="1182">
          <cell r="C1182" t="str">
            <v>&lt;-- enter valid PB./Acc. # in this cell!</v>
          </cell>
          <cell r="F1182" t="str">
            <v>OK</v>
          </cell>
        </row>
        <row r="1183">
          <cell r="C1183" t="str">
            <v>&lt;-- enter valid PB./Acc. # in this cell!</v>
          </cell>
          <cell r="F1183" t="str">
            <v>OK</v>
          </cell>
        </row>
        <row r="1184">
          <cell r="C1184" t="str">
            <v>&lt;-- enter valid PB./Acc. # in this cell!</v>
          </cell>
          <cell r="F1184" t="str">
            <v>OK</v>
          </cell>
        </row>
        <row r="1185">
          <cell r="C1185" t="str">
            <v>&lt;-- enter valid PB./Acc. # in this cell!</v>
          </cell>
          <cell r="F1185" t="str">
            <v>OK</v>
          </cell>
        </row>
        <row r="1186">
          <cell r="C1186" t="str">
            <v>&lt;-- enter valid PB./Acc. # in this cell!</v>
          </cell>
          <cell r="F1186" t="str">
            <v>OK</v>
          </cell>
        </row>
        <row r="1187">
          <cell r="C1187" t="str">
            <v>&lt;-- enter valid PB./Acc. # in this cell!</v>
          </cell>
          <cell r="F1187" t="str">
            <v>OK</v>
          </cell>
        </row>
        <row r="1188">
          <cell r="C1188" t="str">
            <v>&lt;-- enter valid PB./Acc. # in this cell!</v>
          </cell>
          <cell r="F1188" t="str">
            <v>OK</v>
          </cell>
        </row>
        <row r="1189">
          <cell r="C1189" t="str">
            <v>&lt;-- enter valid PB./Acc. # in this cell!</v>
          </cell>
          <cell r="F1189" t="str">
            <v>OK</v>
          </cell>
        </row>
        <row r="1190">
          <cell r="C1190" t="str">
            <v>&lt;-- enter valid PB./Acc. # in this cell!</v>
          </cell>
          <cell r="F1190" t="str">
            <v>OK</v>
          </cell>
        </row>
        <row r="1191">
          <cell r="C1191" t="str">
            <v>&lt;-- enter valid PB./Acc. # in this cell!</v>
          </cell>
          <cell r="F1191" t="str">
            <v>OK</v>
          </cell>
        </row>
        <row r="1192">
          <cell r="C1192" t="str">
            <v>&lt;-- enter valid PB./Acc. # in this cell!</v>
          </cell>
          <cell r="F1192" t="str">
            <v>OK</v>
          </cell>
        </row>
        <row r="1193">
          <cell r="C1193" t="str">
            <v>&lt;-- enter valid PB./Acc. # in this cell!</v>
          </cell>
          <cell r="F1193" t="str">
            <v>OK</v>
          </cell>
        </row>
        <row r="1194">
          <cell r="C1194" t="str">
            <v>&lt;-- enter valid PB./Acc. # in this cell!</v>
          </cell>
          <cell r="F1194" t="str">
            <v>OK</v>
          </cell>
        </row>
        <row r="1195">
          <cell r="C1195" t="str">
            <v>&lt;-- enter valid PB./Acc. # in this cell!</v>
          </cell>
          <cell r="F1195" t="str">
            <v>OK</v>
          </cell>
        </row>
        <row r="1196">
          <cell r="C1196" t="str">
            <v>&lt;-- enter valid PB./Acc. # in this cell!</v>
          </cell>
          <cell r="F1196" t="str">
            <v>OK</v>
          </cell>
        </row>
        <row r="1197">
          <cell r="C1197" t="str">
            <v>&lt;-- enter valid PB./Acc. # in this cell!</v>
          </cell>
          <cell r="F1197" t="str">
            <v>OK</v>
          </cell>
        </row>
        <row r="1198">
          <cell r="C1198" t="str">
            <v>&lt;-- enter valid PB./Acc. # in this cell!</v>
          </cell>
          <cell r="F1198" t="str">
            <v>OK</v>
          </cell>
        </row>
        <row r="1199">
          <cell r="C1199" t="str">
            <v>&lt;-- enter valid PB./Acc. # in this cell!</v>
          </cell>
          <cell r="F1199" t="str">
            <v>OK</v>
          </cell>
        </row>
        <row r="1200">
          <cell r="A1200" t="str">
            <v>Total Balances of October 2015</v>
          </cell>
          <cell r="F1200" t="str">
            <v>OK</v>
          </cell>
          <cell r="G1200">
            <v>0</v>
          </cell>
          <cell r="H1200">
            <v>0</v>
          </cell>
          <cell r="I1200">
            <v>0</v>
          </cell>
          <cell r="J1200">
            <v>0</v>
          </cell>
          <cell r="K1200">
            <v>0</v>
          </cell>
          <cell r="L1200">
            <v>0</v>
          </cell>
          <cell r="M1200">
            <v>0</v>
          </cell>
          <cell r="N1200">
            <v>0</v>
          </cell>
          <cell r="O1200">
            <v>0</v>
          </cell>
          <cell r="P1200">
            <v>0</v>
          </cell>
          <cell r="Q1200">
            <v>0</v>
          </cell>
          <cell r="R1200">
            <v>0</v>
          </cell>
          <cell r="S1200">
            <v>0</v>
          </cell>
          <cell r="T1200">
            <v>0</v>
          </cell>
          <cell r="AQ1200">
            <v>0</v>
          </cell>
        </row>
        <row r="1201">
          <cell r="A1201">
            <v>42338</v>
          </cell>
        </row>
        <row r="1202">
          <cell r="C1202" t="str">
            <v>&lt;-- enter valid PB./Acc. # in this cell!</v>
          </cell>
          <cell r="F1202" t="str">
            <v>OK</v>
          </cell>
        </row>
        <row r="1203">
          <cell r="C1203" t="str">
            <v>&lt;-- enter valid PB./Acc. # in this cell!</v>
          </cell>
          <cell r="F1203" t="str">
            <v>OK</v>
          </cell>
        </row>
        <row r="1204">
          <cell r="C1204" t="str">
            <v>&lt;-- enter valid PB./Acc. # in this cell!</v>
          </cell>
          <cell r="F1204" t="str">
            <v>OK</v>
          </cell>
        </row>
        <row r="1205">
          <cell r="C1205" t="str">
            <v>&lt;-- enter valid PB./Acc. # in this cell!</v>
          </cell>
          <cell r="F1205" t="str">
            <v>OK</v>
          </cell>
        </row>
        <row r="1206">
          <cell r="C1206" t="str">
            <v>&lt;-- enter valid PB./Acc. # in this cell!</v>
          </cell>
          <cell r="F1206" t="str">
            <v>OK</v>
          </cell>
        </row>
        <row r="1207">
          <cell r="C1207" t="str">
            <v>&lt;-- enter valid PB./Acc. # in this cell!</v>
          </cell>
          <cell r="F1207" t="str">
            <v>OK</v>
          </cell>
        </row>
        <row r="1208">
          <cell r="C1208" t="str">
            <v>&lt;-- enter valid PB./Acc. # in this cell!</v>
          </cell>
          <cell r="F1208" t="str">
            <v>OK</v>
          </cell>
        </row>
        <row r="1209">
          <cell r="C1209" t="str">
            <v>&lt;-- enter valid PB./Acc. # in this cell!</v>
          </cell>
          <cell r="F1209" t="str">
            <v>OK</v>
          </cell>
        </row>
        <row r="1210">
          <cell r="C1210" t="str">
            <v>&lt;-- enter valid PB./Acc. # in this cell!</v>
          </cell>
          <cell r="F1210" t="str">
            <v>OK</v>
          </cell>
        </row>
        <row r="1211">
          <cell r="C1211" t="str">
            <v>&lt;-- enter valid PB./Acc. # in this cell!</v>
          </cell>
          <cell r="F1211" t="str">
            <v>OK</v>
          </cell>
        </row>
        <row r="1212">
          <cell r="C1212" t="str">
            <v>&lt;-- enter valid PB./Acc. # in this cell!</v>
          </cell>
          <cell r="F1212" t="str">
            <v>OK</v>
          </cell>
        </row>
        <row r="1213">
          <cell r="C1213" t="str">
            <v>&lt;-- enter valid PB./Acc. # in this cell!</v>
          </cell>
          <cell r="F1213" t="str">
            <v>OK</v>
          </cell>
        </row>
        <row r="1214">
          <cell r="C1214" t="str">
            <v>&lt;-- enter valid PB./Acc. # in this cell!</v>
          </cell>
          <cell r="F1214" t="str">
            <v>OK</v>
          </cell>
        </row>
        <row r="1215">
          <cell r="C1215" t="str">
            <v>&lt;-- enter valid PB./Acc. # in this cell!</v>
          </cell>
          <cell r="F1215" t="str">
            <v>OK</v>
          </cell>
        </row>
        <row r="1216">
          <cell r="C1216" t="str">
            <v>&lt;-- enter valid PB./Acc. # in this cell!</v>
          </cell>
          <cell r="F1216" t="str">
            <v>OK</v>
          </cell>
        </row>
        <row r="1217">
          <cell r="C1217" t="str">
            <v>&lt;-- enter valid PB./Acc. # in this cell!</v>
          </cell>
          <cell r="F1217" t="str">
            <v>OK</v>
          </cell>
        </row>
        <row r="1218">
          <cell r="C1218" t="str">
            <v>&lt;-- enter valid PB./Acc. # in this cell!</v>
          </cell>
          <cell r="F1218" t="str">
            <v>OK</v>
          </cell>
        </row>
        <row r="1219">
          <cell r="C1219" t="str">
            <v>&lt;-- enter valid PB./Acc. # in this cell!</v>
          </cell>
          <cell r="F1219" t="str">
            <v>OK</v>
          </cell>
        </row>
        <row r="1220">
          <cell r="C1220" t="str">
            <v>&lt;-- enter valid PB./Acc. # in this cell!</v>
          </cell>
          <cell r="F1220" t="str">
            <v>OK</v>
          </cell>
        </row>
        <row r="1221">
          <cell r="C1221" t="str">
            <v>&lt;-- enter valid PB./Acc. # in this cell!</v>
          </cell>
          <cell r="F1221" t="str">
            <v>OK</v>
          </cell>
        </row>
        <row r="1222">
          <cell r="C1222" t="str">
            <v>&lt;-- enter valid PB./Acc. # in this cell!</v>
          </cell>
          <cell r="F1222" t="str">
            <v>OK</v>
          </cell>
        </row>
        <row r="1223">
          <cell r="C1223" t="str">
            <v>&lt;-- enter valid PB./Acc. # in this cell!</v>
          </cell>
          <cell r="F1223" t="str">
            <v>OK</v>
          </cell>
        </row>
        <row r="1224">
          <cell r="C1224" t="str">
            <v>&lt;-- enter valid PB./Acc. # in this cell!</v>
          </cell>
          <cell r="F1224" t="str">
            <v>OK</v>
          </cell>
        </row>
        <row r="1225">
          <cell r="C1225" t="str">
            <v>&lt;-- enter valid PB./Acc. # in this cell!</v>
          </cell>
          <cell r="F1225" t="str">
            <v>OK</v>
          </cell>
        </row>
        <row r="1226">
          <cell r="C1226" t="str">
            <v>&lt;-- enter valid PB./Acc. # in this cell!</v>
          </cell>
          <cell r="F1226" t="str">
            <v>OK</v>
          </cell>
        </row>
        <row r="1227">
          <cell r="C1227" t="str">
            <v>&lt;-- enter valid PB./Acc. # in this cell!</v>
          </cell>
          <cell r="F1227" t="str">
            <v>OK</v>
          </cell>
        </row>
        <row r="1228">
          <cell r="C1228" t="str">
            <v>&lt;-- enter valid PB./Acc. # in this cell!</v>
          </cell>
          <cell r="F1228" t="str">
            <v>OK</v>
          </cell>
        </row>
        <row r="1229">
          <cell r="C1229" t="str">
            <v>&lt;-- enter valid PB./Acc. # in this cell!</v>
          </cell>
          <cell r="F1229" t="str">
            <v>OK</v>
          </cell>
        </row>
        <row r="1230">
          <cell r="C1230" t="str">
            <v>&lt;-- enter valid PB./Acc. # in this cell!</v>
          </cell>
          <cell r="F1230" t="str">
            <v>OK</v>
          </cell>
        </row>
        <row r="1231">
          <cell r="C1231" t="str">
            <v>&lt;-- enter valid PB./Acc. # in this cell!</v>
          </cell>
          <cell r="F1231" t="str">
            <v>OK</v>
          </cell>
        </row>
        <row r="1232">
          <cell r="C1232" t="str">
            <v>&lt;-- enter valid PB./Acc. # in this cell!</v>
          </cell>
          <cell r="F1232" t="str">
            <v>OK</v>
          </cell>
        </row>
        <row r="1233">
          <cell r="C1233" t="str">
            <v>&lt;-- enter valid PB./Acc. # in this cell!</v>
          </cell>
          <cell r="F1233" t="str">
            <v>OK</v>
          </cell>
        </row>
        <row r="1234">
          <cell r="C1234" t="str">
            <v>&lt;-- enter valid PB./Acc. # in this cell!</v>
          </cell>
          <cell r="F1234" t="str">
            <v>OK</v>
          </cell>
        </row>
        <row r="1235">
          <cell r="C1235" t="str">
            <v>&lt;-- enter valid PB./Acc. # in this cell!</v>
          </cell>
          <cell r="F1235" t="str">
            <v>OK</v>
          </cell>
        </row>
        <row r="1236">
          <cell r="C1236" t="str">
            <v>&lt;-- enter valid PB./Acc. # in this cell!</v>
          </cell>
          <cell r="F1236" t="str">
            <v>OK</v>
          </cell>
        </row>
        <row r="1237">
          <cell r="C1237" t="str">
            <v>&lt;-- enter valid PB./Acc. # in this cell!</v>
          </cell>
          <cell r="F1237" t="str">
            <v>OK</v>
          </cell>
        </row>
        <row r="1238">
          <cell r="C1238" t="str">
            <v>&lt;-- enter valid PB./Acc. # in this cell!</v>
          </cell>
          <cell r="F1238" t="str">
            <v>OK</v>
          </cell>
        </row>
        <row r="1239">
          <cell r="C1239" t="str">
            <v>&lt;-- enter valid PB./Acc. # in this cell!</v>
          </cell>
          <cell r="F1239" t="str">
            <v>OK</v>
          </cell>
        </row>
        <row r="1240">
          <cell r="C1240" t="str">
            <v>&lt;-- enter valid PB./Acc. # in this cell!</v>
          </cell>
          <cell r="F1240" t="str">
            <v>OK</v>
          </cell>
        </row>
        <row r="1241">
          <cell r="C1241" t="str">
            <v>&lt;-- enter valid PB./Acc. # in this cell!</v>
          </cell>
          <cell r="F1241" t="str">
            <v>OK</v>
          </cell>
        </row>
        <row r="1242">
          <cell r="C1242" t="str">
            <v>&lt;-- enter valid PB./Acc. # in this cell!</v>
          </cell>
          <cell r="F1242" t="str">
            <v>OK</v>
          </cell>
        </row>
        <row r="1243">
          <cell r="C1243" t="str">
            <v>&lt;-- enter valid PB./Acc. # in this cell!</v>
          </cell>
          <cell r="F1243" t="str">
            <v>OK</v>
          </cell>
        </row>
        <row r="1244">
          <cell r="C1244" t="str">
            <v>&lt;-- enter valid PB./Acc. # in this cell!</v>
          </cell>
          <cell r="F1244" t="str">
            <v>OK</v>
          </cell>
        </row>
        <row r="1245">
          <cell r="C1245" t="str">
            <v>&lt;-- enter valid PB./Acc. # in this cell!</v>
          </cell>
          <cell r="F1245" t="str">
            <v>OK</v>
          </cell>
        </row>
        <row r="1246">
          <cell r="C1246" t="str">
            <v>&lt;-- enter valid PB./Acc. # in this cell!</v>
          </cell>
          <cell r="F1246" t="str">
            <v>OK</v>
          </cell>
        </row>
        <row r="1247">
          <cell r="C1247" t="str">
            <v>&lt;-- enter valid PB./Acc. # in this cell!</v>
          </cell>
          <cell r="F1247" t="str">
            <v>OK</v>
          </cell>
        </row>
        <row r="1248">
          <cell r="C1248" t="str">
            <v>&lt;-- enter valid PB./Acc. # in this cell!</v>
          </cell>
          <cell r="F1248" t="str">
            <v>OK</v>
          </cell>
        </row>
        <row r="1249">
          <cell r="C1249" t="str">
            <v>&lt;-- enter valid PB./Acc. # in this cell!</v>
          </cell>
          <cell r="F1249" t="str">
            <v>OK</v>
          </cell>
        </row>
        <row r="1250">
          <cell r="C1250" t="str">
            <v>&lt;-- enter valid PB./Acc. # in this cell!</v>
          </cell>
          <cell r="F1250" t="str">
            <v>OK</v>
          </cell>
        </row>
        <row r="1251">
          <cell r="C1251" t="str">
            <v>&lt;-- enter valid PB./Acc. # in this cell!</v>
          </cell>
          <cell r="F1251" t="str">
            <v>OK</v>
          </cell>
        </row>
        <row r="1252">
          <cell r="C1252" t="str">
            <v>&lt;-- enter valid PB./Acc. # in this cell!</v>
          </cell>
          <cell r="F1252" t="str">
            <v>OK</v>
          </cell>
        </row>
        <row r="1253">
          <cell r="C1253" t="str">
            <v>&lt;-- enter valid PB./Acc. # in this cell!</v>
          </cell>
          <cell r="F1253" t="str">
            <v>OK</v>
          </cell>
        </row>
        <row r="1254">
          <cell r="C1254" t="str">
            <v>&lt;-- enter valid PB./Acc. # in this cell!</v>
          </cell>
          <cell r="F1254" t="str">
            <v>OK</v>
          </cell>
        </row>
        <row r="1255">
          <cell r="C1255" t="str">
            <v>&lt;-- enter valid PB./Acc. # in this cell!</v>
          </cell>
          <cell r="F1255" t="str">
            <v>OK</v>
          </cell>
        </row>
        <row r="1256">
          <cell r="C1256" t="str">
            <v>&lt;-- enter valid PB./Acc. # in this cell!</v>
          </cell>
          <cell r="F1256" t="str">
            <v>OK</v>
          </cell>
        </row>
        <row r="1257">
          <cell r="C1257" t="str">
            <v>&lt;-- enter valid PB./Acc. # in this cell!</v>
          </cell>
          <cell r="F1257" t="str">
            <v>OK</v>
          </cell>
        </row>
        <row r="1258">
          <cell r="C1258" t="str">
            <v>&lt;-- enter valid PB./Acc. # in this cell!</v>
          </cell>
          <cell r="F1258" t="str">
            <v>OK</v>
          </cell>
        </row>
        <row r="1259">
          <cell r="C1259" t="str">
            <v>&lt;-- enter valid PB./Acc. # in this cell!</v>
          </cell>
          <cell r="F1259" t="str">
            <v>OK</v>
          </cell>
        </row>
        <row r="1260">
          <cell r="C1260" t="str">
            <v>&lt;-- enter valid PB./Acc. # in this cell!</v>
          </cell>
          <cell r="F1260" t="str">
            <v>OK</v>
          </cell>
        </row>
        <row r="1261">
          <cell r="C1261" t="str">
            <v>&lt;-- enter valid PB./Acc. # in this cell!</v>
          </cell>
          <cell r="F1261" t="str">
            <v>OK</v>
          </cell>
        </row>
        <row r="1262">
          <cell r="C1262" t="str">
            <v>&lt;-- enter valid PB./Acc. # in this cell!</v>
          </cell>
          <cell r="F1262" t="str">
            <v>OK</v>
          </cell>
        </row>
        <row r="1263">
          <cell r="C1263" t="str">
            <v>&lt;-- enter valid PB./Acc. # in this cell!</v>
          </cell>
          <cell r="F1263" t="str">
            <v>OK</v>
          </cell>
        </row>
        <row r="1264">
          <cell r="C1264" t="str">
            <v>&lt;-- enter valid PB./Acc. # in this cell!</v>
          </cell>
          <cell r="F1264" t="str">
            <v>OK</v>
          </cell>
        </row>
        <row r="1265">
          <cell r="C1265" t="str">
            <v>&lt;-- enter valid PB./Acc. # in this cell!</v>
          </cell>
          <cell r="F1265" t="str">
            <v>OK</v>
          </cell>
        </row>
        <row r="1266">
          <cell r="C1266" t="str">
            <v>&lt;-- enter valid PB./Acc. # in this cell!</v>
          </cell>
          <cell r="F1266" t="str">
            <v>OK</v>
          </cell>
        </row>
        <row r="1267">
          <cell r="C1267" t="str">
            <v>&lt;-- enter valid PB./Acc. # in this cell!</v>
          </cell>
          <cell r="F1267" t="str">
            <v>OK</v>
          </cell>
        </row>
        <row r="1268">
          <cell r="C1268" t="str">
            <v>&lt;-- enter valid PB./Acc. # in this cell!</v>
          </cell>
          <cell r="F1268" t="str">
            <v>OK</v>
          </cell>
        </row>
        <row r="1269">
          <cell r="C1269" t="str">
            <v>&lt;-- enter valid PB./Acc. # in this cell!</v>
          </cell>
          <cell r="F1269" t="str">
            <v>OK</v>
          </cell>
        </row>
        <row r="1270">
          <cell r="C1270" t="str">
            <v>&lt;-- enter valid PB./Acc. # in this cell!</v>
          </cell>
          <cell r="F1270" t="str">
            <v>OK</v>
          </cell>
        </row>
        <row r="1271">
          <cell r="C1271" t="str">
            <v>&lt;-- enter valid PB./Acc. # in this cell!</v>
          </cell>
          <cell r="F1271" t="str">
            <v>OK</v>
          </cell>
        </row>
        <row r="1272">
          <cell r="C1272" t="str">
            <v>&lt;-- enter valid PB./Acc. # in this cell!</v>
          </cell>
          <cell r="F1272" t="str">
            <v>OK</v>
          </cell>
        </row>
        <row r="1273">
          <cell r="C1273" t="str">
            <v>&lt;-- enter valid PB./Acc. # in this cell!</v>
          </cell>
          <cell r="F1273" t="str">
            <v>OK</v>
          </cell>
        </row>
        <row r="1274">
          <cell r="C1274" t="str">
            <v>&lt;-- enter valid PB./Acc. # in this cell!</v>
          </cell>
          <cell r="F1274" t="str">
            <v>OK</v>
          </cell>
        </row>
        <row r="1275">
          <cell r="C1275" t="str">
            <v>&lt;-- enter valid PB./Acc. # in this cell!</v>
          </cell>
          <cell r="F1275" t="str">
            <v>OK</v>
          </cell>
        </row>
        <row r="1276">
          <cell r="C1276" t="str">
            <v>&lt;-- enter valid PB./Acc. # in this cell!</v>
          </cell>
          <cell r="F1276" t="str">
            <v>OK</v>
          </cell>
        </row>
        <row r="1277">
          <cell r="C1277" t="str">
            <v>&lt;-- enter valid PB./Acc. # in this cell!</v>
          </cell>
          <cell r="F1277" t="str">
            <v>OK</v>
          </cell>
        </row>
        <row r="1278">
          <cell r="C1278" t="str">
            <v>&lt;-- enter valid PB./Acc. # in this cell!</v>
          </cell>
          <cell r="F1278" t="str">
            <v>OK</v>
          </cell>
        </row>
        <row r="1279">
          <cell r="C1279" t="str">
            <v>&lt;-- enter valid PB./Acc. # in this cell!</v>
          </cell>
          <cell r="F1279" t="str">
            <v>OK</v>
          </cell>
        </row>
        <row r="1280">
          <cell r="C1280" t="str">
            <v>&lt;-- enter valid PB./Acc. # in this cell!</v>
          </cell>
          <cell r="F1280" t="str">
            <v>OK</v>
          </cell>
        </row>
        <row r="1281">
          <cell r="C1281" t="str">
            <v>&lt;-- enter valid PB./Acc. # in this cell!</v>
          </cell>
          <cell r="F1281" t="str">
            <v>OK</v>
          </cell>
        </row>
        <row r="1282">
          <cell r="C1282" t="str">
            <v>&lt;-- enter valid PB./Acc. # in this cell!</v>
          </cell>
          <cell r="F1282" t="str">
            <v>OK</v>
          </cell>
        </row>
        <row r="1283">
          <cell r="C1283" t="str">
            <v>&lt;-- enter valid PB./Acc. # in this cell!</v>
          </cell>
          <cell r="F1283" t="str">
            <v>OK</v>
          </cell>
        </row>
        <row r="1284">
          <cell r="C1284" t="str">
            <v>&lt;-- enter valid PB./Acc. # in this cell!</v>
          </cell>
          <cell r="F1284" t="str">
            <v>OK</v>
          </cell>
        </row>
        <row r="1285">
          <cell r="C1285" t="str">
            <v>&lt;-- enter valid PB./Acc. # in this cell!</v>
          </cell>
          <cell r="F1285" t="str">
            <v>OK</v>
          </cell>
        </row>
        <row r="1286">
          <cell r="C1286" t="str">
            <v>&lt;-- enter valid PB./Acc. # in this cell!</v>
          </cell>
          <cell r="F1286" t="str">
            <v>OK</v>
          </cell>
        </row>
        <row r="1287">
          <cell r="C1287" t="str">
            <v>&lt;-- enter valid PB./Acc. # in this cell!</v>
          </cell>
          <cell r="F1287" t="str">
            <v>OK</v>
          </cell>
        </row>
        <row r="1288">
          <cell r="C1288" t="str">
            <v>&lt;-- enter valid PB./Acc. # in this cell!</v>
          </cell>
          <cell r="F1288" t="str">
            <v>OK</v>
          </cell>
        </row>
        <row r="1289">
          <cell r="C1289" t="str">
            <v>&lt;-- enter valid PB./Acc. # in this cell!</v>
          </cell>
          <cell r="F1289" t="str">
            <v>OK</v>
          </cell>
        </row>
        <row r="1290">
          <cell r="C1290" t="str">
            <v>&lt;-- enter valid PB./Acc. # in this cell!</v>
          </cell>
          <cell r="F1290" t="str">
            <v>OK</v>
          </cell>
        </row>
        <row r="1291">
          <cell r="C1291" t="str">
            <v>&lt;-- enter valid PB./Acc. # in this cell!</v>
          </cell>
          <cell r="F1291" t="str">
            <v>OK</v>
          </cell>
        </row>
        <row r="1292">
          <cell r="C1292" t="str">
            <v>&lt;-- enter valid PB./Acc. # in this cell!</v>
          </cell>
          <cell r="F1292" t="str">
            <v>OK</v>
          </cell>
        </row>
        <row r="1293">
          <cell r="C1293" t="str">
            <v>&lt;-- enter valid PB./Acc. # in this cell!</v>
          </cell>
          <cell r="F1293" t="str">
            <v>OK</v>
          </cell>
        </row>
        <row r="1294">
          <cell r="C1294" t="str">
            <v>&lt;-- enter valid PB./Acc. # in this cell!</v>
          </cell>
          <cell r="F1294" t="str">
            <v>OK</v>
          </cell>
        </row>
        <row r="1295">
          <cell r="C1295" t="str">
            <v>&lt;-- enter valid PB./Acc. # in this cell!</v>
          </cell>
          <cell r="F1295" t="str">
            <v>OK</v>
          </cell>
        </row>
        <row r="1296">
          <cell r="C1296" t="str">
            <v>&lt;-- enter valid PB./Acc. # in this cell!</v>
          </cell>
          <cell r="F1296" t="str">
            <v>OK</v>
          </cell>
        </row>
        <row r="1297">
          <cell r="C1297" t="str">
            <v>&lt;-- enter valid PB./Acc. # in this cell!</v>
          </cell>
          <cell r="F1297" t="str">
            <v>OK</v>
          </cell>
        </row>
        <row r="1298">
          <cell r="C1298" t="str">
            <v>&lt;-- enter valid PB./Acc. # in this cell!</v>
          </cell>
          <cell r="F1298" t="str">
            <v>OK</v>
          </cell>
        </row>
        <row r="1299">
          <cell r="C1299" t="str">
            <v>&lt;-- enter valid PB./Acc. # in this cell!</v>
          </cell>
          <cell r="F1299" t="str">
            <v>OK</v>
          </cell>
        </row>
        <row r="1300">
          <cell r="C1300" t="str">
            <v>&lt;-- enter valid PB./Acc. # in this cell!</v>
          </cell>
          <cell r="F1300" t="str">
            <v>OK</v>
          </cell>
        </row>
        <row r="1301">
          <cell r="C1301" t="str">
            <v>&lt;-- enter valid PB./Acc. # in this cell!</v>
          </cell>
          <cell r="F1301" t="str">
            <v>OK</v>
          </cell>
        </row>
        <row r="1302">
          <cell r="C1302" t="str">
            <v>&lt;-- enter valid PB./Acc. # in this cell!</v>
          </cell>
          <cell r="F1302" t="str">
            <v>OK</v>
          </cell>
        </row>
        <row r="1303">
          <cell r="C1303" t="str">
            <v>&lt;-- enter valid PB./Acc. # in this cell!</v>
          </cell>
          <cell r="F1303" t="str">
            <v>OK</v>
          </cell>
        </row>
        <row r="1304">
          <cell r="C1304" t="str">
            <v>&lt;-- enter valid PB./Acc. # in this cell!</v>
          </cell>
          <cell r="F1304" t="str">
            <v>OK</v>
          </cell>
        </row>
        <row r="1305">
          <cell r="C1305" t="str">
            <v>&lt;-- enter valid PB./Acc. # in this cell!</v>
          </cell>
          <cell r="F1305" t="str">
            <v>OK</v>
          </cell>
        </row>
        <row r="1306">
          <cell r="C1306" t="str">
            <v>&lt;-- enter valid PB./Acc. # in this cell!</v>
          </cell>
          <cell r="F1306" t="str">
            <v>OK</v>
          </cell>
        </row>
        <row r="1307">
          <cell r="C1307" t="str">
            <v>&lt;-- enter valid PB./Acc. # in this cell!</v>
          </cell>
          <cell r="F1307" t="str">
            <v>OK</v>
          </cell>
        </row>
        <row r="1308">
          <cell r="C1308" t="str">
            <v>&lt;-- enter valid PB./Acc. # in this cell!</v>
          </cell>
          <cell r="F1308" t="str">
            <v>OK</v>
          </cell>
        </row>
        <row r="1309">
          <cell r="C1309" t="str">
            <v>&lt;-- enter valid PB./Acc. # in this cell!</v>
          </cell>
          <cell r="F1309" t="str">
            <v>OK</v>
          </cell>
        </row>
        <row r="1310">
          <cell r="C1310" t="str">
            <v>&lt;-- enter valid PB./Acc. # in this cell!</v>
          </cell>
          <cell r="F1310" t="str">
            <v>OK</v>
          </cell>
        </row>
        <row r="1311">
          <cell r="C1311" t="str">
            <v>&lt;-- enter valid PB./Acc. # in this cell!</v>
          </cell>
          <cell r="F1311" t="str">
            <v>OK</v>
          </cell>
        </row>
        <row r="1312">
          <cell r="C1312" t="str">
            <v>&lt;-- enter valid PB./Acc. # in this cell!</v>
          </cell>
          <cell r="F1312" t="str">
            <v>OK</v>
          </cell>
        </row>
        <row r="1313">
          <cell r="C1313" t="str">
            <v>&lt;-- enter valid PB./Acc. # in this cell!</v>
          </cell>
          <cell r="F1313" t="str">
            <v>OK</v>
          </cell>
        </row>
        <row r="1314">
          <cell r="C1314" t="str">
            <v>&lt;-- enter valid PB./Acc. # in this cell!</v>
          </cell>
          <cell r="F1314" t="str">
            <v>OK</v>
          </cell>
        </row>
        <row r="1315">
          <cell r="C1315" t="str">
            <v>&lt;-- enter valid PB./Acc. # in this cell!</v>
          </cell>
          <cell r="F1315" t="str">
            <v>OK</v>
          </cell>
        </row>
        <row r="1316">
          <cell r="C1316" t="str">
            <v>&lt;-- enter valid PB./Acc. # in this cell!</v>
          </cell>
          <cell r="F1316" t="str">
            <v>OK</v>
          </cell>
        </row>
        <row r="1317">
          <cell r="C1317" t="str">
            <v>&lt;-- enter valid PB./Acc. # in this cell!</v>
          </cell>
          <cell r="F1317" t="str">
            <v>OK</v>
          </cell>
        </row>
        <row r="1318">
          <cell r="C1318" t="str">
            <v>&lt;-- enter valid PB./Acc. # in this cell!</v>
          </cell>
          <cell r="F1318" t="str">
            <v>OK</v>
          </cell>
        </row>
        <row r="1319">
          <cell r="C1319" t="str">
            <v>&lt;-- enter valid PB./Acc. # in this cell!</v>
          </cell>
          <cell r="F1319" t="str">
            <v>OK</v>
          </cell>
        </row>
        <row r="1320">
          <cell r="C1320" t="str">
            <v>&lt;-- enter valid PB./Acc. # in this cell!</v>
          </cell>
          <cell r="F1320" t="str">
            <v>OK</v>
          </cell>
        </row>
        <row r="1321">
          <cell r="C1321" t="str">
            <v>&lt;-- enter valid PB./Acc. # in this cell!</v>
          </cell>
          <cell r="F1321" t="str">
            <v>OK</v>
          </cell>
        </row>
        <row r="1322">
          <cell r="C1322" t="str">
            <v>&lt;-- enter valid PB./Acc. # in this cell!</v>
          </cell>
          <cell r="F1322" t="str">
            <v>OK</v>
          </cell>
        </row>
        <row r="1323">
          <cell r="C1323" t="str">
            <v>&lt;-- enter valid PB./Acc. # in this cell!</v>
          </cell>
          <cell r="F1323" t="str">
            <v>OK</v>
          </cell>
        </row>
        <row r="1324">
          <cell r="C1324" t="str">
            <v>&lt;-- enter valid PB./Acc. # in this cell!</v>
          </cell>
          <cell r="F1324" t="str">
            <v>OK</v>
          </cell>
        </row>
        <row r="1325">
          <cell r="C1325" t="str">
            <v>&lt;-- enter valid PB./Acc. # in this cell!</v>
          </cell>
          <cell r="F1325" t="str">
            <v>OK</v>
          </cell>
        </row>
        <row r="1326">
          <cell r="C1326" t="str">
            <v>&lt;-- enter valid PB./Acc. # in this cell!</v>
          </cell>
          <cell r="F1326" t="str">
            <v>OK</v>
          </cell>
        </row>
        <row r="1327">
          <cell r="C1327" t="str">
            <v>&lt;-- enter valid PB./Acc. # in this cell!</v>
          </cell>
          <cell r="F1327" t="str">
            <v>OK</v>
          </cell>
        </row>
        <row r="1328">
          <cell r="C1328" t="str">
            <v>&lt;-- enter valid PB./Acc. # in this cell!</v>
          </cell>
          <cell r="F1328" t="str">
            <v>OK</v>
          </cell>
        </row>
        <row r="1329">
          <cell r="C1329" t="str">
            <v>&lt;-- enter valid PB./Acc. # in this cell!</v>
          </cell>
          <cell r="F1329" t="str">
            <v>OK</v>
          </cell>
        </row>
        <row r="1330">
          <cell r="C1330" t="str">
            <v>&lt;-- enter valid PB./Acc. # in this cell!</v>
          </cell>
          <cell r="F1330" t="str">
            <v>OK</v>
          </cell>
        </row>
        <row r="1331">
          <cell r="C1331" t="str">
            <v>&lt;-- enter valid PB./Acc. # in this cell!</v>
          </cell>
          <cell r="F1331" t="str">
            <v>OK</v>
          </cell>
        </row>
        <row r="1332">
          <cell r="C1332" t="str">
            <v>&lt;-- enter valid PB./Acc. # in this cell!</v>
          </cell>
          <cell r="F1332" t="str">
            <v>OK</v>
          </cell>
        </row>
        <row r="1333">
          <cell r="C1333" t="str">
            <v>&lt;-- enter valid PB./Acc. # in this cell!</v>
          </cell>
          <cell r="F1333" t="str">
            <v>OK</v>
          </cell>
        </row>
        <row r="1334">
          <cell r="C1334" t="str">
            <v>&lt;-- enter valid PB./Acc. # in this cell!</v>
          </cell>
          <cell r="F1334" t="str">
            <v>OK</v>
          </cell>
        </row>
        <row r="1335">
          <cell r="C1335" t="str">
            <v>&lt;-- enter valid PB./Acc. # in this cell!</v>
          </cell>
          <cell r="F1335" t="str">
            <v>OK</v>
          </cell>
        </row>
        <row r="1336">
          <cell r="C1336" t="str">
            <v>&lt;-- enter valid PB./Acc. # in this cell!</v>
          </cell>
          <cell r="F1336" t="str">
            <v>OK</v>
          </cell>
        </row>
        <row r="1337">
          <cell r="C1337" t="str">
            <v>&lt;-- enter valid PB./Acc. # in this cell!</v>
          </cell>
          <cell r="F1337" t="str">
            <v>OK</v>
          </cell>
        </row>
        <row r="1338">
          <cell r="C1338" t="str">
            <v>&lt;-- enter valid PB./Acc. # in this cell!</v>
          </cell>
          <cell r="F1338" t="str">
            <v>OK</v>
          </cell>
        </row>
        <row r="1339">
          <cell r="C1339" t="str">
            <v>&lt;-- enter valid PB./Acc. # in this cell!</v>
          </cell>
          <cell r="F1339" t="str">
            <v>OK</v>
          </cell>
        </row>
        <row r="1340">
          <cell r="C1340" t="str">
            <v>&lt;-- enter valid PB./Acc. # in this cell!</v>
          </cell>
          <cell r="F1340" t="str">
            <v>OK</v>
          </cell>
        </row>
        <row r="1341">
          <cell r="C1341" t="str">
            <v>&lt;-- enter valid PB./Acc. # in this cell!</v>
          </cell>
          <cell r="F1341" t="str">
            <v>OK</v>
          </cell>
        </row>
        <row r="1342">
          <cell r="C1342" t="str">
            <v>&lt;-- enter valid PB./Acc. # in this cell!</v>
          </cell>
          <cell r="F1342" t="str">
            <v>OK</v>
          </cell>
        </row>
        <row r="1343">
          <cell r="C1343" t="str">
            <v>&lt;-- enter valid PB./Acc. # in this cell!</v>
          </cell>
          <cell r="F1343" t="str">
            <v>OK</v>
          </cell>
        </row>
        <row r="1344">
          <cell r="C1344" t="str">
            <v>&lt;-- enter valid PB./Acc. # in this cell!</v>
          </cell>
          <cell r="F1344" t="str">
            <v>OK</v>
          </cell>
        </row>
        <row r="1345">
          <cell r="C1345" t="str">
            <v>&lt;-- enter valid PB./Acc. # in this cell!</v>
          </cell>
          <cell r="F1345" t="str">
            <v>OK</v>
          </cell>
        </row>
        <row r="1346">
          <cell r="C1346" t="str">
            <v>&lt;-- enter valid PB./Acc. # in this cell!</v>
          </cell>
          <cell r="F1346" t="str">
            <v>OK</v>
          </cell>
        </row>
        <row r="1347">
          <cell r="C1347" t="str">
            <v>&lt;-- enter valid PB./Acc. # in this cell!</v>
          </cell>
          <cell r="F1347" t="str">
            <v>OK</v>
          </cell>
        </row>
        <row r="1348">
          <cell r="C1348" t="str">
            <v>&lt;-- enter valid PB./Acc. # in this cell!</v>
          </cell>
          <cell r="F1348" t="str">
            <v>OK</v>
          </cell>
        </row>
        <row r="1349">
          <cell r="C1349" t="str">
            <v>&lt;-- enter valid PB./Acc. # in this cell!</v>
          </cell>
          <cell r="F1349" t="str">
            <v>OK</v>
          </cell>
        </row>
        <row r="1350">
          <cell r="C1350" t="str">
            <v>&lt;-- enter valid PB./Acc. # in this cell!</v>
          </cell>
          <cell r="F1350" t="str">
            <v>OK</v>
          </cell>
        </row>
        <row r="1351">
          <cell r="C1351" t="str">
            <v>&lt;-- enter valid PB./Acc. # in this cell!</v>
          </cell>
          <cell r="F1351" t="str">
            <v>OK</v>
          </cell>
        </row>
        <row r="1352">
          <cell r="C1352" t="str">
            <v>&lt;-- enter valid PB./Acc. # in this cell!</v>
          </cell>
          <cell r="F1352" t="str">
            <v>OK</v>
          </cell>
        </row>
        <row r="1353">
          <cell r="C1353" t="str">
            <v>&lt;-- enter valid PB./Acc. # in this cell!</v>
          </cell>
          <cell r="F1353" t="str">
            <v>OK</v>
          </cell>
        </row>
        <row r="1354">
          <cell r="C1354" t="str">
            <v>&lt;-- enter valid PB./Acc. # in this cell!</v>
          </cell>
          <cell r="F1354" t="str">
            <v>OK</v>
          </cell>
        </row>
        <row r="1355">
          <cell r="C1355" t="str">
            <v>&lt;-- enter valid PB./Acc. # in this cell!</v>
          </cell>
          <cell r="F1355" t="str">
            <v>OK</v>
          </cell>
        </row>
        <row r="1356">
          <cell r="C1356" t="str">
            <v>&lt;-- enter valid PB./Acc. # in this cell!</v>
          </cell>
          <cell r="F1356" t="str">
            <v>OK</v>
          </cell>
        </row>
        <row r="1357">
          <cell r="C1357" t="str">
            <v>&lt;-- enter valid PB./Acc. # in this cell!</v>
          </cell>
          <cell r="F1357" t="str">
            <v>OK</v>
          </cell>
        </row>
        <row r="1358">
          <cell r="C1358" t="str">
            <v>&lt;-- enter valid PB./Acc. # in this cell!</v>
          </cell>
          <cell r="F1358" t="str">
            <v>OK</v>
          </cell>
        </row>
        <row r="1359">
          <cell r="C1359" t="str">
            <v>&lt;-- enter valid PB./Acc. # in this cell!</v>
          </cell>
          <cell r="F1359" t="str">
            <v>OK</v>
          </cell>
        </row>
        <row r="1360">
          <cell r="C1360" t="str">
            <v>&lt;-- enter valid PB./Acc. # in this cell!</v>
          </cell>
          <cell r="F1360" t="str">
            <v>OK</v>
          </cell>
        </row>
        <row r="1361">
          <cell r="C1361" t="str">
            <v>&lt;-- enter valid PB./Acc. # in this cell!</v>
          </cell>
          <cell r="F1361" t="str">
            <v>OK</v>
          </cell>
        </row>
        <row r="1362">
          <cell r="C1362" t="str">
            <v>&lt;-- enter valid PB./Acc. # in this cell!</v>
          </cell>
          <cell r="F1362" t="str">
            <v>OK</v>
          </cell>
        </row>
        <row r="1363">
          <cell r="C1363" t="str">
            <v>&lt;-- enter valid PB./Acc. # in this cell!</v>
          </cell>
          <cell r="F1363" t="str">
            <v>OK</v>
          </cell>
        </row>
        <row r="1364">
          <cell r="C1364" t="str">
            <v>&lt;-- enter valid PB./Acc. # in this cell!</v>
          </cell>
          <cell r="F1364" t="str">
            <v>OK</v>
          </cell>
        </row>
        <row r="1365">
          <cell r="C1365" t="str">
            <v>&lt;-- enter valid PB./Acc. # in this cell!</v>
          </cell>
          <cell r="F1365" t="str">
            <v>OK</v>
          </cell>
        </row>
        <row r="1366">
          <cell r="C1366" t="str">
            <v>&lt;-- enter valid PB./Acc. # in this cell!</v>
          </cell>
          <cell r="F1366" t="str">
            <v>OK</v>
          </cell>
        </row>
        <row r="1367">
          <cell r="C1367" t="str">
            <v>&lt;-- enter valid PB./Acc. # in this cell!</v>
          </cell>
          <cell r="F1367" t="str">
            <v>OK</v>
          </cell>
        </row>
        <row r="1368">
          <cell r="C1368" t="str">
            <v>&lt;-- enter valid PB./Acc. # in this cell!</v>
          </cell>
          <cell r="F1368" t="str">
            <v>OK</v>
          </cell>
        </row>
        <row r="1369">
          <cell r="C1369" t="str">
            <v>&lt;-- enter valid PB./Acc. # in this cell!</v>
          </cell>
          <cell r="F1369" t="str">
            <v>OK</v>
          </cell>
        </row>
        <row r="1370">
          <cell r="C1370" t="str">
            <v>&lt;-- enter valid PB./Acc. # in this cell!</v>
          </cell>
          <cell r="F1370" t="str">
            <v>OK</v>
          </cell>
        </row>
        <row r="1371">
          <cell r="C1371" t="str">
            <v>&lt;-- enter valid PB./Acc. # in this cell!</v>
          </cell>
          <cell r="F1371" t="str">
            <v>OK</v>
          </cell>
        </row>
        <row r="1372">
          <cell r="C1372" t="str">
            <v>&lt;-- enter valid PB./Acc. # in this cell!</v>
          </cell>
          <cell r="F1372" t="str">
            <v>OK</v>
          </cell>
        </row>
        <row r="1373">
          <cell r="C1373" t="str">
            <v>&lt;-- enter valid PB./Acc. # in this cell!</v>
          </cell>
          <cell r="F1373" t="str">
            <v>OK</v>
          </cell>
        </row>
        <row r="1374">
          <cell r="C1374" t="str">
            <v>&lt;-- enter valid PB./Acc. # in this cell!</v>
          </cell>
          <cell r="F1374" t="str">
            <v>OK</v>
          </cell>
        </row>
        <row r="1375">
          <cell r="C1375" t="str">
            <v>&lt;-- enter valid PB./Acc. # in this cell!</v>
          </cell>
          <cell r="F1375" t="str">
            <v>OK</v>
          </cell>
        </row>
        <row r="1376">
          <cell r="C1376" t="str">
            <v>&lt;-- enter valid PB./Acc. # in this cell!</v>
          </cell>
          <cell r="F1376" t="str">
            <v>OK</v>
          </cell>
        </row>
        <row r="1377">
          <cell r="C1377" t="str">
            <v>&lt;-- enter valid PB./Acc. # in this cell!</v>
          </cell>
          <cell r="F1377" t="str">
            <v>OK</v>
          </cell>
        </row>
        <row r="1378">
          <cell r="C1378" t="str">
            <v>&lt;-- enter valid PB./Acc. # in this cell!</v>
          </cell>
          <cell r="F1378" t="str">
            <v>OK</v>
          </cell>
        </row>
        <row r="1379">
          <cell r="C1379" t="str">
            <v>&lt;-- enter valid PB./Acc. # in this cell!</v>
          </cell>
          <cell r="F1379" t="str">
            <v>OK</v>
          </cell>
        </row>
        <row r="1380">
          <cell r="C1380" t="str">
            <v>&lt;-- enter valid PB./Acc. # in this cell!</v>
          </cell>
          <cell r="F1380" t="str">
            <v>OK</v>
          </cell>
        </row>
        <row r="1381">
          <cell r="C1381" t="str">
            <v>&lt;-- enter valid PB./Acc. # in this cell!</v>
          </cell>
          <cell r="F1381" t="str">
            <v>OK</v>
          </cell>
        </row>
        <row r="1382">
          <cell r="C1382" t="str">
            <v>&lt;-- enter valid PB./Acc. # in this cell!</v>
          </cell>
          <cell r="F1382" t="str">
            <v>OK</v>
          </cell>
        </row>
        <row r="1383">
          <cell r="C1383" t="str">
            <v>&lt;-- enter valid PB./Acc. # in this cell!</v>
          </cell>
          <cell r="F1383" t="str">
            <v>OK</v>
          </cell>
        </row>
        <row r="1384">
          <cell r="C1384" t="str">
            <v>&lt;-- enter valid PB./Acc. # in this cell!</v>
          </cell>
          <cell r="F1384" t="str">
            <v>OK</v>
          </cell>
        </row>
        <row r="1385">
          <cell r="C1385" t="str">
            <v>&lt;-- enter valid PB./Acc. # in this cell!</v>
          </cell>
          <cell r="F1385" t="str">
            <v>OK</v>
          </cell>
        </row>
        <row r="1386">
          <cell r="C1386" t="str">
            <v>&lt;-- enter valid PB./Acc. # in this cell!</v>
          </cell>
          <cell r="F1386" t="str">
            <v>OK</v>
          </cell>
        </row>
        <row r="1387">
          <cell r="C1387" t="str">
            <v>&lt;-- enter valid PB./Acc. # in this cell!</v>
          </cell>
          <cell r="F1387" t="str">
            <v>OK</v>
          </cell>
        </row>
        <row r="1388">
          <cell r="C1388" t="str">
            <v>&lt;-- enter valid PB./Acc. # in this cell!</v>
          </cell>
          <cell r="F1388" t="str">
            <v>OK</v>
          </cell>
        </row>
        <row r="1389">
          <cell r="C1389" t="str">
            <v>&lt;-- enter valid PB./Acc. # in this cell!</v>
          </cell>
          <cell r="F1389" t="str">
            <v>OK</v>
          </cell>
        </row>
        <row r="1390">
          <cell r="C1390" t="str">
            <v>&lt;-- enter valid PB./Acc. # in this cell!</v>
          </cell>
          <cell r="F1390" t="str">
            <v>OK</v>
          </cell>
        </row>
        <row r="1391">
          <cell r="C1391" t="str">
            <v>&lt;-- enter valid PB./Acc. # in this cell!</v>
          </cell>
          <cell r="F1391" t="str">
            <v>OK</v>
          </cell>
        </row>
        <row r="1392">
          <cell r="C1392" t="str">
            <v>&lt;-- enter valid PB./Acc. # in this cell!</v>
          </cell>
          <cell r="F1392" t="str">
            <v>OK</v>
          </cell>
        </row>
        <row r="1393">
          <cell r="C1393" t="str">
            <v>&lt;-- enter valid PB./Acc. # in this cell!</v>
          </cell>
          <cell r="F1393" t="str">
            <v>OK</v>
          </cell>
        </row>
        <row r="1394">
          <cell r="C1394" t="str">
            <v>&lt;-- enter valid PB./Acc. # in this cell!</v>
          </cell>
          <cell r="F1394" t="str">
            <v>OK</v>
          </cell>
        </row>
        <row r="1395">
          <cell r="C1395" t="str">
            <v>&lt;-- enter valid PB./Acc. # in this cell!</v>
          </cell>
          <cell r="F1395" t="str">
            <v>OK</v>
          </cell>
        </row>
        <row r="1396">
          <cell r="C1396" t="str">
            <v>&lt;-- enter valid PB./Acc. # in this cell!</v>
          </cell>
          <cell r="F1396" t="str">
            <v>OK</v>
          </cell>
        </row>
        <row r="1397">
          <cell r="C1397" t="str">
            <v>&lt;-- enter valid PB./Acc. # in this cell!</v>
          </cell>
          <cell r="F1397" t="str">
            <v>OK</v>
          </cell>
        </row>
        <row r="1398">
          <cell r="C1398" t="str">
            <v>&lt;-- enter valid PB./Acc. # in this cell!</v>
          </cell>
          <cell r="F1398" t="str">
            <v>OK</v>
          </cell>
        </row>
        <row r="1399">
          <cell r="C1399" t="str">
            <v>&lt;-- enter valid PB./Acc. # in this cell!</v>
          </cell>
          <cell r="F1399" t="str">
            <v>OK</v>
          </cell>
        </row>
        <row r="1400">
          <cell r="C1400" t="str">
            <v>&lt;-- enter valid PB./Acc. # in this cell!</v>
          </cell>
          <cell r="F1400" t="str">
            <v>OK</v>
          </cell>
        </row>
        <row r="1401">
          <cell r="C1401" t="str">
            <v>&lt;-- enter valid PB./Acc. # in this cell!</v>
          </cell>
          <cell r="F1401" t="str">
            <v>OK</v>
          </cell>
        </row>
        <row r="1402">
          <cell r="C1402" t="str">
            <v>&lt;-- enter valid PB./Acc. # in this cell!</v>
          </cell>
          <cell r="F1402" t="str">
            <v>OK</v>
          </cell>
        </row>
        <row r="1403">
          <cell r="C1403" t="str">
            <v>&lt;-- enter valid PB./Acc. # in this cell!</v>
          </cell>
          <cell r="F1403" t="str">
            <v>OK</v>
          </cell>
        </row>
        <row r="1404">
          <cell r="C1404" t="str">
            <v>&lt;-- enter valid PB./Acc. # in this cell!</v>
          </cell>
          <cell r="F1404" t="str">
            <v>OK</v>
          </cell>
        </row>
        <row r="1405">
          <cell r="C1405" t="str">
            <v>&lt;-- enter valid PB./Acc. # in this cell!</v>
          </cell>
          <cell r="F1405" t="str">
            <v>OK</v>
          </cell>
        </row>
        <row r="1406">
          <cell r="C1406" t="str">
            <v>&lt;-- enter valid PB./Acc. # in this cell!</v>
          </cell>
          <cell r="F1406" t="str">
            <v>OK</v>
          </cell>
        </row>
        <row r="1407">
          <cell r="C1407" t="str">
            <v>&lt;-- enter valid PB./Acc. # in this cell!</v>
          </cell>
          <cell r="F1407" t="str">
            <v>OK</v>
          </cell>
        </row>
        <row r="1408">
          <cell r="C1408" t="str">
            <v>&lt;-- enter valid PB./Acc. # in this cell!</v>
          </cell>
          <cell r="F1408" t="str">
            <v>OK</v>
          </cell>
        </row>
        <row r="1409">
          <cell r="C1409" t="str">
            <v>&lt;-- enter valid PB./Acc. # in this cell!</v>
          </cell>
          <cell r="F1409" t="str">
            <v>OK</v>
          </cell>
        </row>
        <row r="1410">
          <cell r="C1410" t="str">
            <v>&lt;-- enter valid PB./Acc. # in this cell!</v>
          </cell>
          <cell r="F1410" t="str">
            <v>OK</v>
          </cell>
        </row>
        <row r="1411">
          <cell r="C1411" t="str">
            <v>&lt;-- enter valid PB./Acc. # in this cell!</v>
          </cell>
          <cell r="F1411" t="str">
            <v>OK</v>
          </cell>
        </row>
        <row r="1412">
          <cell r="C1412" t="str">
            <v>&lt;-- enter valid PB./Acc. # in this cell!</v>
          </cell>
          <cell r="F1412" t="str">
            <v>OK</v>
          </cell>
        </row>
        <row r="1413">
          <cell r="C1413" t="str">
            <v>&lt;-- enter valid PB./Acc. # in this cell!</v>
          </cell>
          <cell r="F1413" t="str">
            <v>OK</v>
          </cell>
        </row>
        <row r="1414">
          <cell r="C1414" t="str">
            <v>&lt;-- enter valid PB./Acc. # in this cell!</v>
          </cell>
          <cell r="F1414" t="str">
            <v>OK</v>
          </cell>
        </row>
        <row r="1415">
          <cell r="C1415" t="str">
            <v>&lt;-- enter valid PB./Acc. # in this cell!</v>
          </cell>
          <cell r="F1415" t="str">
            <v>OK</v>
          </cell>
        </row>
        <row r="1416">
          <cell r="C1416" t="str">
            <v>&lt;-- enter valid PB./Acc. # in this cell!</v>
          </cell>
          <cell r="F1416" t="str">
            <v>OK</v>
          </cell>
        </row>
        <row r="1417">
          <cell r="C1417" t="str">
            <v>&lt;-- enter valid PB./Acc. # in this cell!</v>
          </cell>
          <cell r="F1417" t="str">
            <v>OK</v>
          </cell>
        </row>
        <row r="1418">
          <cell r="C1418" t="str">
            <v>&lt;-- enter valid PB./Acc. # in this cell!</v>
          </cell>
          <cell r="F1418" t="str">
            <v>OK</v>
          </cell>
        </row>
        <row r="1419">
          <cell r="C1419" t="str">
            <v>&lt;-- enter valid PB./Acc. # in this cell!</v>
          </cell>
          <cell r="F1419" t="str">
            <v>OK</v>
          </cell>
        </row>
        <row r="1420">
          <cell r="C1420" t="str">
            <v>&lt;-- enter valid PB./Acc. # in this cell!</v>
          </cell>
          <cell r="F1420" t="str">
            <v>OK</v>
          </cell>
        </row>
        <row r="1421">
          <cell r="C1421" t="str">
            <v>&lt;-- enter valid PB./Acc. # in this cell!</v>
          </cell>
          <cell r="F1421" t="str">
            <v>OK</v>
          </cell>
        </row>
        <row r="1422">
          <cell r="C1422" t="str">
            <v>&lt;-- enter valid PB./Acc. # in this cell!</v>
          </cell>
          <cell r="F1422" t="str">
            <v>OK</v>
          </cell>
        </row>
        <row r="1423">
          <cell r="C1423" t="str">
            <v>&lt;-- enter valid PB./Acc. # in this cell!</v>
          </cell>
          <cell r="F1423" t="str">
            <v>OK</v>
          </cell>
        </row>
        <row r="1424">
          <cell r="C1424" t="str">
            <v>&lt;-- enter valid PB./Acc. # in this cell!</v>
          </cell>
          <cell r="F1424" t="str">
            <v>OK</v>
          </cell>
        </row>
        <row r="1425">
          <cell r="C1425" t="str">
            <v>&lt;-- enter valid PB./Acc. # in this cell!</v>
          </cell>
          <cell r="F1425" t="str">
            <v>OK</v>
          </cell>
        </row>
        <row r="1426">
          <cell r="C1426" t="str">
            <v>&lt;-- enter valid PB./Acc. # in this cell!</v>
          </cell>
          <cell r="F1426" t="str">
            <v>OK</v>
          </cell>
        </row>
        <row r="1427">
          <cell r="C1427" t="str">
            <v>&lt;-- enter valid PB./Acc. # in this cell!</v>
          </cell>
          <cell r="F1427" t="str">
            <v>OK</v>
          </cell>
        </row>
        <row r="1428">
          <cell r="C1428" t="str">
            <v>&lt;-- enter valid PB./Acc. # in this cell!</v>
          </cell>
          <cell r="F1428" t="str">
            <v>OK</v>
          </cell>
        </row>
        <row r="1429">
          <cell r="C1429" t="str">
            <v>&lt;-- enter valid PB./Acc. # in this cell!</v>
          </cell>
          <cell r="F1429" t="str">
            <v>OK</v>
          </cell>
        </row>
        <row r="1430">
          <cell r="C1430" t="str">
            <v>&lt;-- enter valid PB./Acc. # in this cell!</v>
          </cell>
          <cell r="F1430" t="str">
            <v>OK</v>
          </cell>
        </row>
        <row r="1431">
          <cell r="C1431" t="str">
            <v>&lt;-- enter valid PB./Acc. # in this cell!</v>
          </cell>
          <cell r="F1431" t="str">
            <v>OK</v>
          </cell>
        </row>
        <row r="1432">
          <cell r="C1432" t="str">
            <v>&lt;-- enter valid PB./Acc. # in this cell!</v>
          </cell>
          <cell r="F1432" t="str">
            <v>OK</v>
          </cell>
        </row>
        <row r="1433">
          <cell r="C1433" t="str">
            <v>&lt;-- enter valid PB./Acc. # in this cell!</v>
          </cell>
          <cell r="F1433" t="str">
            <v>OK</v>
          </cell>
        </row>
        <row r="1434">
          <cell r="C1434" t="str">
            <v>&lt;-- enter valid PB./Acc. # in this cell!</v>
          </cell>
          <cell r="F1434" t="str">
            <v>OK</v>
          </cell>
        </row>
        <row r="1435">
          <cell r="C1435" t="str">
            <v>&lt;-- enter valid PB./Acc. # in this cell!</v>
          </cell>
          <cell r="F1435" t="str">
            <v>OK</v>
          </cell>
        </row>
        <row r="1436">
          <cell r="C1436" t="str">
            <v>&lt;-- enter valid PB./Acc. # in this cell!</v>
          </cell>
          <cell r="F1436" t="str">
            <v>OK</v>
          </cell>
        </row>
        <row r="1437">
          <cell r="C1437" t="str">
            <v>&lt;-- enter valid PB./Acc. # in this cell!</v>
          </cell>
          <cell r="F1437" t="str">
            <v>OK</v>
          </cell>
        </row>
        <row r="1438">
          <cell r="C1438" t="str">
            <v>&lt;-- enter valid PB./Acc. # in this cell!</v>
          </cell>
          <cell r="F1438" t="str">
            <v>OK</v>
          </cell>
        </row>
        <row r="1439">
          <cell r="C1439" t="str">
            <v>&lt;-- enter valid PB./Acc. # in this cell!</v>
          </cell>
          <cell r="F1439" t="str">
            <v>OK</v>
          </cell>
        </row>
        <row r="1440">
          <cell r="C1440" t="str">
            <v>&lt;-- enter valid PB./Acc. # in this cell!</v>
          </cell>
          <cell r="F1440" t="str">
            <v>OK</v>
          </cell>
        </row>
        <row r="1441">
          <cell r="C1441" t="str">
            <v>&lt;-- enter valid PB./Acc. # in this cell!</v>
          </cell>
          <cell r="F1441" t="str">
            <v>OK</v>
          </cell>
        </row>
        <row r="1442">
          <cell r="C1442" t="str">
            <v>&lt;-- enter valid PB./Acc. # in this cell!</v>
          </cell>
          <cell r="F1442" t="str">
            <v>OK</v>
          </cell>
        </row>
        <row r="1443">
          <cell r="C1443" t="str">
            <v>&lt;-- enter valid PB./Acc. # in this cell!</v>
          </cell>
          <cell r="F1443" t="str">
            <v>OK</v>
          </cell>
        </row>
        <row r="1444">
          <cell r="C1444" t="str">
            <v>&lt;-- enter valid PB./Acc. # in this cell!</v>
          </cell>
          <cell r="F1444" t="str">
            <v>OK</v>
          </cell>
        </row>
        <row r="1445">
          <cell r="C1445" t="str">
            <v>&lt;-- enter valid PB./Acc. # in this cell!</v>
          </cell>
          <cell r="F1445" t="str">
            <v>OK</v>
          </cell>
        </row>
        <row r="1446">
          <cell r="C1446" t="str">
            <v>&lt;-- enter valid PB./Acc. # in this cell!</v>
          </cell>
          <cell r="F1446" t="str">
            <v>OK</v>
          </cell>
        </row>
        <row r="1447">
          <cell r="C1447" t="str">
            <v>&lt;-- enter valid PB./Acc. # in this cell!</v>
          </cell>
          <cell r="F1447" t="str">
            <v>OK</v>
          </cell>
        </row>
        <row r="1448">
          <cell r="C1448" t="str">
            <v>&lt;-- enter valid PB./Acc. # in this cell!</v>
          </cell>
          <cell r="F1448" t="str">
            <v>OK</v>
          </cell>
        </row>
        <row r="1449">
          <cell r="C1449" t="str">
            <v>&lt;-- enter valid PB./Acc. # in this cell!</v>
          </cell>
          <cell r="F1449" t="str">
            <v>OK</v>
          </cell>
        </row>
        <row r="1450">
          <cell r="C1450" t="str">
            <v>&lt;-- enter valid PB./Acc. # in this cell!</v>
          </cell>
          <cell r="F1450" t="str">
            <v>OK</v>
          </cell>
        </row>
        <row r="1451">
          <cell r="C1451" t="str">
            <v>&lt;-- enter valid PB./Acc. # in this cell!</v>
          </cell>
          <cell r="F1451" t="str">
            <v>OK</v>
          </cell>
        </row>
        <row r="1452">
          <cell r="C1452" t="str">
            <v>&lt;-- enter valid PB./Acc. # in this cell!</v>
          </cell>
          <cell r="F1452" t="str">
            <v>OK</v>
          </cell>
        </row>
        <row r="1453">
          <cell r="C1453" t="str">
            <v>&lt;-- enter valid PB./Acc. # in this cell!</v>
          </cell>
          <cell r="F1453" t="str">
            <v>OK</v>
          </cell>
        </row>
        <row r="1454">
          <cell r="C1454" t="str">
            <v>&lt;-- enter valid PB./Acc. # in this cell!</v>
          </cell>
          <cell r="F1454" t="str">
            <v>OK</v>
          </cell>
        </row>
        <row r="1455">
          <cell r="C1455" t="str">
            <v>&lt;-- enter valid PB./Acc. # in this cell!</v>
          </cell>
          <cell r="F1455" t="str">
            <v>OK</v>
          </cell>
        </row>
        <row r="1456">
          <cell r="C1456" t="str">
            <v>&lt;-- enter valid PB./Acc. # in this cell!</v>
          </cell>
          <cell r="F1456" t="str">
            <v>OK</v>
          </cell>
        </row>
        <row r="1457">
          <cell r="C1457" t="str">
            <v>&lt;-- enter valid PB./Acc. # in this cell!</v>
          </cell>
          <cell r="F1457" t="str">
            <v>OK</v>
          </cell>
        </row>
        <row r="1458">
          <cell r="C1458" t="str">
            <v>&lt;-- enter valid PB./Acc. # in this cell!</v>
          </cell>
          <cell r="F1458" t="str">
            <v>OK</v>
          </cell>
        </row>
        <row r="1459">
          <cell r="C1459" t="str">
            <v>&lt;-- enter valid PB./Acc. # in this cell!</v>
          </cell>
          <cell r="F1459" t="str">
            <v>OK</v>
          </cell>
        </row>
        <row r="1460">
          <cell r="C1460" t="str">
            <v>&lt;-- enter valid PB./Acc. # in this cell!</v>
          </cell>
          <cell r="F1460" t="str">
            <v>OK</v>
          </cell>
        </row>
        <row r="1461">
          <cell r="C1461" t="str">
            <v>&lt;-- enter valid PB./Acc. # in this cell!</v>
          </cell>
          <cell r="F1461" t="str">
            <v>OK</v>
          </cell>
        </row>
        <row r="1462">
          <cell r="C1462" t="str">
            <v>&lt;-- enter valid PB./Acc. # in this cell!</v>
          </cell>
          <cell r="F1462" t="str">
            <v>OK</v>
          </cell>
        </row>
        <row r="1463">
          <cell r="C1463" t="str">
            <v>&lt;-- enter valid PB./Acc. # in this cell!</v>
          </cell>
          <cell r="F1463" t="str">
            <v>OK</v>
          </cell>
        </row>
        <row r="1464">
          <cell r="C1464" t="str">
            <v>&lt;-- enter valid PB./Acc. # in this cell!</v>
          </cell>
          <cell r="F1464" t="str">
            <v>OK</v>
          </cell>
        </row>
        <row r="1465">
          <cell r="C1465" t="str">
            <v>&lt;-- enter valid PB./Acc. # in this cell!</v>
          </cell>
          <cell r="F1465" t="str">
            <v>OK</v>
          </cell>
        </row>
        <row r="1466">
          <cell r="C1466" t="str">
            <v>&lt;-- enter valid PB./Acc. # in this cell!</v>
          </cell>
          <cell r="F1466" t="str">
            <v>OK</v>
          </cell>
        </row>
        <row r="1467">
          <cell r="C1467" t="str">
            <v>&lt;-- enter valid PB./Acc. # in this cell!</v>
          </cell>
          <cell r="F1467" t="str">
            <v>OK</v>
          </cell>
        </row>
        <row r="1468">
          <cell r="C1468" t="str">
            <v>&lt;-- enter valid PB./Acc. # in this cell!</v>
          </cell>
          <cell r="F1468" t="str">
            <v>OK</v>
          </cell>
        </row>
        <row r="1469">
          <cell r="C1469" t="str">
            <v>&lt;-- enter valid PB./Acc. # in this cell!</v>
          </cell>
          <cell r="F1469" t="str">
            <v>OK</v>
          </cell>
        </row>
        <row r="1470">
          <cell r="C1470" t="str">
            <v>&lt;-- enter valid PB./Acc. # in this cell!</v>
          </cell>
          <cell r="F1470" t="str">
            <v>OK</v>
          </cell>
        </row>
        <row r="1471">
          <cell r="C1471" t="str">
            <v>&lt;-- enter valid PB./Acc. # in this cell!</v>
          </cell>
          <cell r="F1471" t="str">
            <v>OK</v>
          </cell>
        </row>
        <row r="1472">
          <cell r="C1472" t="str">
            <v>&lt;-- enter valid PB./Acc. # in this cell!</v>
          </cell>
          <cell r="F1472" t="str">
            <v>OK</v>
          </cell>
        </row>
        <row r="1473">
          <cell r="C1473" t="str">
            <v>&lt;-- enter valid PB./Acc. # in this cell!</v>
          </cell>
          <cell r="F1473" t="str">
            <v>OK</v>
          </cell>
        </row>
        <row r="1474">
          <cell r="C1474" t="str">
            <v>&lt;-- enter valid PB./Acc. # in this cell!</v>
          </cell>
          <cell r="F1474" t="str">
            <v>OK</v>
          </cell>
        </row>
        <row r="1475">
          <cell r="C1475" t="str">
            <v>&lt;-- enter valid PB./Acc. # in this cell!</v>
          </cell>
          <cell r="F1475" t="str">
            <v>OK</v>
          </cell>
        </row>
        <row r="1476">
          <cell r="C1476" t="str">
            <v>&lt;-- enter valid PB./Acc. # in this cell!</v>
          </cell>
          <cell r="F1476" t="str">
            <v>OK</v>
          </cell>
        </row>
        <row r="1477">
          <cell r="C1477" t="str">
            <v>&lt;-- enter valid PB./Acc. # in this cell!</v>
          </cell>
          <cell r="F1477" t="str">
            <v>OK</v>
          </cell>
        </row>
        <row r="1478">
          <cell r="C1478" t="str">
            <v>&lt;-- enter valid PB./Acc. # in this cell!</v>
          </cell>
          <cell r="F1478" t="str">
            <v>OK</v>
          </cell>
        </row>
        <row r="1479">
          <cell r="C1479" t="str">
            <v>&lt;-- enter valid PB./Acc. # in this cell!</v>
          </cell>
          <cell r="F1479" t="str">
            <v>OK</v>
          </cell>
        </row>
        <row r="1480">
          <cell r="C1480" t="str">
            <v>&lt;-- enter valid PB./Acc. # in this cell!</v>
          </cell>
          <cell r="F1480" t="str">
            <v>OK</v>
          </cell>
        </row>
        <row r="1481">
          <cell r="C1481" t="str">
            <v>&lt;-- enter valid PB./Acc. # in this cell!</v>
          </cell>
          <cell r="F1481" t="str">
            <v>OK</v>
          </cell>
        </row>
        <row r="1482">
          <cell r="C1482" t="str">
            <v>&lt;-- enter valid PB./Acc. # in this cell!</v>
          </cell>
          <cell r="F1482" t="str">
            <v>OK</v>
          </cell>
        </row>
        <row r="1483">
          <cell r="C1483" t="str">
            <v>&lt;-- enter valid PB./Acc. # in this cell!</v>
          </cell>
          <cell r="F1483" t="str">
            <v>OK</v>
          </cell>
        </row>
        <row r="1484">
          <cell r="C1484" t="str">
            <v>&lt;-- enter valid PB./Acc. # in this cell!</v>
          </cell>
          <cell r="F1484" t="str">
            <v>OK</v>
          </cell>
        </row>
        <row r="1485">
          <cell r="C1485" t="str">
            <v>&lt;-- enter valid PB./Acc. # in this cell!</v>
          </cell>
          <cell r="F1485" t="str">
            <v>OK</v>
          </cell>
        </row>
        <row r="1486">
          <cell r="C1486" t="str">
            <v>&lt;-- enter valid PB./Acc. # in this cell!</v>
          </cell>
          <cell r="F1486" t="str">
            <v>OK</v>
          </cell>
        </row>
        <row r="1487">
          <cell r="C1487" t="str">
            <v>&lt;-- enter valid PB./Acc. # in this cell!</v>
          </cell>
          <cell r="F1487" t="str">
            <v>OK</v>
          </cell>
        </row>
        <row r="1488">
          <cell r="C1488" t="str">
            <v>&lt;-- enter valid PB./Acc. # in this cell!</v>
          </cell>
          <cell r="F1488" t="str">
            <v>OK</v>
          </cell>
        </row>
        <row r="1489">
          <cell r="C1489" t="str">
            <v>&lt;-- enter valid PB./Acc. # in this cell!</v>
          </cell>
          <cell r="F1489" t="str">
            <v>OK</v>
          </cell>
        </row>
        <row r="1490">
          <cell r="C1490" t="str">
            <v>&lt;-- enter valid PB./Acc. # in this cell!</v>
          </cell>
          <cell r="F1490" t="str">
            <v>OK</v>
          </cell>
        </row>
        <row r="1491">
          <cell r="C1491" t="str">
            <v>&lt;-- enter valid PB./Acc. # in this cell!</v>
          </cell>
          <cell r="F1491" t="str">
            <v>OK</v>
          </cell>
        </row>
        <row r="1492">
          <cell r="C1492" t="str">
            <v>&lt;-- enter valid PB./Acc. # in this cell!</v>
          </cell>
          <cell r="F1492" t="str">
            <v>OK</v>
          </cell>
        </row>
        <row r="1493">
          <cell r="C1493" t="str">
            <v>&lt;-- enter valid PB./Acc. # in this cell!</v>
          </cell>
          <cell r="F1493" t="str">
            <v>OK</v>
          </cell>
        </row>
        <row r="1494">
          <cell r="C1494" t="str">
            <v>&lt;-- enter valid PB./Acc. # in this cell!</v>
          </cell>
          <cell r="F1494" t="str">
            <v>OK</v>
          </cell>
        </row>
        <row r="1495">
          <cell r="C1495" t="str">
            <v>&lt;-- enter valid PB./Acc. # in this cell!</v>
          </cell>
          <cell r="F1495" t="str">
            <v>OK</v>
          </cell>
        </row>
        <row r="1496">
          <cell r="C1496" t="str">
            <v>&lt;-- enter valid PB./Acc. # in this cell!</v>
          </cell>
          <cell r="F1496" t="str">
            <v>OK</v>
          </cell>
        </row>
        <row r="1497">
          <cell r="C1497" t="str">
            <v>&lt;-- enter valid PB./Acc. # in this cell!</v>
          </cell>
          <cell r="F1497" t="str">
            <v>OK</v>
          </cell>
        </row>
        <row r="1498">
          <cell r="C1498" t="str">
            <v>&lt;-- enter valid PB./Acc. # in this cell!</v>
          </cell>
          <cell r="F1498" t="str">
            <v>OK</v>
          </cell>
        </row>
        <row r="1499">
          <cell r="C1499" t="str">
            <v>&lt;-- enter valid PB./Acc. # in this cell!</v>
          </cell>
          <cell r="F1499" t="str">
            <v>OK</v>
          </cell>
        </row>
        <row r="1500">
          <cell r="A1500" t="str">
            <v>Total Balances of November 2015</v>
          </cell>
          <cell r="F1500" t="str">
            <v>OK</v>
          </cell>
          <cell r="G1500">
            <v>0</v>
          </cell>
          <cell r="H1500">
            <v>0</v>
          </cell>
          <cell r="I1500">
            <v>0</v>
          </cell>
          <cell r="J1500">
            <v>0</v>
          </cell>
          <cell r="K1500">
            <v>0</v>
          </cell>
          <cell r="L1500">
            <v>0</v>
          </cell>
          <cell r="M1500">
            <v>0</v>
          </cell>
          <cell r="N1500">
            <v>0</v>
          </cell>
          <cell r="O1500">
            <v>0</v>
          </cell>
          <cell r="P1500">
            <v>0</v>
          </cell>
          <cell r="Q1500">
            <v>0</v>
          </cell>
          <cell r="R1500">
            <v>0</v>
          </cell>
          <cell r="S1500">
            <v>0</v>
          </cell>
          <cell r="T1500">
            <v>0</v>
          </cell>
          <cell r="AQ1500">
            <v>0</v>
          </cell>
        </row>
        <row r="1501">
          <cell r="A1501">
            <v>42369</v>
          </cell>
        </row>
        <row r="1502">
          <cell r="C1502" t="str">
            <v>&lt;-- enter valid PB./Acc. # in this cell!</v>
          </cell>
          <cell r="F1502" t="str">
            <v>OK</v>
          </cell>
        </row>
        <row r="1503">
          <cell r="C1503" t="str">
            <v>&lt;-- enter valid PB./Acc. # in this cell!</v>
          </cell>
          <cell r="F1503" t="str">
            <v>OK</v>
          </cell>
        </row>
        <row r="1504">
          <cell r="C1504" t="str">
            <v>&lt;-- enter valid PB./Acc. # in this cell!</v>
          </cell>
          <cell r="F1504" t="str">
            <v>OK</v>
          </cell>
        </row>
        <row r="1505">
          <cell r="C1505" t="str">
            <v>&lt;-- enter valid PB./Acc. # in this cell!</v>
          </cell>
          <cell r="F1505" t="str">
            <v>OK</v>
          </cell>
        </row>
        <row r="1506">
          <cell r="C1506" t="str">
            <v>&lt;-- enter valid PB./Acc. # in this cell!</v>
          </cell>
          <cell r="F1506" t="str">
            <v>OK</v>
          </cell>
        </row>
        <row r="1507">
          <cell r="C1507" t="str">
            <v>&lt;-- enter valid PB./Acc. # in this cell!</v>
          </cell>
          <cell r="F1507" t="str">
            <v>OK</v>
          </cell>
        </row>
        <row r="1508">
          <cell r="C1508" t="str">
            <v>&lt;-- enter valid PB./Acc. # in this cell!</v>
          </cell>
          <cell r="F1508" t="str">
            <v>OK</v>
          </cell>
        </row>
        <row r="1509">
          <cell r="C1509" t="str">
            <v>&lt;-- enter valid PB./Acc. # in this cell!</v>
          </cell>
          <cell r="F1509" t="str">
            <v>OK</v>
          </cell>
        </row>
        <row r="1510">
          <cell r="C1510" t="str">
            <v>&lt;-- enter valid PB./Acc. # in this cell!</v>
          </cell>
          <cell r="F1510" t="str">
            <v>OK</v>
          </cell>
        </row>
        <row r="1511">
          <cell r="C1511" t="str">
            <v>&lt;-- enter valid PB./Acc. # in this cell!</v>
          </cell>
          <cell r="F1511" t="str">
            <v>OK</v>
          </cell>
        </row>
        <row r="1512">
          <cell r="C1512" t="str">
            <v>&lt;-- enter valid PB./Acc. # in this cell!</v>
          </cell>
          <cell r="F1512" t="str">
            <v>OK</v>
          </cell>
        </row>
        <row r="1513">
          <cell r="C1513" t="str">
            <v>&lt;-- enter valid PB./Acc. # in this cell!</v>
          </cell>
          <cell r="F1513" t="str">
            <v>OK</v>
          </cell>
        </row>
        <row r="1514">
          <cell r="C1514" t="str">
            <v>&lt;-- enter valid PB./Acc. # in this cell!</v>
          </cell>
          <cell r="F1514" t="str">
            <v>OK</v>
          </cell>
        </row>
        <row r="1515">
          <cell r="C1515" t="str">
            <v>&lt;-- enter valid PB./Acc. # in this cell!</v>
          </cell>
          <cell r="F1515" t="str">
            <v>OK</v>
          </cell>
        </row>
        <row r="1516">
          <cell r="C1516" t="str">
            <v>&lt;-- enter valid PB./Acc. # in this cell!</v>
          </cell>
          <cell r="F1516" t="str">
            <v>OK</v>
          </cell>
        </row>
        <row r="1517">
          <cell r="C1517" t="str">
            <v>&lt;-- enter valid PB./Acc. # in this cell!</v>
          </cell>
          <cell r="F1517" t="str">
            <v>OK</v>
          </cell>
        </row>
        <row r="1518">
          <cell r="C1518" t="str">
            <v>&lt;-- enter valid PB./Acc. # in this cell!</v>
          </cell>
          <cell r="F1518" t="str">
            <v>OK</v>
          </cell>
        </row>
        <row r="1519">
          <cell r="C1519" t="str">
            <v>&lt;-- enter valid PB./Acc. # in this cell!</v>
          </cell>
          <cell r="F1519" t="str">
            <v>OK</v>
          </cell>
        </row>
        <row r="1520">
          <cell r="C1520" t="str">
            <v>&lt;-- enter valid PB./Acc. # in this cell!</v>
          </cell>
          <cell r="F1520" t="str">
            <v>OK</v>
          </cell>
        </row>
        <row r="1521">
          <cell r="C1521" t="str">
            <v>&lt;-- enter valid PB./Acc. # in this cell!</v>
          </cell>
          <cell r="F1521" t="str">
            <v>OK</v>
          </cell>
        </row>
        <row r="1522">
          <cell r="C1522" t="str">
            <v>&lt;-- enter valid PB./Acc. # in this cell!</v>
          </cell>
          <cell r="F1522" t="str">
            <v>OK</v>
          </cell>
        </row>
        <row r="1523">
          <cell r="C1523" t="str">
            <v>&lt;-- enter valid PB./Acc. # in this cell!</v>
          </cell>
          <cell r="F1523" t="str">
            <v>OK</v>
          </cell>
        </row>
        <row r="1524">
          <cell r="C1524" t="str">
            <v>&lt;-- enter valid PB./Acc. # in this cell!</v>
          </cell>
          <cell r="F1524" t="str">
            <v>OK</v>
          </cell>
        </row>
        <row r="1525">
          <cell r="C1525" t="str">
            <v>&lt;-- enter valid PB./Acc. # in this cell!</v>
          </cell>
          <cell r="F1525" t="str">
            <v>OK</v>
          </cell>
        </row>
        <row r="1526">
          <cell r="C1526" t="str">
            <v>&lt;-- enter valid PB./Acc. # in this cell!</v>
          </cell>
          <cell r="F1526" t="str">
            <v>OK</v>
          </cell>
        </row>
        <row r="1527">
          <cell r="C1527" t="str">
            <v>&lt;-- enter valid PB./Acc. # in this cell!</v>
          </cell>
          <cell r="F1527" t="str">
            <v>OK</v>
          </cell>
        </row>
        <row r="1528">
          <cell r="C1528" t="str">
            <v>&lt;-- enter valid PB./Acc. # in this cell!</v>
          </cell>
          <cell r="F1528" t="str">
            <v>OK</v>
          </cell>
        </row>
        <row r="1529">
          <cell r="C1529" t="str">
            <v>&lt;-- enter valid PB./Acc. # in this cell!</v>
          </cell>
          <cell r="F1529" t="str">
            <v>OK</v>
          </cell>
        </row>
        <row r="1530">
          <cell r="C1530" t="str">
            <v>&lt;-- enter valid PB./Acc. # in this cell!</v>
          </cell>
          <cell r="F1530" t="str">
            <v>OK</v>
          </cell>
        </row>
        <row r="1531">
          <cell r="C1531" t="str">
            <v>&lt;-- enter valid PB./Acc. # in this cell!</v>
          </cell>
          <cell r="F1531" t="str">
            <v>OK</v>
          </cell>
        </row>
        <row r="1532">
          <cell r="C1532" t="str">
            <v>&lt;-- enter valid PB./Acc. # in this cell!</v>
          </cell>
          <cell r="F1532" t="str">
            <v>OK</v>
          </cell>
        </row>
        <row r="1533">
          <cell r="C1533" t="str">
            <v>&lt;-- enter valid PB./Acc. # in this cell!</v>
          </cell>
          <cell r="F1533" t="str">
            <v>OK</v>
          </cell>
        </row>
        <row r="1534">
          <cell r="C1534" t="str">
            <v>&lt;-- enter valid PB./Acc. # in this cell!</v>
          </cell>
          <cell r="F1534" t="str">
            <v>OK</v>
          </cell>
        </row>
        <row r="1535">
          <cell r="C1535" t="str">
            <v>&lt;-- enter valid PB./Acc. # in this cell!</v>
          </cell>
          <cell r="F1535" t="str">
            <v>OK</v>
          </cell>
        </row>
        <row r="1536">
          <cell r="C1536" t="str">
            <v>&lt;-- enter valid PB./Acc. # in this cell!</v>
          </cell>
          <cell r="F1536" t="str">
            <v>OK</v>
          </cell>
        </row>
        <row r="1537">
          <cell r="C1537" t="str">
            <v>&lt;-- enter valid PB./Acc. # in this cell!</v>
          </cell>
          <cell r="F1537" t="str">
            <v>OK</v>
          </cell>
        </row>
        <row r="1538">
          <cell r="C1538" t="str">
            <v>&lt;-- enter valid PB./Acc. # in this cell!</v>
          </cell>
          <cell r="F1538" t="str">
            <v>OK</v>
          </cell>
        </row>
        <row r="1539">
          <cell r="C1539" t="str">
            <v>&lt;-- enter valid PB./Acc. # in this cell!</v>
          </cell>
          <cell r="F1539" t="str">
            <v>OK</v>
          </cell>
        </row>
        <row r="1540">
          <cell r="C1540" t="str">
            <v>&lt;-- enter valid PB./Acc. # in this cell!</v>
          </cell>
          <cell r="F1540" t="str">
            <v>OK</v>
          </cell>
        </row>
        <row r="1541">
          <cell r="C1541" t="str">
            <v>&lt;-- enter valid PB./Acc. # in this cell!</v>
          </cell>
          <cell r="F1541" t="str">
            <v>OK</v>
          </cell>
        </row>
        <row r="1542">
          <cell r="C1542" t="str">
            <v>&lt;-- enter valid PB./Acc. # in this cell!</v>
          </cell>
          <cell r="F1542" t="str">
            <v>OK</v>
          </cell>
        </row>
        <row r="1543">
          <cell r="C1543" t="str">
            <v>&lt;-- enter valid PB./Acc. # in this cell!</v>
          </cell>
          <cell r="F1543" t="str">
            <v>OK</v>
          </cell>
        </row>
        <row r="1544">
          <cell r="C1544" t="str">
            <v>&lt;-- enter valid PB./Acc. # in this cell!</v>
          </cell>
          <cell r="F1544" t="str">
            <v>OK</v>
          </cell>
        </row>
        <row r="1545">
          <cell r="C1545" t="str">
            <v>&lt;-- enter valid PB./Acc. # in this cell!</v>
          </cell>
          <cell r="F1545" t="str">
            <v>OK</v>
          </cell>
        </row>
        <row r="1546">
          <cell r="C1546" t="str">
            <v>&lt;-- enter valid PB./Acc. # in this cell!</v>
          </cell>
          <cell r="F1546" t="str">
            <v>OK</v>
          </cell>
        </row>
        <row r="1547">
          <cell r="C1547" t="str">
            <v>&lt;-- enter valid PB./Acc. # in this cell!</v>
          </cell>
          <cell r="F1547" t="str">
            <v>OK</v>
          </cell>
        </row>
        <row r="1548">
          <cell r="C1548" t="str">
            <v>&lt;-- enter valid PB./Acc. # in this cell!</v>
          </cell>
          <cell r="F1548" t="str">
            <v>OK</v>
          </cell>
        </row>
        <row r="1549">
          <cell r="C1549" t="str">
            <v>&lt;-- enter valid PB./Acc. # in this cell!</v>
          </cell>
          <cell r="F1549" t="str">
            <v>OK</v>
          </cell>
        </row>
        <row r="1550">
          <cell r="C1550" t="str">
            <v>&lt;-- enter valid PB./Acc. # in this cell!</v>
          </cell>
          <cell r="F1550" t="str">
            <v>OK</v>
          </cell>
        </row>
        <row r="1551">
          <cell r="C1551" t="str">
            <v>&lt;-- enter valid PB./Acc. # in this cell!</v>
          </cell>
          <cell r="F1551" t="str">
            <v>OK</v>
          </cell>
        </row>
        <row r="1552">
          <cell r="C1552" t="str">
            <v>&lt;-- enter valid PB./Acc. # in this cell!</v>
          </cell>
          <cell r="F1552" t="str">
            <v>OK</v>
          </cell>
        </row>
        <row r="1553">
          <cell r="C1553" t="str">
            <v>&lt;-- enter valid PB./Acc. # in this cell!</v>
          </cell>
          <cell r="F1553" t="str">
            <v>OK</v>
          </cell>
        </row>
        <row r="1554">
          <cell r="C1554" t="str">
            <v>&lt;-- enter valid PB./Acc. # in this cell!</v>
          </cell>
          <cell r="F1554" t="str">
            <v>OK</v>
          </cell>
        </row>
        <row r="1555">
          <cell r="C1555" t="str">
            <v>&lt;-- enter valid PB./Acc. # in this cell!</v>
          </cell>
          <cell r="F1555" t="str">
            <v>OK</v>
          </cell>
        </row>
        <row r="1556">
          <cell r="C1556" t="str">
            <v>&lt;-- enter valid PB./Acc. # in this cell!</v>
          </cell>
          <cell r="F1556" t="str">
            <v>OK</v>
          </cell>
        </row>
        <row r="1557">
          <cell r="C1557" t="str">
            <v>&lt;-- enter valid PB./Acc. # in this cell!</v>
          </cell>
          <cell r="F1557" t="str">
            <v>OK</v>
          </cell>
        </row>
        <row r="1558">
          <cell r="C1558" t="str">
            <v>&lt;-- enter valid PB./Acc. # in this cell!</v>
          </cell>
          <cell r="F1558" t="str">
            <v>OK</v>
          </cell>
        </row>
        <row r="1559">
          <cell r="C1559" t="str">
            <v>&lt;-- enter valid PB./Acc. # in this cell!</v>
          </cell>
          <cell r="F1559" t="str">
            <v>OK</v>
          </cell>
        </row>
        <row r="1560">
          <cell r="C1560" t="str">
            <v>&lt;-- enter valid PB./Acc. # in this cell!</v>
          </cell>
          <cell r="F1560" t="str">
            <v>OK</v>
          </cell>
        </row>
        <row r="1561">
          <cell r="C1561" t="str">
            <v>&lt;-- enter valid PB./Acc. # in this cell!</v>
          </cell>
          <cell r="F1561" t="str">
            <v>OK</v>
          </cell>
        </row>
        <row r="1562">
          <cell r="C1562" t="str">
            <v>&lt;-- enter valid PB./Acc. # in this cell!</v>
          </cell>
          <cell r="F1562" t="str">
            <v>OK</v>
          </cell>
        </row>
        <row r="1563">
          <cell r="C1563" t="str">
            <v>&lt;-- enter valid PB./Acc. # in this cell!</v>
          </cell>
          <cell r="F1563" t="str">
            <v>OK</v>
          </cell>
        </row>
        <row r="1564">
          <cell r="C1564" t="str">
            <v>&lt;-- enter valid PB./Acc. # in this cell!</v>
          </cell>
          <cell r="F1564" t="str">
            <v>OK</v>
          </cell>
        </row>
        <row r="1565">
          <cell r="C1565" t="str">
            <v>&lt;-- enter valid PB./Acc. # in this cell!</v>
          </cell>
          <cell r="F1565" t="str">
            <v>OK</v>
          </cell>
        </row>
        <row r="1566">
          <cell r="C1566" t="str">
            <v>&lt;-- enter valid PB./Acc. # in this cell!</v>
          </cell>
          <cell r="F1566" t="str">
            <v>OK</v>
          </cell>
        </row>
        <row r="1567">
          <cell r="C1567" t="str">
            <v>&lt;-- enter valid PB./Acc. # in this cell!</v>
          </cell>
          <cell r="F1567" t="str">
            <v>OK</v>
          </cell>
        </row>
        <row r="1568">
          <cell r="C1568" t="str">
            <v>&lt;-- enter valid PB./Acc. # in this cell!</v>
          </cell>
          <cell r="F1568" t="str">
            <v>OK</v>
          </cell>
        </row>
        <row r="1569">
          <cell r="C1569" t="str">
            <v>&lt;-- enter valid PB./Acc. # in this cell!</v>
          </cell>
          <cell r="F1569" t="str">
            <v>OK</v>
          </cell>
        </row>
        <row r="1570">
          <cell r="C1570" t="str">
            <v>&lt;-- enter valid PB./Acc. # in this cell!</v>
          </cell>
          <cell r="F1570" t="str">
            <v>OK</v>
          </cell>
        </row>
        <row r="1571">
          <cell r="C1571" t="str">
            <v>&lt;-- enter valid PB./Acc. # in this cell!</v>
          </cell>
          <cell r="F1571" t="str">
            <v>OK</v>
          </cell>
        </row>
        <row r="1572">
          <cell r="C1572" t="str">
            <v>&lt;-- enter valid PB./Acc. # in this cell!</v>
          </cell>
          <cell r="F1572" t="str">
            <v>OK</v>
          </cell>
        </row>
        <row r="1573">
          <cell r="C1573" t="str">
            <v>&lt;-- enter valid PB./Acc. # in this cell!</v>
          </cell>
          <cell r="F1573" t="str">
            <v>OK</v>
          </cell>
        </row>
        <row r="1574">
          <cell r="C1574" t="str">
            <v>&lt;-- enter valid PB./Acc. # in this cell!</v>
          </cell>
          <cell r="F1574" t="str">
            <v>OK</v>
          </cell>
        </row>
        <row r="1575">
          <cell r="C1575" t="str">
            <v>&lt;-- enter valid PB./Acc. # in this cell!</v>
          </cell>
          <cell r="F1575" t="str">
            <v>OK</v>
          </cell>
        </row>
        <row r="1576">
          <cell r="C1576" t="str">
            <v>&lt;-- enter valid PB./Acc. # in this cell!</v>
          </cell>
          <cell r="F1576" t="str">
            <v>OK</v>
          </cell>
        </row>
        <row r="1577">
          <cell r="C1577" t="str">
            <v>&lt;-- enter valid PB./Acc. # in this cell!</v>
          </cell>
          <cell r="F1577" t="str">
            <v>OK</v>
          </cell>
        </row>
        <row r="1578">
          <cell r="C1578" t="str">
            <v>&lt;-- enter valid PB./Acc. # in this cell!</v>
          </cell>
          <cell r="F1578" t="str">
            <v>OK</v>
          </cell>
        </row>
        <row r="1579">
          <cell r="C1579" t="str">
            <v>&lt;-- enter valid PB./Acc. # in this cell!</v>
          </cell>
          <cell r="F1579" t="str">
            <v>OK</v>
          </cell>
        </row>
        <row r="1580">
          <cell r="C1580" t="str">
            <v>&lt;-- enter valid PB./Acc. # in this cell!</v>
          </cell>
          <cell r="F1580" t="str">
            <v>OK</v>
          </cell>
        </row>
        <row r="1581">
          <cell r="C1581" t="str">
            <v>&lt;-- enter valid PB./Acc. # in this cell!</v>
          </cell>
          <cell r="F1581" t="str">
            <v>OK</v>
          </cell>
        </row>
        <row r="1582">
          <cell r="C1582" t="str">
            <v>&lt;-- enter valid PB./Acc. # in this cell!</v>
          </cell>
          <cell r="F1582" t="str">
            <v>OK</v>
          </cell>
        </row>
        <row r="1583">
          <cell r="C1583" t="str">
            <v>&lt;-- enter valid PB./Acc. # in this cell!</v>
          </cell>
          <cell r="F1583" t="str">
            <v>OK</v>
          </cell>
        </row>
        <row r="1584">
          <cell r="C1584" t="str">
            <v>&lt;-- enter valid PB./Acc. # in this cell!</v>
          </cell>
          <cell r="F1584" t="str">
            <v>OK</v>
          </cell>
        </row>
        <row r="1585">
          <cell r="C1585" t="str">
            <v>&lt;-- enter valid PB./Acc. # in this cell!</v>
          </cell>
          <cell r="F1585" t="str">
            <v>OK</v>
          </cell>
        </row>
        <row r="1586">
          <cell r="C1586" t="str">
            <v>&lt;-- enter valid PB./Acc. # in this cell!</v>
          </cell>
          <cell r="F1586" t="str">
            <v>OK</v>
          </cell>
        </row>
        <row r="1587">
          <cell r="C1587" t="str">
            <v>&lt;-- enter valid PB./Acc. # in this cell!</v>
          </cell>
          <cell r="F1587" t="str">
            <v>OK</v>
          </cell>
        </row>
        <row r="1588">
          <cell r="C1588" t="str">
            <v>&lt;-- enter valid PB./Acc. # in this cell!</v>
          </cell>
          <cell r="F1588" t="str">
            <v>OK</v>
          </cell>
        </row>
        <row r="1589">
          <cell r="C1589" t="str">
            <v>&lt;-- enter valid PB./Acc. # in this cell!</v>
          </cell>
          <cell r="F1589" t="str">
            <v>OK</v>
          </cell>
        </row>
        <row r="1590">
          <cell r="C1590" t="str">
            <v>&lt;-- enter valid PB./Acc. # in this cell!</v>
          </cell>
          <cell r="F1590" t="str">
            <v>OK</v>
          </cell>
        </row>
        <row r="1591">
          <cell r="C1591" t="str">
            <v>&lt;-- enter valid PB./Acc. # in this cell!</v>
          </cell>
          <cell r="F1591" t="str">
            <v>OK</v>
          </cell>
        </row>
        <row r="1592">
          <cell r="C1592" t="str">
            <v>&lt;-- enter valid PB./Acc. # in this cell!</v>
          </cell>
          <cell r="F1592" t="str">
            <v>OK</v>
          </cell>
        </row>
        <row r="1593">
          <cell r="C1593" t="str">
            <v>&lt;-- enter valid PB./Acc. # in this cell!</v>
          </cell>
          <cell r="F1593" t="str">
            <v>OK</v>
          </cell>
        </row>
        <row r="1594">
          <cell r="C1594" t="str">
            <v>&lt;-- enter valid PB./Acc. # in this cell!</v>
          </cell>
          <cell r="F1594" t="str">
            <v>OK</v>
          </cell>
        </row>
        <row r="1595">
          <cell r="C1595" t="str">
            <v>&lt;-- enter valid PB./Acc. # in this cell!</v>
          </cell>
          <cell r="F1595" t="str">
            <v>OK</v>
          </cell>
        </row>
        <row r="1596">
          <cell r="C1596" t="str">
            <v>&lt;-- enter valid PB./Acc. # in this cell!</v>
          </cell>
          <cell r="F1596" t="str">
            <v>OK</v>
          </cell>
        </row>
        <row r="1597">
          <cell r="C1597" t="str">
            <v>&lt;-- enter valid PB./Acc. # in this cell!</v>
          </cell>
          <cell r="F1597" t="str">
            <v>OK</v>
          </cell>
        </row>
        <row r="1598">
          <cell r="C1598" t="str">
            <v>&lt;-- enter valid PB./Acc. # in this cell!</v>
          </cell>
          <cell r="F1598" t="str">
            <v>OK</v>
          </cell>
        </row>
        <row r="1599">
          <cell r="C1599" t="str">
            <v>&lt;-- enter valid PB./Acc. # in this cell!</v>
          </cell>
          <cell r="F1599" t="str">
            <v>OK</v>
          </cell>
        </row>
        <row r="1600">
          <cell r="C1600" t="str">
            <v>&lt;-- enter valid PB./Acc. # in this cell!</v>
          </cell>
          <cell r="F1600" t="str">
            <v>OK</v>
          </cell>
        </row>
        <row r="1601">
          <cell r="C1601" t="str">
            <v>&lt;-- enter valid PB./Acc. # in this cell!</v>
          </cell>
          <cell r="F1601" t="str">
            <v>OK</v>
          </cell>
        </row>
        <row r="1602">
          <cell r="C1602" t="str">
            <v>&lt;-- enter valid PB./Acc. # in this cell!</v>
          </cell>
          <cell r="F1602" t="str">
            <v>OK</v>
          </cell>
        </row>
        <row r="1603">
          <cell r="C1603" t="str">
            <v>&lt;-- enter valid PB./Acc. # in this cell!</v>
          </cell>
          <cell r="F1603" t="str">
            <v>OK</v>
          </cell>
        </row>
        <row r="1604">
          <cell r="C1604" t="str">
            <v>&lt;-- enter valid PB./Acc. # in this cell!</v>
          </cell>
          <cell r="F1604" t="str">
            <v>OK</v>
          </cell>
        </row>
        <row r="1605">
          <cell r="C1605" t="str">
            <v>&lt;-- enter valid PB./Acc. # in this cell!</v>
          </cell>
          <cell r="F1605" t="str">
            <v>OK</v>
          </cell>
        </row>
        <row r="1606">
          <cell r="C1606" t="str">
            <v>&lt;-- enter valid PB./Acc. # in this cell!</v>
          </cell>
          <cell r="F1606" t="str">
            <v>OK</v>
          </cell>
        </row>
        <row r="1607">
          <cell r="C1607" t="str">
            <v>&lt;-- enter valid PB./Acc. # in this cell!</v>
          </cell>
          <cell r="F1607" t="str">
            <v>OK</v>
          </cell>
        </row>
        <row r="1608">
          <cell r="C1608" t="str">
            <v>&lt;-- enter valid PB./Acc. # in this cell!</v>
          </cell>
          <cell r="F1608" t="str">
            <v>OK</v>
          </cell>
        </row>
        <row r="1609">
          <cell r="C1609" t="str">
            <v>&lt;-- enter valid PB./Acc. # in this cell!</v>
          </cell>
          <cell r="F1609" t="str">
            <v>OK</v>
          </cell>
        </row>
        <row r="1610">
          <cell r="C1610" t="str">
            <v>&lt;-- enter valid PB./Acc. # in this cell!</v>
          </cell>
          <cell r="F1610" t="str">
            <v>OK</v>
          </cell>
        </row>
        <row r="1611">
          <cell r="C1611" t="str">
            <v>&lt;-- enter valid PB./Acc. # in this cell!</v>
          </cell>
          <cell r="F1611" t="str">
            <v>OK</v>
          </cell>
        </row>
        <row r="1612">
          <cell r="C1612" t="str">
            <v>&lt;-- enter valid PB./Acc. # in this cell!</v>
          </cell>
          <cell r="F1612" t="str">
            <v>OK</v>
          </cell>
        </row>
        <row r="1613">
          <cell r="C1613" t="str">
            <v>&lt;-- enter valid PB./Acc. # in this cell!</v>
          </cell>
          <cell r="F1613" t="str">
            <v>OK</v>
          </cell>
        </row>
        <row r="1614">
          <cell r="C1614" t="str">
            <v>&lt;-- enter valid PB./Acc. # in this cell!</v>
          </cell>
          <cell r="F1614" t="str">
            <v>OK</v>
          </cell>
        </row>
        <row r="1615">
          <cell r="C1615" t="str">
            <v>&lt;-- enter valid PB./Acc. # in this cell!</v>
          </cell>
          <cell r="F1615" t="str">
            <v>OK</v>
          </cell>
        </row>
        <row r="1616">
          <cell r="C1616" t="str">
            <v>&lt;-- enter valid PB./Acc. # in this cell!</v>
          </cell>
          <cell r="F1616" t="str">
            <v>OK</v>
          </cell>
        </row>
        <row r="1617">
          <cell r="C1617" t="str">
            <v>&lt;-- enter valid PB./Acc. # in this cell!</v>
          </cell>
          <cell r="F1617" t="str">
            <v>OK</v>
          </cell>
        </row>
        <row r="1618">
          <cell r="C1618" t="str">
            <v>&lt;-- enter valid PB./Acc. # in this cell!</v>
          </cell>
          <cell r="F1618" t="str">
            <v>OK</v>
          </cell>
        </row>
        <row r="1619">
          <cell r="C1619" t="str">
            <v>&lt;-- enter valid PB./Acc. # in this cell!</v>
          </cell>
          <cell r="F1619" t="str">
            <v>OK</v>
          </cell>
        </row>
        <row r="1620">
          <cell r="C1620" t="str">
            <v>&lt;-- enter valid PB./Acc. # in this cell!</v>
          </cell>
          <cell r="F1620" t="str">
            <v>OK</v>
          </cell>
        </row>
        <row r="1621">
          <cell r="C1621" t="str">
            <v>&lt;-- enter valid PB./Acc. # in this cell!</v>
          </cell>
          <cell r="F1621" t="str">
            <v>OK</v>
          </cell>
        </row>
        <row r="1622">
          <cell r="C1622" t="str">
            <v>&lt;-- enter valid PB./Acc. # in this cell!</v>
          </cell>
          <cell r="F1622" t="str">
            <v>OK</v>
          </cell>
        </row>
        <row r="1623">
          <cell r="C1623" t="str">
            <v>&lt;-- enter valid PB./Acc. # in this cell!</v>
          </cell>
          <cell r="F1623" t="str">
            <v>OK</v>
          </cell>
        </row>
        <row r="1624">
          <cell r="C1624" t="str">
            <v>&lt;-- enter valid PB./Acc. # in this cell!</v>
          </cell>
          <cell r="F1624" t="str">
            <v>OK</v>
          </cell>
        </row>
        <row r="1625">
          <cell r="C1625" t="str">
            <v>&lt;-- enter valid PB./Acc. # in this cell!</v>
          </cell>
          <cell r="F1625" t="str">
            <v>OK</v>
          </cell>
        </row>
        <row r="1626">
          <cell r="C1626" t="str">
            <v>&lt;-- enter valid PB./Acc. # in this cell!</v>
          </cell>
          <cell r="F1626" t="str">
            <v>OK</v>
          </cell>
        </row>
        <row r="1627">
          <cell r="C1627" t="str">
            <v>&lt;-- enter valid PB./Acc. # in this cell!</v>
          </cell>
          <cell r="F1627" t="str">
            <v>OK</v>
          </cell>
        </row>
        <row r="1628">
          <cell r="C1628" t="str">
            <v>&lt;-- enter valid PB./Acc. # in this cell!</v>
          </cell>
          <cell r="F1628" t="str">
            <v>OK</v>
          </cell>
        </row>
        <row r="1629">
          <cell r="C1629" t="str">
            <v>&lt;-- enter valid PB./Acc. # in this cell!</v>
          </cell>
          <cell r="F1629" t="str">
            <v>OK</v>
          </cell>
        </row>
        <row r="1630">
          <cell r="C1630" t="str">
            <v>&lt;-- enter valid PB./Acc. # in this cell!</v>
          </cell>
          <cell r="F1630" t="str">
            <v>OK</v>
          </cell>
        </row>
        <row r="1631">
          <cell r="C1631" t="str">
            <v>&lt;-- enter valid PB./Acc. # in this cell!</v>
          </cell>
          <cell r="F1631" t="str">
            <v>OK</v>
          </cell>
        </row>
        <row r="1632">
          <cell r="C1632" t="str">
            <v>&lt;-- enter valid PB./Acc. # in this cell!</v>
          </cell>
          <cell r="F1632" t="str">
            <v>OK</v>
          </cell>
        </row>
        <row r="1633">
          <cell r="C1633" t="str">
            <v>&lt;-- enter valid PB./Acc. # in this cell!</v>
          </cell>
          <cell r="F1633" t="str">
            <v>OK</v>
          </cell>
        </row>
        <row r="1634">
          <cell r="C1634" t="str">
            <v>&lt;-- enter valid PB./Acc. # in this cell!</v>
          </cell>
          <cell r="F1634" t="str">
            <v>OK</v>
          </cell>
        </row>
        <row r="1635">
          <cell r="C1635" t="str">
            <v>&lt;-- enter valid PB./Acc. # in this cell!</v>
          </cell>
          <cell r="F1635" t="str">
            <v>OK</v>
          </cell>
        </row>
        <row r="1636">
          <cell r="C1636" t="str">
            <v>&lt;-- enter valid PB./Acc. # in this cell!</v>
          </cell>
          <cell r="F1636" t="str">
            <v>OK</v>
          </cell>
        </row>
        <row r="1637">
          <cell r="C1637" t="str">
            <v>&lt;-- enter valid PB./Acc. # in this cell!</v>
          </cell>
          <cell r="F1637" t="str">
            <v>OK</v>
          </cell>
        </row>
        <row r="1638">
          <cell r="C1638" t="str">
            <v>&lt;-- enter valid PB./Acc. # in this cell!</v>
          </cell>
          <cell r="F1638" t="str">
            <v>OK</v>
          </cell>
        </row>
        <row r="1639">
          <cell r="C1639" t="str">
            <v>&lt;-- enter valid PB./Acc. # in this cell!</v>
          </cell>
          <cell r="F1639" t="str">
            <v>OK</v>
          </cell>
        </row>
        <row r="1640">
          <cell r="C1640" t="str">
            <v>&lt;-- enter valid PB./Acc. # in this cell!</v>
          </cell>
          <cell r="F1640" t="str">
            <v>OK</v>
          </cell>
        </row>
        <row r="1641">
          <cell r="C1641" t="str">
            <v>&lt;-- enter valid PB./Acc. # in this cell!</v>
          </cell>
          <cell r="F1641" t="str">
            <v>OK</v>
          </cell>
        </row>
        <row r="1642">
          <cell r="C1642" t="str">
            <v>&lt;-- enter valid PB./Acc. # in this cell!</v>
          </cell>
          <cell r="F1642" t="str">
            <v>OK</v>
          </cell>
        </row>
        <row r="1643">
          <cell r="C1643" t="str">
            <v>&lt;-- enter valid PB./Acc. # in this cell!</v>
          </cell>
          <cell r="F1643" t="str">
            <v>OK</v>
          </cell>
        </row>
        <row r="1644">
          <cell r="C1644" t="str">
            <v>&lt;-- enter valid PB./Acc. # in this cell!</v>
          </cell>
          <cell r="F1644" t="str">
            <v>OK</v>
          </cell>
        </row>
        <row r="1645">
          <cell r="C1645" t="str">
            <v>&lt;-- enter valid PB./Acc. # in this cell!</v>
          </cell>
          <cell r="F1645" t="str">
            <v>OK</v>
          </cell>
        </row>
        <row r="1646">
          <cell r="C1646" t="str">
            <v>&lt;-- enter valid PB./Acc. # in this cell!</v>
          </cell>
          <cell r="F1646" t="str">
            <v>OK</v>
          </cell>
        </row>
        <row r="1647">
          <cell r="C1647" t="str">
            <v>&lt;-- enter valid PB./Acc. # in this cell!</v>
          </cell>
          <cell r="F1647" t="str">
            <v>OK</v>
          </cell>
        </row>
        <row r="1648">
          <cell r="C1648" t="str">
            <v>&lt;-- enter valid PB./Acc. # in this cell!</v>
          </cell>
          <cell r="F1648" t="str">
            <v>OK</v>
          </cell>
        </row>
        <row r="1649">
          <cell r="C1649" t="str">
            <v>&lt;-- enter valid PB./Acc. # in this cell!</v>
          </cell>
          <cell r="F1649" t="str">
            <v>OK</v>
          </cell>
        </row>
        <row r="1650">
          <cell r="C1650" t="str">
            <v>&lt;-- enter valid PB./Acc. # in this cell!</v>
          </cell>
          <cell r="F1650" t="str">
            <v>OK</v>
          </cell>
        </row>
        <row r="1651">
          <cell r="C1651" t="str">
            <v>&lt;-- enter valid PB./Acc. # in this cell!</v>
          </cell>
          <cell r="F1651" t="str">
            <v>OK</v>
          </cell>
        </row>
        <row r="1652">
          <cell r="C1652" t="str">
            <v>&lt;-- enter valid PB./Acc. # in this cell!</v>
          </cell>
          <cell r="F1652" t="str">
            <v>OK</v>
          </cell>
        </row>
        <row r="1653">
          <cell r="C1653" t="str">
            <v>&lt;-- enter valid PB./Acc. # in this cell!</v>
          </cell>
          <cell r="F1653" t="str">
            <v>OK</v>
          </cell>
        </row>
        <row r="1654">
          <cell r="C1654" t="str">
            <v>&lt;-- enter valid PB./Acc. # in this cell!</v>
          </cell>
          <cell r="F1654" t="str">
            <v>OK</v>
          </cell>
        </row>
        <row r="1655">
          <cell r="C1655" t="str">
            <v>&lt;-- enter valid PB./Acc. # in this cell!</v>
          </cell>
          <cell r="F1655" t="str">
            <v>OK</v>
          </cell>
        </row>
        <row r="1656">
          <cell r="C1656" t="str">
            <v>&lt;-- enter valid PB./Acc. # in this cell!</v>
          </cell>
          <cell r="F1656" t="str">
            <v>OK</v>
          </cell>
        </row>
        <row r="1657">
          <cell r="C1657" t="str">
            <v>&lt;-- enter valid PB./Acc. # in this cell!</v>
          </cell>
          <cell r="F1657" t="str">
            <v>OK</v>
          </cell>
        </row>
        <row r="1658">
          <cell r="C1658" t="str">
            <v>&lt;-- enter valid PB./Acc. # in this cell!</v>
          </cell>
          <cell r="F1658" t="str">
            <v>OK</v>
          </cell>
        </row>
        <row r="1659">
          <cell r="C1659" t="str">
            <v>&lt;-- enter valid PB./Acc. # in this cell!</v>
          </cell>
          <cell r="F1659" t="str">
            <v>OK</v>
          </cell>
        </row>
        <row r="1660">
          <cell r="C1660" t="str">
            <v>&lt;-- enter valid PB./Acc. # in this cell!</v>
          </cell>
          <cell r="F1660" t="str">
            <v>OK</v>
          </cell>
        </row>
        <row r="1661">
          <cell r="C1661" t="str">
            <v>&lt;-- enter valid PB./Acc. # in this cell!</v>
          </cell>
          <cell r="F1661" t="str">
            <v>OK</v>
          </cell>
        </row>
        <row r="1662">
          <cell r="C1662" t="str">
            <v>&lt;-- enter valid PB./Acc. # in this cell!</v>
          </cell>
          <cell r="F1662" t="str">
            <v>OK</v>
          </cell>
        </row>
        <row r="1663">
          <cell r="C1663" t="str">
            <v>&lt;-- enter valid PB./Acc. # in this cell!</v>
          </cell>
          <cell r="F1663" t="str">
            <v>OK</v>
          </cell>
        </row>
        <row r="1664">
          <cell r="C1664" t="str">
            <v>&lt;-- enter valid PB./Acc. # in this cell!</v>
          </cell>
          <cell r="F1664" t="str">
            <v>OK</v>
          </cell>
        </row>
        <row r="1665">
          <cell r="C1665" t="str">
            <v>&lt;-- enter valid PB./Acc. # in this cell!</v>
          </cell>
          <cell r="F1665" t="str">
            <v>OK</v>
          </cell>
        </row>
        <row r="1666">
          <cell r="C1666" t="str">
            <v>&lt;-- enter valid PB./Acc. # in this cell!</v>
          </cell>
          <cell r="F1666" t="str">
            <v>OK</v>
          </cell>
        </row>
        <row r="1667">
          <cell r="C1667" t="str">
            <v>&lt;-- enter valid PB./Acc. # in this cell!</v>
          </cell>
          <cell r="F1667" t="str">
            <v>OK</v>
          </cell>
        </row>
        <row r="1668">
          <cell r="C1668" t="str">
            <v>&lt;-- enter valid PB./Acc. # in this cell!</v>
          </cell>
          <cell r="F1668" t="str">
            <v>OK</v>
          </cell>
        </row>
        <row r="1669">
          <cell r="C1669" t="str">
            <v>&lt;-- enter valid PB./Acc. # in this cell!</v>
          </cell>
          <cell r="F1669" t="str">
            <v>OK</v>
          </cell>
        </row>
        <row r="1670">
          <cell r="C1670" t="str">
            <v>&lt;-- enter valid PB./Acc. # in this cell!</v>
          </cell>
          <cell r="F1670" t="str">
            <v>OK</v>
          </cell>
        </row>
        <row r="1671">
          <cell r="C1671" t="str">
            <v>&lt;-- enter valid PB./Acc. # in this cell!</v>
          </cell>
          <cell r="F1671" t="str">
            <v>OK</v>
          </cell>
        </row>
        <row r="1672">
          <cell r="C1672" t="str">
            <v>&lt;-- enter valid PB./Acc. # in this cell!</v>
          </cell>
          <cell r="F1672" t="str">
            <v>OK</v>
          </cell>
        </row>
        <row r="1673">
          <cell r="C1673" t="str">
            <v>&lt;-- enter valid PB./Acc. # in this cell!</v>
          </cell>
          <cell r="F1673" t="str">
            <v>OK</v>
          </cell>
        </row>
        <row r="1674">
          <cell r="C1674" t="str">
            <v>&lt;-- enter valid PB./Acc. # in this cell!</v>
          </cell>
          <cell r="F1674" t="str">
            <v>OK</v>
          </cell>
        </row>
        <row r="1675">
          <cell r="C1675" t="str">
            <v>&lt;-- enter valid PB./Acc. # in this cell!</v>
          </cell>
          <cell r="F1675" t="str">
            <v>OK</v>
          </cell>
        </row>
        <row r="1676">
          <cell r="C1676" t="str">
            <v>&lt;-- enter valid PB./Acc. # in this cell!</v>
          </cell>
          <cell r="F1676" t="str">
            <v>OK</v>
          </cell>
        </row>
        <row r="1677">
          <cell r="C1677" t="str">
            <v>&lt;-- enter valid PB./Acc. # in this cell!</v>
          </cell>
          <cell r="F1677" t="str">
            <v>OK</v>
          </cell>
        </row>
        <row r="1678">
          <cell r="C1678" t="str">
            <v>&lt;-- enter valid PB./Acc. # in this cell!</v>
          </cell>
          <cell r="F1678" t="str">
            <v>OK</v>
          </cell>
        </row>
        <row r="1679">
          <cell r="C1679" t="str">
            <v>&lt;-- enter valid PB./Acc. # in this cell!</v>
          </cell>
          <cell r="F1679" t="str">
            <v>OK</v>
          </cell>
        </row>
        <row r="1680">
          <cell r="C1680" t="str">
            <v>&lt;-- enter valid PB./Acc. # in this cell!</v>
          </cell>
          <cell r="F1680" t="str">
            <v>OK</v>
          </cell>
        </row>
        <row r="1681">
          <cell r="C1681" t="str">
            <v>&lt;-- enter valid PB./Acc. # in this cell!</v>
          </cell>
          <cell r="F1681" t="str">
            <v>OK</v>
          </cell>
        </row>
        <row r="1682">
          <cell r="C1682" t="str">
            <v>&lt;-- enter valid PB./Acc. # in this cell!</v>
          </cell>
          <cell r="F1682" t="str">
            <v>OK</v>
          </cell>
        </row>
        <row r="1683">
          <cell r="C1683" t="str">
            <v>&lt;-- enter valid PB./Acc. # in this cell!</v>
          </cell>
          <cell r="F1683" t="str">
            <v>OK</v>
          </cell>
        </row>
        <row r="1684">
          <cell r="C1684" t="str">
            <v>&lt;-- enter valid PB./Acc. # in this cell!</v>
          </cell>
          <cell r="F1684" t="str">
            <v>OK</v>
          </cell>
        </row>
        <row r="1685">
          <cell r="C1685" t="str">
            <v>&lt;-- enter valid PB./Acc. # in this cell!</v>
          </cell>
          <cell r="F1685" t="str">
            <v>OK</v>
          </cell>
        </row>
        <row r="1686">
          <cell r="C1686" t="str">
            <v>&lt;-- enter valid PB./Acc. # in this cell!</v>
          </cell>
          <cell r="F1686" t="str">
            <v>OK</v>
          </cell>
        </row>
        <row r="1687">
          <cell r="C1687" t="str">
            <v>&lt;-- enter valid PB./Acc. # in this cell!</v>
          </cell>
          <cell r="F1687" t="str">
            <v>OK</v>
          </cell>
        </row>
        <row r="1688">
          <cell r="C1688" t="str">
            <v>&lt;-- enter valid PB./Acc. # in this cell!</v>
          </cell>
          <cell r="F1688" t="str">
            <v>OK</v>
          </cell>
        </row>
        <row r="1689">
          <cell r="C1689" t="str">
            <v>&lt;-- enter valid PB./Acc. # in this cell!</v>
          </cell>
          <cell r="F1689" t="str">
            <v>OK</v>
          </cell>
        </row>
        <row r="1690">
          <cell r="C1690" t="str">
            <v>&lt;-- enter valid PB./Acc. # in this cell!</v>
          </cell>
          <cell r="F1690" t="str">
            <v>OK</v>
          </cell>
        </row>
        <row r="1691">
          <cell r="C1691" t="str">
            <v>&lt;-- enter valid PB./Acc. # in this cell!</v>
          </cell>
          <cell r="F1691" t="str">
            <v>OK</v>
          </cell>
        </row>
        <row r="1692">
          <cell r="C1692" t="str">
            <v>&lt;-- enter valid PB./Acc. # in this cell!</v>
          </cell>
          <cell r="F1692" t="str">
            <v>OK</v>
          </cell>
        </row>
        <row r="1693">
          <cell r="C1693" t="str">
            <v>&lt;-- enter valid PB./Acc. # in this cell!</v>
          </cell>
          <cell r="F1693" t="str">
            <v>OK</v>
          </cell>
        </row>
        <row r="1694">
          <cell r="C1694" t="str">
            <v>&lt;-- enter valid PB./Acc. # in this cell!</v>
          </cell>
          <cell r="F1694" t="str">
            <v>OK</v>
          </cell>
        </row>
        <row r="1695">
          <cell r="C1695" t="str">
            <v>&lt;-- enter valid PB./Acc. # in this cell!</v>
          </cell>
          <cell r="F1695" t="str">
            <v>OK</v>
          </cell>
        </row>
        <row r="1696">
          <cell r="C1696" t="str">
            <v>&lt;-- enter valid PB./Acc. # in this cell!</v>
          </cell>
          <cell r="F1696" t="str">
            <v>OK</v>
          </cell>
        </row>
        <row r="1697">
          <cell r="C1697" t="str">
            <v>&lt;-- enter valid PB./Acc. # in this cell!</v>
          </cell>
          <cell r="F1697" t="str">
            <v>OK</v>
          </cell>
        </row>
        <row r="1698">
          <cell r="C1698" t="str">
            <v>&lt;-- enter valid PB./Acc. # in this cell!</v>
          </cell>
          <cell r="F1698" t="str">
            <v>OK</v>
          </cell>
        </row>
        <row r="1699">
          <cell r="C1699" t="str">
            <v>&lt;-- enter valid PB./Acc. # in this cell!</v>
          </cell>
          <cell r="F1699" t="str">
            <v>OK</v>
          </cell>
        </row>
        <row r="1700">
          <cell r="C1700" t="str">
            <v>&lt;-- enter valid PB./Acc. # in this cell!</v>
          </cell>
          <cell r="F1700" t="str">
            <v>OK</v>
          </cell>
        </row>
        <row r="1701">
          <cell r="C1701" t="str">
            <v>&lt;-- enter valid PB./Acc. # in this cell!</v>
          </cell>
          <cell r="F1701" t="str">
            <v>OK</v>
          </cell>
        </row>
        <row r="1702">
          <cell r="C1702" t="str">
            <v>&lt;-- enter valid PB./Acc. # in this cell!</v>
          </cell>
          <cell r="F1702" t="str">
            <v>OK</v>
          </cell>
        </row>
        <row r="1703">
          <cell r="C1703" t="str">
            <v>&lt;-- enter valid PB./Acc. # in this cell!</v>
          </cell>
          <cell r="F1703" t="str">
            <v>OK</v>
          </cell>
        </row>
        <row r="1704">
          <cell r="C1704" t="str">
            <v>&lt;-- enter valid PB./Acc. # in this cell!</v>
          </cell>
          <cell r="F1704" t="str">
            <v>OK</v>
          </cell>
        </row>
        <row r="1705">
          <cell r="C1705" t="str">
            <v>&lt;-- enter valid PB./Acc. # in this cell!</v>
          </cell>
          <cell r="F1705" t="str">
            <v>OK</v>
          </cell>
        </row>
        <row r="1706">
          <cell r="C1706" t="str">
            <v>&lt;-- enter valid PB./Acc. # in this cell!</v>
          </cell>
          <cell r="F1706" t="str">
            <v>OK</v>
          </cell>
        </row>
        <row r="1707">
          <cell r="C1707" t="str">
            <v>&lt;-- enter valid PB./Acc. # in this cell!</v>
          </cell>
          <cell r="F1707" t="str">
            <v>OK</v>
          </cell>
        </row>
        <row r="1708">
          <cell r="C1708" t="str">
            <v>&lt;-- enter valid PB./Acc. # in this cell!</v>
          </cell>
          <cell r="F1708" t="str">
            <v>OK</v>
          </cell>
        </row>
        <row r="1709">
          <cell r="C1709" t="str">
            <v>&lt;-- enter valid PB./Acc. # in this cell!</v>
          </cell>
          <cell r="F1709" t="str">
            <v>OK</v>
          </cell>
        </row>
        <row r="1710">
          <cell r="C1710" t="str">
            <v>&lt;-- enter valid PB./Acc. # in this cell!</v>
          </cell>
          <cell r="F1710" t="str">
            <v>OK</v>
          </cell>
        </row>
        <row r="1711">
          <cell r="C1711" t="str">
            <v>&lt;-- enter valid PB./Acc. # in this cell!</v>
          </cell>
          <cell r="F1711" t="str">
            <v>OK</v>
          </cell>
        </row>
        <row r="1712">
          <cell r="C1712" t="str">
            <v>&lt;-- enter valid PB./Acc. # in this cell!</v>
          </cell>
          <cell r="F1712" t="str">
            <v>OK</v>
          </cell>
        </row>
        <row r="1713">
          <cell r="C1713" t="str">
            <v>&lt;-- enter valid PB./Acc. # in this cell!</v>
          </cell>
          <cell r="F1713" t="str">
            <v>OK</v>
          </cell>
        </row>
        <row r="1714">
          <cell r="C1714" t="str">
            <v>&lt;-- enter valid PB./Acc. # in this cell!</v>
          </cell>
          <cell r="F1714" t="str">
            <v>OK</v>
          </cell>
        </row>
        <row r="1715">
          <cell r="C1715" t="str">
            <v>&lt;-- enter valid PB./Acc. # in this cell!</v>
          </cell>
          <cell r="F1715" t="str">
            <v>OK</v>
          </cell>
        </row>
        <row r="1716">
          <cell r="C1716" t="str">
            <v>&lt;-- enter valid PB./Acc. # in this cell!</v>
          </cell>
          <cell r="F1716" t="str">
            <v>OK</v>
          </cell>
        </row>
        <row r="1717">
          <cell r="C1717" t="str">
            <v>&lt;-- enter valid PB./Acc. # in this cell!</v>
          </cell>
          <cell r="F1717" t="str">
            <v>OK</v>
          </cell>
        </row>
        <row r="1718">
          <cell r="C1718" t="str">
            <v>&lt;-- enter valid PB./Acc. # in this cell!</v>
          </cell>
          <cell r="F1718" t="str">
            <v>OK</v>
          </cell>
        </row>
        <row r="1719">
          <cell r="C1719" t="str">
            <v>&lt;-- enter valid PB./Acc. # in this cell!</v>
          </cell>
          <cell r="F1719" t="str">
            <v>OK</v>
          </cell>
        </row>
        <row r="1720">
          <cell r="C1720" t="str">
            <v>&lt;-- enter valid PB./Acc. # in this cell!</v>
          </cell>
          <cell r="F1720" t="str">
            <v>OK</v>
          </cell>
        </row>
        <row r="1721">
          <cell r="C1721" t="str">
            <v>&lt;-- enter valid PB./Acc. # in this cell!</v>
          </cell>
          <cell r="F1721" t="str">
            <v>OK</v>
          </cell>
        </row>
        <row r="1722">
          <cell r="C1722" t="str">
            <v>&lt;-- enter valid PB./Acc. # in this cell!</v>
          </cell>
          <cell r="F1722" t="str">
            <v>OK</v>
          </cell>
        </row>
        <row r="1723">
          <cell r="C1723" t="str">
            <v>&lt;-- enter valid PB./Acc. # in this cell!</v>
          </cell>
          <cell r="F1723" t="str">
            <v>OK</v>
          </cell>
        </row>
        <row r="1724">
          <cell r="C1724" t="str">
            <v>&lt;-- enter valid PB./Acc. # in this cell!</v>
          </cell>
          <cell r="F1724" t="str">
            <v>OK</v>
          </cell>
        </row>
        <row r="1725">
          <cell r="C1725" t="str">
            <v>&lt;-- enter valid PB./Acc. # in this cell!</v>
          </cell>
          <cell r="F1725" t="str">
            <v>OK</v>
          </cell>
        </row>
        <row r="1726">
          <cell r="C1726" t="str">
            <v>&lt;-- enter valid PB./Acc. # in this cell!</v>
          </cell>
          <cell r="F1726" t="str">
            <v>OK</v>
          </cell>
        </row>
        <row r="1727">
          <cell r="C1727" t="str">
            <v>&lt;-- enter valid PB./Acc. # in this cell!</v>
          </cell>
          <cell r="F1727" t="str">
            <v>OK</v>
          </cell>
        </row>
        <row r="1728">
          <cell r="C1728" t="str">
            <v>&lt;-- enter valid PB./Acc. # in this cell!</v>
          </cell>
          <cell r="F1728" t="str">
            <v>OK</v>
          </cell>
        </row>
        <row r="1729">
          <cell r="C1729" t="str">
            <v>&lt;-- enter valid PB./Acc. # in this cell!</v>
          </cell>
          <cell r="F1729" t="str">
            <v>OK</v>
          </cell>
        </row>
        <row r="1730">
          <cell r="C1730" t="str">
            <v>&lt;-- enter valid PB./Acc. # in this cell!</v>
          </cell>
          <cell r="F1730" t="str">
            <v>OK</v>
          </cell>
        </row>
        <row r="1731">
          <cell r="C1731" t="str">
            <v>&lt;-- enter valid PB./Acc. # in this cell!</v>
          </cell>
          <cell r="F1731" t="str">
            <v>OK</v>
          </cell>
        </row>
        <row r="1732">
          <cell r="C1732" t="str">
            <v>&lt;-- enter valid PB./Acc. # in this cell!</v>
          </cell>
          <cell r="F1732" t="str">
            <v>OK</v>
          </cell>
        </row>
        <row r="1733">
          <cell r="C1733" t="str">
            <v>&lt;-- enter valid PB./Acc. # in this cell!</v>
          </cell>
          <cell r="F1733" t="str">
            <v>OK</v>
          </cell>
        </row>
        <row r="1734">
          <cell r="C1734" t="str">
            <v>&lt;-- enter valid PB./Acc. # in this cell!</v>
          </cell>
          <cell r="F1734" t="str">
            <v>OK</v>
          </cell>
        </row>
        <row r="1735">
          <cell r="C1735" t="str">
            <v>&lt;-- enter valid PB./Acc. # in this cell!</v>
          </cell>
          <cell r="F1735" t="str">
            <v>OK</v>
          </cell>
        </row>
        <row r="1736">
          <cell r="C1736" t="str">
            <v>&lt;-- enter valid PB./Acc. # in this cell!</v>
          </cell>
          <cell r="F1736" t="str">
            <v>OK</v>
          </cell>
        </row>
        <row r="1737">
          <cell r="C1737" t="str">
            <v>&lt;-- enter valid PB./Acc. # in this cell!</v>
          </cell>
          <cell r="F1737" t="str">
            <v>OK</v>
          </cell>
        </row>
        <row r="1738">
          <cell r="C1738" t="str">
            <v>&lt;-- enter valid PB./Acc. # in this cell!</v>
          </cell>
          <cell r="F1738" t="str">
            <v>OK</v>
          </cell>
        </row>
        <row r="1739">
          <cell r="C1739" t="str">
            <v>&lt;-- enter valid PB./Acc. # in this cell!</v>
          </cell>
          <cell r="F1739" t="str">
            <v>OK</v>
          </cell>
        </row>
        <row r="1740">
          <cell r="C1740" t="str">
            <v>&lt;-- enter valid PB./Acc. # in this cell!</v>
          </cell>
          <cell r="F1740" t="str">
            <v>OK</v>
          </cell>
        </row>
        <row r="1741">
          <cell r="C1741" t="str">
            <v>&lt;-- enter valid PB./Acc. # in this cell!</v>
          </cell>
          <cell r="F1741" t="str">
            <v>OK</v>
          </cell>
        </row>
        <row r="1742">
          <cell r="C1742" t="str">
            <v>&lt;-- enter valid PB./Acc. # in this cell!</v>
          </cell>
          <cell r="F1742" t="str">
            <v>OK</v>
          </cell>
        </row>
        <row r="1743">
          <cell r="C1743" t="str">
            <v>&lt;-- enter valid PB./Acc. # in this cell!</v>
          </cell>
          <cell r="F1743" t="str">
            <v>OK</v>
          </cell>
        </row>
        <row r="1744">
          <cell r="C1744" t="str">
            <v>&lt;-- enter valid PB./Acc. # in this cell!</v>
          </cell>
          <cell r="F1744" t="str">
            <v>OK</v>
          </cell>
        </row>
        <row r="1745">
          <cell r="C1745" t="str">
            <v>&lt;-- enter valid PB./Acc. # in this cell!</v>
          </cell>
          <cell r="F1745" t="str">
            <v>OK</v>
          </cell>
        </row>
        <row r="1746">
          <cell r="C1746" t="str">
            <v>&lt;-- enter valid PB./Acc. # in this cell!</v>
          </cell>
          <cell r="F1746" t="str">
            <v>OK</v>
          </cell>
        </row>
        <row r="1747">
          <cell r="C1747" t="str">
            <v>&lt;-- enter valid PB./Acc. # in this cell!</v>
          </cell>
          <cell r="F1747" t="str">
            <v>OK</v>
          </cell>
        </row>
        <row r="1748">
          <cell r="C1748" t="str">
            <v>&lt;-- enter valid PB./Acc. # in this cell!</v>
          </cell>
          <cell r="F1748" t="str">
            <v>OK</v>
          </cell>
        </row>
        <row r="1749">
          <cell r="C1749" t="str">
            <v>&lt;-- enter valid PB./Acc. # in this cell!</v>
          </cell>
          <cell r="F1749" t="str">
            <v>OK</v>
          </cell>
        </row>
        <row r="1750">
          <cell r="C1750" t="str">
            <v>&lt;-- enter valid PB./Acc. # in this cell!</v>
          </cell>
          <cell r="F1750" t="str">
            <v>OK</v>
          </cell>
        </row>
        <row r="1751">
          <cell r="C1751" t="str">
            <v>&lt;-- enter valid PB./Acc. # in this cell!</v>
          </cell>
          <cell r="F1751" t="str">
            <v>OK</v>
          </cell>
        </row>
        <row r="1752">
          <cell r="C1752" t="str">
            <v>&lt;-- enter valid PB./Acc. # in this cell!</v>
          </cell>
          <cell r="F1752" t="str">
            <v>OK</v>
          </cell>
        </row>
        <row r="1753">
          <cell r="C1753" t="str">
            <v>&lt;-- enter valid PB./Acc. # in this cell!</v>
          </cell>
          <cell r="F1753" t="str">
            <v>OK</v>
          </cell>
        </row>
        <row r="1754">
          <cell r="C1754" t="str">
            <v>&lt;-- enter valid PB./Acc. # in this cell!</v>
          </cell>
          <cell r="F1754" t="str">
            <v>OK</v>
          </cell>
        </row>
        <row r="1755">
          <cell r="C1755" t="str">
            <v>&lt;-- enter valid PB./Acc. # in this cell!</v>
          </cell>
          <cell r="F1755" t="str">
            <v>OK</v>
          </cell>
        </row>
        <row r="1756">
          <cell r="C1756" t="str">
            <v>&lt;-- enter valid PB./Acc. # in this cell!</v>
          </cell>
          <cell r="F1756" t="str">
            <v>OK</v>
          </cell>
        </row>
        <row r="1757">
          <cell r="C1757" t="str">
            <v>&lt;-- enter valid PB./Acc. # in this cell!</v>
          </cell>
          <cell r="F1757" t="str">
            <v>OK</v>
          </cell>
        </row>
        <row r="1758">
          <cell r="C1758" t="str">
            <v>&lt;-- enter valid PB./Acc. # in this cell!</v>
          </cell>
          <cell r="F1758" t="str">
            <v>OK</v>
          </cell>
        </row>
        <row r="1759">
          <cell r="C1759" t="str">
            <v>&lt;-- enter valid PB./Acc. # in this cell!</v>
          </cell>
          <cell r="F1759" t="str">
            <v>OK</v>
          </cell>
        </row>
        <row r="1760">
          <cell r="C1760" t="str">
            <v>&lt;-- enter valid PB./Acc. # in this cell!</v>
          </cell>
          <cell r="F1760" t="str">
            <v>OK</v>
          </cell>
        </row>
        <row r="1761">
          <cell r="C1761" t="str">
            <v>&lt;-- enter valid PB./Acc. # in this cell!</v>
          </cell>
          <cell r="F1761" t="str">
            <v>OK</v>
          </cell>
        </row>
        <row r="1762">
          <cell r="C1762" t="str">
            <v>&lt;-- enter valid PB./Acc. # in this cell!</v>
          </cell>
          <cell r="F1762" t="str">
            <v>OK</v>
          </cell>
        </row>
        <row r="1763">
          <cell r="C1763" t="str">
            <v>&lt;-- enter valid PB./Acc. # in this cell!</v>
          </cell>
          <cell r="F1763" t="str">
            <v>OK</v>
          </cell>
        </row>
        <row r="1764">
          <cell r="C1764" t="str">
            <v>&lt;-- enter valid PB./Acc. # in this cell!</v>
          </cell>
          <cell r="F1764" t="str">
            <v>OK</v>
          </cell>
        </row>
        <row r="1765">
          <cell r="C1765" t="str">
            <v>&lt;-- enter valid PB./Acc. # in this cell!</v>
          </cell>
          <cell r="F1765" t="str">
            <v>OK</v>
          </cell>
        </row>
        <row r="1766">
          <cell r="C1766" t="str">
            <v>&lt;-- enter valid PB./Acc. # in this cell!</v>
          </cell>
          <cell r="F1766" t="str">
            <v>OK</v>
          </cell>
        </row>
        <row r="1767">
          <cell r="C1767" t="str">
            <v>&lt;-- enter valid PB./Acc. # in this cell!</v>
          </cell>
          <cell r="F1767" t="str">
            <v>OK</v>
          </cell>
        </row>
        <row r="1768">
          <cell r="C1768" t="str">
            <v>&lt;-- enter valid PB./Acc. # in this cell!</v>
          </cell>
          <cell r="F1768" t="str">
            <v>OK</v>
          </cell>
        </row>
        <row r="1769">
          <cell r="C1769" t="str">
            <v>&lt;-- enter valid PB./Acc. # in this cell!</v>
          </cell>
          <cell r="F1769" t="str">
            <v>OK</v>
          </cell>
        </row>
        <row r="1770">
          <cell r="C1770" t="str">
            <v>&lt;-- enter valid PB./Acc. # in this cell!</v>
          </cell>
          <cell r="F1770" t="str">
            <v>OK</v>
          </cell>
        </row>
        <row r="1771">
          <cell r="C1771" t="str">
            <v>&lt;-- enter valid PB./Acc. # in this cell!</v>
          </cell>
          <cell r="F1771" t="str">
            <v>OK</v>
          </cell>
        </row>
        <row r="1772">
          <cell r="C1772" t="str">
            <v>&lt;-- enter valid PB./Acc. # in this cell!</v>
          </cell>
          <cell r="F1772" t="str">
            <v>OK</v>
          </cell>
        </row>
        <row r="1773">
          <cell r="C1773" t="str">
            <v>&lt;-- enter valid PB./Acc. # in this cell!</v>
          </cell>
          <cell r="F1773" t="str">
            <v>OK</v>
          </cell>
        </row>
        <row r="1774">
          <cell r="C1774" t="str">
            <v>&lt;-- enter valid PB./Acc. # in this cell!</v>
          </cell>
          <cell r="F1774" t="str">
            <v>OK</v>
          </cell>
        </row>
        <row r="1775">
          <cell r="C1775" t="str">
            <v>&lt;-- enter valid PB./Acc. # in this cell!</v>
          </cell>
          <cell r="F1775" t="str">
            <v>OK</v>
          </cell>
        </row>
        <row r="1776">
          <cell r="C1776" t="str">
            <v>&lt;-- enter valid PB./Acc. # in this cell!</v>
          </cell>
          <cell r="F1776" t="str">
            <v>OK</v>
          </cell>
        </row>
        <row r="1777">
          <cell r="C1777" t="str">
            <v>&lt;-- enter valid PB./Acc. # in this cell!</v>
          </cell>
          <cell r="F1777" t="str">
            <v>OK</v>
          </cell>
        </row>
        <row r="1778">
          <cell r="C1778" t="str">
            <v>&lt;-- enter valid PB./Acc. # in this cell!</v>
          </cell>
          <cell r="F1778" t="str">
            <v>OK</v>
          </cell>
        </row>
        <row r="1779">
          <cell r="C1779" t="str">
            <v>&lt;-- enter valid PB./Acc. # in this cell!</v>
          </cell>
          <cell r="F1779" t="str">
            <v>OK</v>
          </cell>
        </row>
        <row r="1780">
          <cell r="C1780" t="str">
            <v>&lt;-- enter valid PB./Acc. # in this cell!</v>
          </cell>
          <cell r="F1780" t="str">
            <v>OK</v>
          </cell>
        </row>
        <row r="1781">
          <cell r="C1781" t="str">
            <v>&lt;-- enter valid PB./Acc. # in this cell!</v>
          </cell>
          <cell r="F1781" t="str">
            <v>OK</v>
          </cell>
        </row>
        <row r="1782">
          <cell r="C1782" t="str">
            <v>&lt;-- enter valid PB./Acc. # in this cell!</v>
          </cell>
          <cell r="F1782" t="str">
            <v>OK</v>
          </cell>
        </row>
        <row r="1783">
          <cell r="C1783" t="str">
            <v>&lt;-- enter valid PB./Acc. # in this cell!</v>
          </cell>
          <cell r="F1783" t="str">
            <v>OK</v>
          </cell>
        </row>
        <row r="1784">
          <cell r="C1784" t="str">
            <v>&lt;-- enter valid PB./Acc. # in this cell!</v>
          </cell>
          <cell r="F1784" t="str">
            <v>OK</v>
          </cell>
        </row>
        <row r="1785">
          <cell r="C1785" t="str">
            <v>&lt;-- enter valid PB./Acc. # in this cell!</v>
          </cell>
          <cell r="F1785" t="str">
            <v>OK</v>
          </cell>
        </row>
        <row r="1786">
          <cell r="C1786" t="str">
            <v>&lt;-- enter valid PB./Acc. # in this cell!</v>
          </cell>
          <cell r="F1786" t="str">
            <v>OK</v>
          </cell>
        </row>
        <row r="1787">
          <cell r="C1787" t="str">
            <v>&lt;-- enter valid PB./Acc. # in this cell!</v>
          </cell>
          <cell r="F1787" t="str">
            <v>OK</v>
          </cell>
        </row>
        <row r="1788">
          <cell r="C1788" t="str">
            <v>&lt;-- enter valid PB./Acc. # in this cell!</v>
          </cell>
          <cell r="F1788" t="str">
            <v>OK</v>
          </cell>
        </row>
        <row r="1789">
          <cell r="C1789" t="str">
            <v>&lt;-- enter valid PB./Acc. # in this cell!</v>
          </cell>
          <cell r="F1789" t="str">
            <v>OK</v>
          </cell>
        </row>
        <row r="1790">
          <cell r="C1790" t="str">
            <v>&lt;-- enter valid PB./Acc. # in this cell!</v>
          </cell>
          <cell r="F1790" t="str">
            <v>OK</v>
          </cell>
        </row>
        <row r="1791">
          <cell r="C1791" t="str">
            <v>&lt;-- enter valid PB./Acc. # in this cell!</v>
          </cell>
          <cell r="F1791" t="str">
            <v>OK</v>
          </cell>
        </row>
        <row r="1792">
          <cell r="C1792" t="str">
            <v>&lt;-- enter valid PB./Acc. # in this cell!</v>
          </cell>
          <cell r="F1792" t="str">
            <v>OK</v>
          </cell>
        </row>
        <row r="1793">
          <cell r="C1793" t="str">
            <v>&lt;-- enter valid PB./Acc. # in this cell!</v>
          </cell>
          <cell r="F1793" t="str">
            <v>OK</v>
          </cell>
        </row>
        <row r="1794">
          <cell r="C1794" t="str">
            <v>&lt;-- enter valid PB./Acc. # in this cell!</v>
          </cell>
          <cell r="F1794" t="str">
            <v>OK</v>
          </cell>
        </row>
        <row r="1795">
          <cell r="C1795" t="str">
            <v>&lt;-- enter valid PB./Acc. # in this cell!</v>
          </cell>
          <cell r="F1795" t="str">
            <v>OK</v>
          </cell>
        </row>
        <row r="1796">
          <cell r="C1796" t="str">
            <v>&lt;-- enter valid PB./Acc. # in this cell!</v>
          </cell>
          <cell r="F1796" t="str">
            <v>OK</v>
          </cell>
        </row>
        <row r="1797">
          <cell r="C1797" t="str">
            <v>&lt;-- enter valid PB./Acc. # in this cell!</v>
          </cell>
          <cell r="F1797" t="str">
            <v>OK</v>
          </cell>
        </row>
        <row r="1798">
          <cell r="C1798" t="str">
            <v>&lt;-- enter valid PB./Acc. # in this cell!</v>
          </cell>
          <cell r="F1798" t="str">
            <v>OK</v>
          </cell>
        </row>
        <row r="1799">
          <cell r="C1799" t="str">
            <v>&lt;-- enter valid PB./Acc. # in this cell!</v>
          </cell>
          <cell r="F1799" t="str">
            <v>OK</v>
          </cell>
        </row>
        <row r="1800">
          <cell r="A1800" t="str">
            <v>Total Balances of December 2015</v>
          </cell>
          <cell r="F1800" t="str">
            <v>OK</v>
          </cell>
          <cell r="G1800">
            <v>0</v>
          </cell>
          <cell r="H1800">
            <v>0</v>
          </cell>
          <cell r="I1800">
            <v>0</v>
          </cell>
          <cell r="J1800">
            <v>0</v>
          </cell>
          <cell r="K1800">
            <v>0</v>
          </cell>
          <cell r="L1800">
            <v>0</v>
          </cell>
          <cell r="M1800">
            <v>0</v>
          </cell>
          <cell r="N1800">
            <v>0</v>
          </cell>
          <cell r="O1800">
            <v>0</v>
          </cell>
          <cell r="P1800">
            <v>0</v>
          </cell>
          <cell r="Q1800">
            <v>0</v>
          </cell>
          <cell r="R1800">
            <v>0</v>
          </cell>
          <cell r="S1800">
            <v>0</v>
          </cell>
          <cell r="T1800">
            <v>0</v>
          </cell>
          <cell r="AQ1800">
            <v>0</v>
          </cell>
        </row>
        <row r="1801">
          <cell r="A1801">
            <v>42400</v>
          </cell>
        </row>
        <row r="1802">
          <cell r="C1802" t="str">
            <v>&lt;-- enter valid PB./Acc. # in this cell!</v>
          </cell>
          <cell r="F1802" t="str">
            <v>OK</v>
          </cell>
        </row>
        <row r="1803">
          <cell r="C1803" t="str">
            <v>&lt;-- enter valid PB./Acc. # in this cell!</v>
          </cell>
          <cell r="F1803" t="str">
            <v>OK</v>
          </cell>
        </row>
        <row r="1804">
          <cell r="C1804" t="str">
            <v>&lt;-- enter valid PB./Acc. # in this cell!</v>
          </cell>
          <cell r="F1804" t="str">
            <v>OK</v>
          </cell>
        </row>
        <row r="1805">
          <cell r="C1805" t="str">
            <v>&lt;-- enter valid PB./Acc. # in this cell!</v>
          </cell>
          <cell r="F1805" t="str">
            <v>OK</v>
          </cell>
        </row>
        <row r="1806">
          <cell r="C1806" t="str">
            <v>&lt;-- enter valid PB./Acc. # in this cell!</v>
          </cell>
          <cell r="F1806" t="str">
            <v>OK</v>
          </cell>
        </row>
        <row r="1807">
          <cell r="C1807" t="str">
            <v>&lt;-- enter valid PB./Acc. # in this cell!</v>
          </cell>
          <cell r="F1807" t="str">
            <v>OK</v>
          </cell>
        </row>
        <row r="1808">
          <cell r="C1808" t="str">
            <v>&lt;-- enter valid PB./Acc. # in this cell!</v>
          </cell>
          <cell r="F1808" t="str">
            <v>OK</v>
          </cell>
        </row>
        <row r="1809">
          <cell r="C1809" t="str">
            <v>&lt;-- enter valid PB./Acc. # in this cell!</v>
          </cell>
          <cell r="F1809" t="str">
            <v>OK</v>
          </cell>
        </row>
        <row r="1810">
          <cell r="C1810" t="str">
            <v>&lt;-- enter valid PB./Acc. # in this cell!</v>
          </cell>
          <cell r="F1810" t="str">
            <v>OK</v>
          </cell>
        </row>
        <row r="1811">
          <cell r="C1811" t="str">
            <v>&lt;-- enter valid PB./Acc. # in this cell!</v>
          </cell>
          <cell r="F1811" t="str">
            <v>OK</v>
          </cell>
        </row>
        <row r="1812">
          <cell r="C1812" t="str">
            <v>&lt;-- enter valid PB./Acc. # in this cell!</v>
          </cell>
          <cell r="F1812" t="str">
            <v>OK</v>
          </cell>
        </row>
        <row r="1813">
          <cell r="C1813" t="str">
            <v>&lt;-- enter valid PB./Acc. # in this cell!</v>
          </cell>
          <cell r="F1813" t="str">
            <v>OK</v>
          </cell>
        </row>
        <row r="1814">
          <cell r="C1814" t="str">
            <v>&lt;-- enter valid PB./Acc. # in this cell!</v>
          </cell>
          <cell r="F1814" t="str">
            <v>OK</v>
          </cell>
        </row>
        <row r="1815">
          <cell r="C1815" t="str">
            <v>&lt;-- enter valid PB./Acc. # in this cell!</v>
          </cell>
          <cell r="F1815" t="str">
            <v>OK</v>
          </cell>
        </row>
        <row r="1816">
          <cell r="C1816" t="str">
            <v>&lt;-- enter valid PB./Acc. # in this cell!</v>
          </cell>
          <cell r="F1816" t="str">
            <v>OK</v>
          </cell>
        </row>
        <row r="1817">
          <cell r="C1817" t="str">
            <v>&lt;-- enter valid PB./Acc. # in this cell!</v>
          </cell>
          <cell r="F1817" t="str">
            <v>OK</v>
          </cell>
        </row>
        <row r="1818">
          <cell r="C1818" t="str">
            <v>&lt;-- enter valid PB./Acc. # in this cell!</v>
          </cell>
          <cell r="F1818" t="str">
            <v>OK</v>
          </cell>
        </row>
        <row r="1819">
          <cell r="C1819" t="str">
            <v>&lt;-- enter valid PB./Acc. # in this cell!</v>
          </cell>
          <cell r="F1819" t="str">
            <v>OK</v>
          </cell>
        </row>
        <row r="1820">
          <cell r="C1820" t="str">
            <v>&lt;-- enter valid PB./Acc. # in this cell!</v>
          </cell>
          <cell r="F1820" t="str">
            <v>OK</v>
          </cell>
        </row>
        <row r="1821">
          <cell r="C1821" t="str">
            <v>&lt;-- enter valid PB./Acc. # in this cell!</v>
          </cell>
          <cell r="F1821" t="str">
            <v>OK</v>
          </cell>
        </row>
        <row r="1822">
          <cell r="C1822" t="str">
            <v>&lt;-- enter valid PB./Acc. # in this cell!</v>
          </cell>
          <cell r="F1822" t="str">
            <v>OK</v>
          </cell>
        </row>
        <row r="1823">
          <cell r="C1823" t="str">
            <v>&lt;-- enter valid PB./Acc. # in this cell!</v>
          </cell>
          <cell r="F1823" t="str">
            <v>OK</v>
          </cell>
        </row>
        <row r="1824">
          <cell r="C1824" t="str">
            <v>&lt;-- enter valid PB./Acc. # in this cell!</v>
          </cell>
          <cell r="F1824" t="str">
            <v>OK</v>
          </cell>
        </row>
        <row r="1825">
          <cell r="C1825" t="str">
            <v>&lt;-- enter valid PB./Acc. # in this cell!</v>
          </cell>
          <cell r="F1825" t="str">
            <v>OK</v>
          </cell>
        </row>
        <row r="1826">
          <cell r="C1826" t="str">
            <v>&lt;-- enter valid PB./Acc. # in this cell!</v>
          </cell>
          <cell r="F1826" t="str">
            <v>OK</v>
          </cell>
        </row>
        <row r="1827">
          <cell r="C1827" t="str">
            <v>&lt;-- enter valid PB./Acc. # in this cell!</v>
          </cell>
          <cell r="F1827" t="str">
            <v>OK</v>
          </cell>
        </row>
        <row r="1828">
          <cell r="C1828" t="str">
            <v>&lt;-- enter valid PB./Acc. # in this cell!</v>
          </cell>
          <cell r="F1828" t="str">
            <v>OK</v>
          </cell>
        </row>
        <row r="1829">
          <cell r="C1829" t="str">
            <v>&lt;-- enter valid PB./Acc. # in this cell!</v>
          </cell>
          <cell r="F1829" t="str">
            <v>OK</v>
          </cell>
        </row>
        <row r="1830">
          <cell r="C1830" t="str">
            <v>&lt;-- enter valid PB./Acc. # in this cell!</v>
          </cell>
          <cell r="F1830" t="str">
            <v>OK</v>
          </cell>
        </row>
        <row r="1831">
          <cell r="C1831" t="str">
            <v>&lt;-- enter valid PB./Acc. # in this cell!</v>
          </cell>
          <cell r="F1831" t="str">
            <v>OK</v>
          </cell>
        </row>
        <row r="1832">
          <cell r="C1832" t="str">
            <v>&lt;-- enter valid PB./Acc. # in this cell!</v>
          </cell>
          <cell r="F1832" t="str">
            <v>OK</v>
          </cell>
        </row>
        <row r="1833">
          <cell r="C1833" t="str">
            <v>&lt;-- enter valid PB./Acc. # in this cell!</v>
          </cell>
          <cell r="F1833" t="str">
            <v>OK</v>
          </cell>
        </row>
        <row r="1834">
          <cell r="C1834" t="str">
            <v>&lt;-- enter valid PB./Acc. # in this cell!</v>
          </cell>
          <cell r="F1834" t="str">
            <v>OK</v>
          </cell>
        </row>
        <row r="1835">
          <cell r="C1835" t="str">
            <v>&lt;-- enter valid PB./Acc. # in this cell!</v>
          </cell>
          <cell r="F1835" t="str">
            <v>OK</v>
          </cell>
        </row>
        <row r="1836">
          <cell r="C1836" t="str">
            <v>&lt;-- enter valid PB./Acc. # in this cell!</v>
          </cell>
          <cell r="F1836" t="str">
            <v>OK</v>
          </cell>
        </row>
        <row r="1837">
          <cell r="C1837" t="str">
            <v>&lt;-- enter valid PB./Acc. # in this cell!</v>
          </cell>
          <cell r="F1837" t="str">
            <v>OK</v>
          </cell>
        </row>
        <row r="1838">
          <cell r="C1838" t="str">
            <v>&lt;-- enter valid PB./Acc. # in this cell!</v>
          </cell>
          <cell r="F1838" t="str">
            <v>OK</v>
          </cell>
        </row>
        <row r="1839">
          <cell r="C1839" t="str">
            <v>&lt;-- enter valid PB./Acc. # in this cell!</v>
          </cell>
          <cell r="F1839" t="str">
            <v>OK</v>
          </cell>
        </row>
        <row r="1840">
          <cell r="C1840" t="str">
            <v>&lt;-- enter valid PB./Acc. # in this cell!</v>
          </cell>
          <cell r="F1840" t="str">
            <v>OK</v>
          </cell>
        </row>
        <row r="1841">
          <cell r="C1841" t="str">
            <v>&lt;-- enter valid PB./Acc. # in this cell!</v>
          </cell>
          <cell r="F1841" t="str">
            <v>OK</v>
          </cell>
        </row>
        <row r="1842">
          <cell r="C1842" t="str">
            <v>&lt;-- enter valid PB./Acc. # in this cell!</v>
          </cell>
          <cell r="F1842" t="str">
            <v>OK</v>
          </cell>
        </row>
        <row r="1843">
          <cell r="C1843" t="str">
            <v>&lt;-- enter valid PB./Acc. # in this cell!</v>
          </cell>
          <cell r="F1843" t="str">
            <v>OK</v>
          </cell>
        </row>
        <row r="1844">
          <cell r="C1844" t="str">
            <v>&lt;-- enter valid PB./Acc. # in this cell!</v>
          </cell>
          <cell r="F1844" t="str">
            <v>OK</v>
          </cell>
        </row>
        <row r="1845">
          <cell r="C1845" t="str">
            <v>&lt;-- enter valid PB./Acc. # in this cell!</v>
          </cell>
          <cell r="F1845" t="str">
            <v>OK</v>
          </cell>
        </row>
        <row r="1846">
          <cell r="C1846" t="str">
            <v>&lt;-- enter valid PB./Acc. # in this cell!</v>
          </cell>
          <cell r="F1846" t="str">
            <v>OK</v>
          </cell>
        </row>
        <row r="1847">
          <cell r="C1847" t="str">
            <v>&lt;-- enter valid PB./Acc. # in this cell!</v>
          </cell>
          <cell r="F1847" t="str">
            <v>OK</v>
          </cell>
        </row>
        <row r="1848">
          <cell r="C1848" t="str">
            <v>&lt;-- enter valid PB./Acc. # in this cell!</v>
          </cell>
          <cell r="F1848" t="str">
            <v>OK</v>
          </cell>
        </row>
        <row r="1849">
          <cell r="C1849" t="str">
            <v>&lt;-- enter valid PB./Acc. # in this cell!</v>
          </cell>
          <cell r="F1849" t="str">
            <v>OK</v>
          </cell>
        </row>
        <row r="1850">
          <cell r="C1850" t="str">
            <v>&lt;-- enter valid PB./Acc. # in this cell!</v>
          </cell>
          <cell r="F1850" t="str">
            <v>OK</v>
          </cell>
        </row>
        <row r="1851">
          <cell r="C1851" t="str">
            <v>&lt;-- enter valid PB./Acc. # in this cell!</v>
          </cell>
          <cell r="F1851" t="str">
            <v>OK</v>
          </cell>
        </row>
        <row r="1852">
          <cell r="C1852" t="str">
            <v>&lt;-- enter valid PB./Acc. # in this cell!</v>
          </cell>
          <cell r="F1852" t="str">
            <v>OK</v>
          </cell>
        </row>
        <row r="1853">
          <cell r="C1853" t="str">
            <v>&lt;-- enter valid PB./Acc. # in this cell!</v>
          </cell>
          <cell r="F1853" t="str">
            <v>OK</v>
          </cell>
        </row>
        <row r="1854">
          <cell r="C1854" t="str">
            <v>&lt;-- enter valid PB./Acc. # in this cell!</v>
          </cell>
          <cell r="F1854" t="str">
            <v>OK</v>
          </cell>
        </row>
        <row r="1855">
          <cell r="C1855" t="str">
            <v>&lt;-- enter valid PB./Acc. # in this cell!</v>
          </cell>
          <cell r="F1855" t="str">
            <v>OK</v>
          </cell>
        </row>
        <row r="1856">
          <cell r="C1856" t="str">
            <v>&lt;-- enter valid PB./Acc. # in this cell!</v>
          </cell>
          <cell r="F1856" t="str">
            <v>OK</v>
          </cell>
        </row>
        <row r="1857">
          <cell r="C1857" t="str">
            <v>&lt;-- enter valid PB./Acc. # in this cell!</v>
          </cell>
          <cell r="F1857" t="str">
            <v>OK</v>
          </cell>
        </row>
        <row r="1858">
          <cell r="C1858" t="str">
            <v>&lt;-- enter valid PB./Acc. # in this cell!</v>
          </cell>
          <cell r="F1858" t="str">
            <v>OK</v>
          </cell>
        </row>
        <row r="1859">
          <cell r="C1859" t="str">
            <v>&lt;-- enter valid PB./Acc. # in this cell!</v>
          </cell>
          <cell r="F1859" t="str">
            <v>OK</v>
          </cell>
        </row>
        <row r="1860">
          <cell r="C1860" t="str">
            <v>&lt;-- enter valid PB./Acc. # in this cell!</v>
          </cell>
          <cell r="F1860" t="str">
            <v>OK</v>
          </cell>
        </row>
        <row r="1861">
          <cell r="C1861" t="str">
            <v>&lt;-- enter valid PB./Acc. # in this cell!</v>
          </cell>
          <cell r="F1861" t="str">
            <v>OK</v>
          </cell>
        </row>
        <row r="1862">
          <cell r="C1862" t="str">
            <v>&lt;-- enter valid PB./Acc. # in this cell!</v>
          </cell>
          <cell r="F1862" t="str">
            <v>OK</v>
          </cell>
        </row>
        <row r="1863">
          <cell r="C1863" t="str">
            <v>&lt;-- enter valid PB./Acc. # in this cell!</v>
          </cell>
          <cell r="F1863" t="str">
            <v>OK</v>
          </cell>
        </row>
        <row r="1864">
          <cell r="C1864" t="str">
            <v>&lt;-- enter valid PB./Acc. # in this cell!</v>
          </cell>
          <cell r="F1864" t="str">
            <v>OK</v>
          </cell>
        </row>
        <row r="1865">
          <cell r="C1865" t="str">
            <v>&lt;-- enter valid PB./Acc. # in this cell!</v>
          </cell>
          <cell r="F1865" t="str">
            <v>OK</v>
          </cell>
        </row>
        <row r="1866">
          <cell r="C1866" t="str">
            <v>&lt;-- enter valid PB./Acc. # in this cell!</v>
          </cell>
          <cell r="F1866" t="str">
            <v>OK</v>
          </cell>
        </row>
        <row r="1867">
          <cell r="C1867" t="str">
            <v>&lt;-- enter valid PB./Acc. # in this cell!</v>
          </cell>
          <cell r="F1867" t="str">
            <v>OK</v>
          </cell>
        </row>
        <row r="1868">
          <cell r="C1868" t="str">
            <v>&lt;-- enter valid PB./Acc. # in this cell!</v>
          </cell>
          <cell r="F1868" t="str">
            <v>OK</v>
          </cell>
        </row>
        <row r="1869">
          <cell r="C1869" t="str">
            <v>&lt;-- enter valid PB./Acc. # in this cell!</v>
          </cell>
          <cell r="F1869" t="str">
            <v>OK</v>
          </cell>
        </row>
        <row r="1870">
          <cell r="C1870" t="str">
            <v>&lt;-- enter valid PB./Acc. # in this cell!</v>
          </cell>
          <cell r="F1870" t="str">
            <v>OK</v>
          </cell>
        </row>
        <row r="1871">
          <cell r="C1871" t="str">
            <v>&lt;-- enter valid PB./Acc. # in this cell!</v>
          </cell>
          <cell r="F1871" t="str">
            <v>OK</v>
          </cell>
        </row>
        <row r="1872">
          <cell r="C1872" t="str">
            <v>&lt;-- enter valid PB./Acc. # in this cell!</v>
          </cell>
          <cell r="F1872" t="str">
            <v>OK</v>
          </cell>
        </row>
        <row r="1873">
          <cell r="C1873" t="str">
            <v>&lt;-- enter valid PB./Acc. # in this cell!</v>
          </cell>
          <cell r="F1873" t="str">
            <v>OK</v>
          </cell>
        </row>
        <row r="1874">
          <cell r="C1874" t="str">
            <v>&lt;-- enter valid PB./Acc. # in this cell!</v>
          </cell>
          <cell r="F1874" t="str">
            <v>OK</v>
          </cell>
        </row>
        <row r="1875">
          <cell r="C1875" t="str">
            <v>&lt;-- enter valid PB./Acc. # in this cell!</v>
          </cell>
          <cell r="F1875" t="str">
            <v>OK</v>
          </cell>
        </row>
        <row r="1876">
          <cell r="C1876" t="str">
            <v>&lt;-- enter valid PB./Acc. # in this cell!</v>
          </cell>
          <cell r="F1876" t="str">
            <v>OK</v>
          </cell>
        </row>
        <row r="1877">
          <cell r="C1877" t="str">
            <v>&lt;-- enter valid PB./Acc. # in this cell!</v>
          </cell>
          <cell r="F1877" t="str">
            <v>OK</v>
          </cell>
        </row>
        <row r="1878">
          <cell r="C1878" t="str">
            <v>&lt;-- enter valid PB./Acc. # in this cell!</v>
          </cell>
          <cell r="F1878" t="str">
            <v>OK</v>
          </cell>
        </row>
        <row r="1879">
          <cell r="C1879" t="str">
            <v>&lt;-- enter valid PB./Acc. # in this cell!</v>
          </cell>
          <cell r="F1879" t="str">
            <v>OK</v>
          </cell>
        </row>
        <row r="1880">
          <cell r="C1880" t="str">
            <v>&lt;-- enter valid PB./Acc. # in this cell!</v>
          </cell>
          <cell r="F1880" t="str">
            <v>OK</v>
          </cell>
        </row>
        <row r="1881">
          <cell r="C1881" t="str">
            <v>&lt;-- enter valid PB./Acc. # in this cell!</v>
          </cell>
          <cell r="F1881" t="str">
            <v>OK</v>
          </cell>
        </row>
        <row r="1882">
          <cell r="C1882" t="str">
            <v>&lt;-- enter valid PB./Acc. # in this cell!</v>
          </cell>
          <cell r="F1882" t="str">
            <v>OK</v>
          </cell>
        </row>
        <row r="1883">
          <cell r="C1883" t="str">
            <v>&lt;-- enter valid PB./Acc. # in this cell!</v>
          </cell>
          <cell r="F1883" t="str">
            <v>OK</v>
          </cell>
        </row>
        <row r="1884">
          <cell r="C1884" t="str">
            <v>&lt;-- enter valid PB./Acc. # in this cell!</v>
          </cell>
          <cell r="F1884" t="str">
            <v>OK</v>
          </cell>
        </row>
        <row r="1885">
          <cell r="C1885" t="str">
            <v>&lt;-- enter valid PB./Acc. # in this cell!</v>
          </cell>
          <cell r="F1885" t="str">
            <v>OK</v>
          </cell>
        </row>
        <row r="1886">
          <cell r="C1886" t="str">
            <v>&lt;-- enter valid PB./Acc. # in this cell!</v>
          </cell>
          <cell r="F1886" t="str">
            <v>OK</v>
          </cell>
        </row>
        <row r="1887">
          <cell r="C1887" t="str">
            <v>&lt;-- enter valid PB./Acc. # in this cell!</v>
          </cell>
          <cell r="F1887" t="str">
            <v>OK</v>
          </cell>
        </row>
        <row r="1888">
          <cell r="C1888" t="str">
            <v>&lt;-- enter valid PB./Acc. # in this cell!</v>
          </cell>
          <cell r="F1888" t="str">
            <v>OK</v>
          </cell>
        </row>
        <row r="1889">
          <cell r="C1889" t="str">
            <v>&lt;-- enter valid PB./Acc. # in this cell!</v>
          </cell>
          <cell r="F1889" t="str">
            <v>OK</v>
          </cell>
        </row>
        <row r="1890">
          <cell r="C1890" t="str">
            <v>&lt;-- enter valid PB./Acc. # in this cell!</v>
          </cell>
          <cell r="F1890" t="str">
            <v>OK</v>
          </cell>
        </row>
        <row r="1891">
          <cell r="C1891" t="str">
            <v>&lt;-- enter valid PB./Acc. # in this cell!</v>
          </cell>
          <cell r="F1891" t="str">
            <v>OK</v>
          </cell>
        </row>
        <row r="1892">
          <cell r="C1892" t="str">
            <v>&lt;-- enter valid PB./Acc. # in this cell!</v>
          </cell>
          <cell r="F1892" t="str">
            <v>OK</v>
          </cell>
        </row>
        <row r="1893">
          <cell r="C1893" t="str">
            <v>&lt;-- enter valid PB./Acc. # in this cell!</v>
          </cell>
          <cell r="F1893" t="str">
            <v>OK</v>
          </cell>
        </row>
        <row r="1894">
          <cell r="C1894" t="str">
            <v>&lt;-- enter valid PB./Acc. # in this cell!</v>
          </cell>
          <cell r="F1894" t="str">
            <v>OK</v>
          </cell>
        </row>
        <row r="1895">
          <cell r="C1895" t="str">
            <v>&lt;-- enter valid PB./Acc. # in this cell!</v>
          </cell>
          <cell r="F1895" t="str">
            <v>OK</v>
          </cell>
        </row>
        <row r="1896">
          <cell r="C1896" t="str">
            <v>&lt;-- enter valid PB./Acc. # in this cell!</v>
          </cell>
          <cell r="F1896" t="str">
            <v>OK</v>
          </cell>
        </row>
        <row r="1897">
          <cell r="C1897" t="str">
            <v>&lt;-- enter valid PB./Acc. # in this cell!</v>
          </cell>
          <cell r="F1897" t="str">
            <v>OK</v>
          </cell>
        </row>
        <row r="1898">
          <cell r="C1898" t="str">
            <v>&lt;-- enter valid PB./Acc. # in this cell!</v>
          </cell>
          <cell r="F1898" t="str">
            <v>OK</v>
          </cell>
        </row>
        <row r="1899">
          <cell r="C1899" t="str">
            <v>&lt;-- enter valid PB./Acc. # in this cell!</v>
          </cell>
          <cell r="F1899" t="str">
            <v>OK</v>
          </cell>
        </row>
        <row r="1900">
          <cell r="C1900" t="str">
            <v>&lt;-- enter valid PB./Acc. # in this cell!</v>
          </cell>
          <cell r="F1900" t="str">
            <v>OK</v>
          </cell>
        </row>
        <row r="1901">
          <cell r="C1901" t="str">
            <v>&lt;-- enter valid PB./Acc. # in this cell!</v>
          </cell>
          <cell r="F1901" t="str">
            <v>OK</v>
          </cell>
        </row>
        <row r="1902">
          <cell r="C1902" t="str">
            <v>&lt;-- enter valid PB./Acc. # in this cell!</v>
          </cell>
          <cell r="F1902" t="str">
            <v>OK</v>
          </cell>
        </row>
        <row r="1903">
          <cell r="C1903" t="str">
            <v>&lt;-- enter valid PB./Acc. # in this cell!</v>
          </cell>
          <cell r="F1903" t="str">
            <v>OK</v>
          </cell>
        </row>
        <row r="1904">
          <cell r="C1904" t="str">
            <v>&lt;-- enter valid PB./Acc. # in this cell!</v>
          </cell>
          <cell r="F1904" t="str">
            <v>OK</v>
          </cell>
        </row>
        <row r="1905">
          <cell r="C1905" t="str">
            <v>&lt;-- enter valid PB./Acc. # in this cell!</v>
          </cell>
          <cell r="F1905" t="str">
            <v>OK</v>
          </cell>
        </row>
        <row r="1906">
          <cell r="C1906" t="str">
            <v>&lt;-- enter valid PB./Acc. # in this cell!</v>
          </cell>
          <cell r="F1906" t="str">
            <v>OK</v>
          </cell>
        </row>
        <row r="1907">
          <cell r="C1907" t="str">
            <v>&lt;-- enter valid PB./Acc. # in this cell!</v>
          </cell>
          <cell r="F1907" t="str">
            <v>OK</v>
          </cell>
        </row>
        <row r="1908">
          <cell r="C1908" t="str">
            <v>&lt;-- enter valid PB./Acc. # in this cell!</v>
          </cell>
          <cell r="F1908" t="str">
            <v>OK</v>
          </cell>
        </row>
        <row r="1909">
          <cell r="C1909" t="str">
            <v>&lt;-- enter valid PB./Acc. # in this cell!</v>
          </cell>
          <cell r="F1909" t="str">
            <v>OK</v>
          </cell>
        </row>
        <row r="1910">
          <cell r="C1910" t="str">
            <v>&lt;-- enter valid PB./Acc. # in this cell!</v>
          </cell>
          <cell r="F1910" t="str">
            <v>OK</v>
          </cell>
        </row>
        <row r="1911">
          <cell r="C1911" t="str">
            <v>&lt;-- enter valid PB./Acc. # in this cell!</v>
          </cell>
          <cell r="F1911" t="str">
            <v>OK</v>
          </cell>
        </row>
        <row r="1912">
          <cell r="C1912" t="str">
            <v>&lt;-- enter valid PB./Acc. # in this cell!</v>
          </cell>
          <cell r="F1912" t="str">
            <v>OK</v>
          </cell>
        </row>
        <row r="1913">
          <cell r="C1913" t="str">
            <v>&lt;-- enter valid PB./Acc. # in this cell!</v>
          </cell>
          <cell r="F1913" t="str">
            <v>OK</v>
          </cell>
        </row>
        <row r="1914">
          <cell r="C1914" t="str">
            <v>&lt;-- enter valid PB./Acc. # in this cell!</v>
          </cell>
          <cell r="F1914" t="str">
            <v>OK</v>
          </cell>
        </row>
        <row r="1915">
          <cell r="C1915" t="str">
            <v>&lt;-- enter valid PB./Acc. # in this cell!</v>
          </cell>
          <cell r="F1915" t="str">
            <v>OK</v>
          </cell>
        </row>
        <row r="1916">
          <cell r="C1916" t="str">
            <v>&lt;-- enter valid PB./Acc. # in this cell!</v>
          </cell>
          <cell r="F1916" t="str">
            <v>OK</v>
          </cell>
        </row>
        <row r="1917">
          <cell r="C1917" t="str">
            <v>&lt;-- enter valid PB./Acc. # in this cell!</v>
          </cell>
          <cell r="F1917" t="str">
            <v>OK</v>
          </cell>
        </row>
        <row r="1918">
          <cell r="C1918" t="str">
            <v>&lt;-- enter valid PB./Acc. # in this cell!</v>
          </cell>
          <cell r="F1918" t="str">
            <v>OK</v>
          </cell>
        </row>
        <row r="1919">
          <cell r="C1919" t="str">
            <v>&lt;-- enter valid PB./Acc. # in this cell!</v>
          </cell>
          <cell r="F1919" t="str">
            <v>OK</v>
          </cell>
        </row>
        <row r="1920">
          <cell r="C1920" t="str">
            <v>&lt;-- enter valid PB./Acc. # in this cell!</v>
          </cell>
          <cell r="F1920" t="str">
            <v>OK</v>
          </cell>
        </row>
        <row r="1921">
          <cell r="C1921" t="str">
            <v>&lt;-- enter valid PB./Acc. # in this cell!</v>
          </cell>
          <cell r="F1921" t="str">
            <v>OK</v>
          </cell>
        </row>
        <row r="1922">
          <cell r="C1922" t="str">
            <v>&lt;-- enter valid PB./Acc. # in this cell!</v>
          </cell>
          <cell r="F1922" t="str">
            <v>OK</v>
          </cell>
        </row>
        <row r="1923">
          <cell r="C1923" t="str">
            <v>&lt;-- enter valid PB./Acc. # in this cell!</v>
          </cell>
          <cell r="F1923" t="str">
            <v>OK</v>
          </cell>
        </row>
        <row r="1924">
          <cell r="C1924" t="str">
            <v>&lt;-- enter valid PB./Acc. # in this cell!</v>
          </cell>
          <cell r="F1924" t="str">
            <v>OK</v>
          </cell>
        </row>
        <row r="1925">
          <cell r="C1925" t="str">
            <v>&lt;-- enter valid PB./Acc. # in this cell!</v>
          </cell>
          <cell r="F1925" t="str">
            <v>OK</v>
          </cell>
        </row>
        <row r="1926">
          <cell r="C1926" t="str">
            <v>&lt;-- enter valid PB./Acc. # in this cell!</v>
          </cell>
          <cell r="F1926" t="str">
            <v>OK</v>
          </cell>
        </row>
        <row r="1927">
          <cell r="C1927" t="str">
            <v>&lt;-- enter valid PB./Acc. # in this cell!</v>
          </cell>
          <cell r="F1927" t="str">
            <v>OK</v>
          </cell>
        </row>
        <row r="1928">
          <cell r="C1928" t="str">
            <v>&lt;-- enter valid PB./Acc. # in this cell!</v>
          </cell>
          <cell r="F1928" t="str">
            <v>OK</v>
          </cell>
        </row>
        <row r="1929">
          <cell r="C1929" t="str">
            <v>&lt;-- enter valid PB./Acc. # in this cell!</v>
          </cell>
          <cell r="F1929" t="str">
            <v>OK</v>
          </cell>
        </row>
        <row r="1930">
          <cell r="C1930" t="str">
            <v>&lt;-- enter valid PB./Acc. # in this cell!</v>
          </cell>
          <cell r="F1930" t="str">
            <v>OK</v>
          </cell>
        </row>
        <row r="1931">
          <cell r="C1931" t="str">
            <v>&lt;-- enter valid PB./Acc. # in this cell!</v>
          </cell>
          <cell r="F1931" t="str">
            <v>OK</v>
          </cell>
        </row>
        <row r="1932">
          <cell r="C1932" t="str">
            <v>&lt;-- enter valid PB./Acc. # in this cell!</v>
          </cell>
          <cell r="F1932" t="str">
            <v>OK</v>
          </cell>
        </row>
        <row r="1933">
          <cell r="C1933" t="str">
            <v>&lt;-- enter valid PB./Acc. # in this cell!</v>
          </cell>
          <cell r="F1933" t="str">
            <v>OK</v>
          </cell>
        </row>
        <row r="1934">
          <cell r="C1934" t="str">
            <v>&lt;-- enter valid PB./Acc. # in this cell!</v>
          </cell>
          <cell r="F1934" t="str">
            <v>OK</v>
          </cell>
        </row>
        <row r="1935">
          <cell r="C1935" t="str">
            <v>&lt;-- enter valid PB./Acc. # in this cell!</v>
          </cell>
          <cell r="F1935" t="str">
            <v>OK</v>
          </cell>
        </row>
        <row r="1936">
          <cell r="C1936" t="str">
            <v>&lt;-- enter valid PB./Acc. # in this cell!</v>
          </cell>
          <cell r="F1936" t="str">
            <v>OK</v>
          </cell>
        </row>
        <row r="1937">
          <cell r="C1937" t="str">
            <v>&lt;-- enter valid PB./Acc. # in this cell!</v>
          </cell>
          <cell r="F1937" t="str">
            <v>OK</v>
          </cell>
        </row>
        <row r="1938">
          <cell r="C1938" t="str">
            <v>&lt;-- enter valid PB./Acc. # in this cell!</v>
          </cell>
          <cell r="F1938" t="str">
            <v>OK</v>
          </cell>
        </row>
        <row r="1939">
          <cell r="C1939" t="str">
            <v>&lt;-- enter valid PB./Acc. # in this cell!</v>
          </cell>
          <cell r="F1939" t="str">
            <v>OK</v>
          </cell>
        </row>
        <row r="1940">
          <cell r="C1940" t="str">
            <v>&lt;-- enter valid PB./Acc. # in this cell!</v>
          </cell>
          <cell r="F1940" t="str">
            <v>OK</v>
          </cell>
        </row>
        <row r="1941">
          <cell r="C1941" t="str">
            <v>&lt;-- enter valid PB./Acc. # in this cell!</v>
          </cell>
          <cell r="F1941" t="str">
            <v>OK</v>
          </cell>
        </row>
        <row r="1942">
          <cell r="C1942" t="str">
            <v>&lt;-- enter valid PB./Acc. # in this cell!</v>
          </cell>
          <cell r="F1942" t="str">
            <v>OK</v>
          </cell>
        </row>
        <row r="1943">
          <cell r="C1943" t="str">
            <v>&lt;-- enter valid PB./Acc. # in this cell!</v>
          </cell>
          <cell r="F1943" t="str">
            <v>OK</v>
          </cell>
        </row>
        <row r="1944">
          <cell r="C1944" t="str">
            <v>&lt;-- enter valid PB./Acc. # in this cell!</v>
          </cell>
          <cell r="F1944" t="str">
            <v>OK</v>
          </cell>
        </row>
        <row r="1945">
          <cell r="C1945" t="str">
            <v>&lt;-- enter valid PB./Acc. # in this cell!</v>
          </cell>
          <cell r="F1945" t="str">
            <v>OK</v>
          </cell>
        </row>
        <row r="1946">
          <cell r="C1946" t="str">
            <v>&lt;-- enter valid PB./Acc. # in this cell!</v>
          </cell>
          <cell r="F1946" t="str">
            <v>OK</v>
          </cell>
        </row>
        <row r="1947">
          <cell r="C1947" t="str">
            <v>&lt;-- enter valid PB./Acc. # in this cell!</v>
          </cell>
          <cell r="F1947" t="str">
            <v>OK</v>
          </cell>
        </row>
        <row r="1948">
          <cell r="C1948" t="str">
            <v>&lt;-- enter valid PB./Acc. # in this cell!</v>
          </cell>
          <cell r="F1948" t="str">
            <v>OK</v>
          </cell>
        </row>
        <row r="1949">
          <cell r="C1949" t="str">
            <v>&lt;-- enter valid PB./Acc. # in this cell!</v>
          </cell>
          <cell r="F1949" t="str">
            <v>OK</v>
          </cell>
        </row>
        <row r="1950">
          <cell r="C1950" t="str">
            <v>&lt;-- enter valid PB./Acc. # in this cell!</v>
          </cell>
          <cell r="F1950" t="str">
            <v>OK</v>
          </cell>
        </row>
        <row r="1951">
          <cell r="C1951" t="str">
            <v>&lt;-- enter valid PB./Acc. # in this cell!</v>
          </cell>
          <cell r="F1951" t="str">
            <v>OK</v>
          </cell>
        </row>
        <row r="1952">
          <cell r="C1952" t="str">
            <v>&lt;-- enter valid PB./Acc. # in this cell!</v>
          </cell>
          <cell r="F1952" t="str">
            <v>OK</v>
          </cell>
        </row>
        <row r="1953">
          <cell r="C1953" t="str">
            <v>&lt;-- enter valid PB./Acc. # in this cell!</v>
          </cell>
          <cell r="F1953" t="str">
            <v>OK</v>
          </cell>
        </row>
        <row r="1954">
          <cell r="C1954" t="str">
            <v>&lt;-- enter valid PB./Acc. # in this cell!</v>
          </cell>
          <cell r="F1954" t="str">
            <v>OK</v>
          </cell>
        </row>
        <row r="1955">
          <cell r="C1955" t="str">
            <v>&lt;-- enter valid PB./Acc. # in this cell!</v>
          </cell>
          <cell r="F1955" t="str">
            <v>OK</v>
          </cell>
        </row>
        <row r="1956">
          <cell r="C1956" t="str">
            <v>&lt;-- enter valid PB./Acc. # in this cell!</v>
          </cell>
          <cell r="F1956" t="str">
            <v>OK</v>
          </cell>
        </row>
        <row r="1957">
          <cell r="C1957" t="str">
            <v>&lt;-- enter valid PB./Acc. # in this cell!</v>
          </cell>
          <cell r="F1957" t="str">
            <v>OK</v>
          </cell>
        </row>
        <row r="1958">
          <cell r="C1958" t="str">
            <v>&lt;-- enter valid PB./Acc. # in this cell!</v>
          </cell>
          <cell r="F1958" t="str">
            <v>OK</v>
          </cell>
        </row>
        <row r="1959">
          <cell r="C1959" t="str">
            <v>&lt;-- enter valid PB./Acc. # in this cell!</v>
          </cell>
          <cell r="F1959" t="str">
            <v>OK</v>
          </cell>
        </row>
        <row r="1960">
          <cell r="C1960" t="str">
            <v>&lt;-- enter valid PB./Acc. # in this cell!</v>
          </cell>
          <cell r="F1960" t="str">
            <v>OK</v>
          </cell>
        </row>
        <row r="1961">
          <cell r="C1961" t="str">
            <v>&lt;-- enter valid PB./Acc. # in this cell!</v>
          </cell>
          <cell r="F1961" t="str">
            <v>OK</v>
          </cell>
        </row>
        <row r="1962">
          <cell r="C1962" t="str">
            <v>&lt;-- enter valid PB./Acc. # in this cell!</v>
          </cell>
          <cell r="F1962" t="str">
            <v>OK</v>
          </cell>
        </row>
        <row r="1963">
          <cell r="C1963" t="str">
            <v>&lt;-- enter valid PB./Acc. # in this cell!</v>
          </cell>
          <cell r="F1963" t="str">
            <v>OK</v>
          </cell>
        </row>
        <row r="1964">
          <cell r="C1964" t="str">
            <v>&lt;-- enter valid PB./Acc. # in this cell!</v>
          </cell>
          <cell r="F1964" t="str">
            <v>OK</v>
          </cell>
        </row>
        <row r="1965">
          <cell r="C1965" t="str">
            <v>&lt;-- enter valid PB./Acc. # in this cell!</v>
          </cell>
          <cell r="F1965" t="str">
            <v>OK</v>
          </cell>
        </row>
        <row r="1966">
          <cell r="C1966" t="str">
            <v>&lt;-- enter valid PB./Acc. # in this cell!</v>
          </cell>
          <cell r="F1966" t="str">
            <v>OK</v>
          </cell>
        </row>
        <row r="1967">
          <cell r="C1967" t="str">
            <v>&lt;-- enter valid PB./Acc. # in this cell!</v>
          </cell>
          <cell r="F1967" t="str">
            <v>OK</v>
          </cell>
        </row>
        <row r="1968">
          <cell r="C1968" t="str">
            <v>&lt;-- enter valid PB./Acc. # in this cell!</v>
          </cell>
          <cell r="F1968" t="str">
            <v>OK</v>
          </cell>
        </row>
        <row r="1969">
          <cell r="C1969" t="str">
            <v>&lt;-- enter valid PB./Acc. # in this cell!</v>
          </cell>
          <cell r="F1969" t="str">
            <v>OK</v>
          </cell>
        </row>
        <row r="1970">
          <cell r="C1970" t="str">
            <v>&lt;-- enter valid PB./Acc. # in this cell!</v>
          </cell>
          <cell r="F1970" t="str">
            <v>OK</v>
          </cell>
        </row>
        <row r="1971">
          <cell r="C1971" t="str">
            <v>&lt;-- enter valid PB./Acc. # in this cell!</v>
          </cell>
          <cell r="F1971" t="str">
            <v>OK</v>
          </cell>
        </row>
        <row r="1972">
          <cell r="C1972" t="str">
            <v>&lt;-- enter valid PB./Acc. # in this cell!</v>
          </cell>
          <cell r="F1972" t="str">
            <v>OK</v>
          </cell>
        </row>
        <row r="1973">
          <cell r="C1973" t="str">
            <v>&lt;-- enter valid PB./Acc. # in this cell!</v>
          </cell>
          <cell r="F1973" t="str">
            <v>OK</v>
          </cell>
        </row>
        <row r="1974">
          <cell r="C1974" t="str">
            <v>&lt;-- enter valid PB./Acc. # in this cell!</v>
          </cell>
          <cell r="F1974" t="str">
            <v>OK</v>
          </cell>
        </row>
        <row r="1975">
          <cell r="C1975" t="str">
            <v>&lt;-- enter valid PB./Acc. # in this cell!</v>
          </cell>
          <cell r="F1975" t="str">
            <v>OK</v>
          </cell>
        </row>
        <row r="1976">
          <cell r="C1976" t="str">
            <v>&lt;-- enter valid PB./Acc. # in this cell!</v>
          </cell>
          <cell r="F1976" t="str">
            <v>OK</v>
          </cell>
        </row>
        <row r="1977">
          <cell r="C1977" t="str">
            <v>&lt;-- enter valid PB./Acc. # in this cell!</v>
          </cell>
          <cell r="F1977" t="str">
            <v>OK</v>
          </cell>
        </row>
        <row r="1978">
          <cell r="C1978" t="str">
            <v>&lt;-- enter valid PB./Acc. # in this cell!</v>
          </cell>
          <cell r="F1978" t="str">
            <v>OK</v>
          </cell>
        </row>
        <row r="1979">
          <cell r="C1979" t="str">
            <v>&lt;-- enter valid PB./Acc. # in this cell!</v>
          </cell>
          <cell r="F1979" t="str">
            <v>OK</v>
          </cell>
        </row>
        <row r="1980">
          <cell r="C1980" t="str">
            <v>&lt;-- enter valid PB./Acc. # in this cell!</v>
          </cell>
          <cell r="F1980" t="str">
            <v>OK</v>
          </cell>
        </row>
        <row r="1981">
          <cell r="C1981" t="str">
            <v>&lt;-- enter valid PB./Acc. # in this cell!</v>
          </cell>
          <cell r="F1981" t="str">
            <v>OK</v>
          </cell>
        </row>
        <row r="1982">
          <cell r="C1982" t="str">
            <v>&lt;-- enter valid PB./Acc. # in this cell!</v>
          </cell>
          <cell r="F1982" t="str">
            <v>OK</v>
          </cell>
        </row>
        <row r="1983">
          <cell r="C1983" t="str">
            <v>&lt;-- enter valid PB./Acc. # in this cell!</v>
          </cell>
          <cell r="F1983" t="str">
            <v>OK</v>
          </cell>
        </row>
        <row r="1984">
          <cell r="C1984" t="str">
            <v>&lt;-- enter valid PB./Acc. # in this cell!</v>
          </cell>
          <cell r="F1984" t="str">
            <v>OK</v>
          </cell>
        </row>
        <row r="1985">
          <cell r="C1985" t="str">
            <v>&lt;-- enter valid PB./Acc. # in this cell!</v>
          </cell>
          <cell r="F1985" t="str">
            <v>OK</v>
          </cell>
        </row>
        <row r="1986">
          <cell r="C1986" t="str">
            <v>&lt;-- enter valid PB./Acc. # in this cell!</v>
          </cell>
          <cell r="F1986" t="str">
            <v>OK</v>
          </cell>
        </row>
        <row r="1987">
          <cell r="C1987" t="str">
            <v>&lt;-- enter valid PB./Acc. # in this cell!</v>
          </cell>
          <cell r="F1987" t="str">
            <v>OK</v>
          </cell>
        </row>
        <row r="1988">
          <cell r="C1988" t="str">
            <v>&lt;-- enter valid PB./Acc. # in this cell!</v>
          </cell>
          <cell r="F1988" t="str">
            <v>OK</v>
          </cell>
        </row>
        <row r="1989">
          <cell r="C1989" t="str">
            <v>&lt;-- enter valid PB./Acc. # in this cell!</v>
          </cell>
          <cell r="F1989" t="str">
            <v>OK</v>
          </cell>
        </row>
        <row r="1990">
          <cell r="C1990" t="str">
            <v>&lt;-- enter valid PB./Acc. # in this cell!</v>
          </cell>
          <cell r="F1990" t="str">
            <v>OK</v>
          </cell>
        </row>
        <row r="1991">
          <cell r="C1991" t="str">
            <v>&lt;-- enter valid PB./Acc. # in this cell!</v>
          </cell>
          <cell r="F1991" t="str">
            <v>OK</v>
          </cell>
        </row>
        <row r="1992">
          <cell r="C1992" t="str">
            <v>&lt;-- enter valid PB./Acc. # in this cell!</v>
          </cell>
          <cell r="F1992" t="str">
            <v>OK</v>
          </cell>
        </row>
        <row r="1993">
          <cell r="C1993" t="str">
            <v>&lt;-- enter valid PB./Acc. # in this cell!</v>
          </cell>
          <cell r="F1993" t="str">
            <v>OK</v>
          </cell>
        </row>
        <row r="1994">
          <cell r="C1994" t="str">
            <v>&lt;-- enter valid PB./Acc. # in this cell!</v>
          </cell>
          <cell r="F1994" t="str">
            <v>OK</v>
          </cell>
        </row>
        <row r="1995">
          <cell r="C1995" t="str">
            <v>&lt;-- enter valid PB./Acc. # in this cell!</v>
          </cell>
          <cell r="F1995" t="str">
            <v>OK</v>
          </cell>
        </row>
        <row r="1996">
          <cell r="C1996" t="str">
            <v>&lt;-- enter valid PB./Acc. # in this cell!</v>
          </cell>
          <cell r="F1996" t="str">
            <v>OK</v>
          </cell>
        </row>
        <row r="1997">
          <cell r="C1997" t="str">
            <v>&lt;-- enter valid PB./Acc. # in this cell!</v>
          </cell>
          <cell r="F1997" t="str">
            <v>OK</v>
          </cell>
        </row>
        <row r="1998">
          <cell r="C1998" t="str">
            <v>&lt;-- enter valid PB./Acc. # in this cell!</v>
          </cell>
          <cell r="F1998" t="str">
            <v>OK</v>
          </cell>
        </row>
        <row r="1999">
          <cell r="C1999" t="str">
            <v>&lt;-- enter valid PB./Acc. # in this cell!</v>
          </cell>
          <cell r="F1999" t="str">
            <v>OK</v>
          </cell>
        </row>
        <row r="2000">
          <cell r="C2000" t="str">
            <v>&lt;-- enter valid PB./Acc. # in this cell!</v>
          </cell>
          <cell r="F2000" t="str">
            <v>OK</v>
          </cell>
        </row>
        <row r="2001">
          <cell r="C2001" t="str">
            <v>&lt;-- enter valid PB./Acc. # in this cell!</v>
          </cell>
          <cell r="F2001" t="str">
            <v>OK</v>
          </cell>
        </row>
        <row r="2002">
          <cell r="C2002" t="str">
            <v>&lt;-- enter valid PB./Acc. # in this cell!</v>
          </cell>
          <cell r="F2002" t="str">
            <v>OK</v>
          </cell>
        </row>
        <row r="2003">
          <cell r="C2003" t="str">
            <v>&lt;-- enter valid PB./Acc. # in this cell!</v>
          </cell>
          <cell r="F2003" t="str">
            <v>OK</v>
          </cell>
        </row>
        <row r="2004">
          <cell r="C2004" t="str">
            <v>&lt;-- enter valid PB./Acc. # in this cell!</v>
          </cell>
          <cell r="F2004" t="str">
            <v>OK</v>
          </cell>
        </row>
        <row r="2005">
          <cell r="C2005" t="str">
            <v>&lt;-- enter valid PB./Acc. # in this cell!</v>
          </cell>
          <cell r="F2005" t="str">
            <v>OK</v>
          </cell>
        </row>
        <row r="2006">
          <cell r="C2006" t="str">
            <v>&lt;-- enter valid PB./Acc. # in this cell!</v>
          </cell>
          <cell r="F2006" t="str">
            <v>OK</v>
          </cell>
        </row>
        <row r="2007">
          <cell r="C2007" t="str">
            <v>&lt;-- enter valid PB./Acc. # in this cell!</v>
          </cell>
          <cell r="F2007" t="str">
            <v>OK</v>
          </cell>
        </row>
        <row r="2008">
          <cell r="C2008" t="str">
            <v>&lt;-- enter valid PB./Acc. # in this cell!</v>
          </cell>
          <cell r="F2008" t="str">
            <v>OK</v>
          </cell>
        </row>
        <row r="2009">
          <cell r="C2009" t="str">
            <v>&lt;-- enter valid PB./Acc. # in this cell!</v>
          </cell>
          <cell r="F2009" t="str">
            <v>OK</v>
          </cell>
        </row>
        <row r="2010">
          <cell r="C2010" t="str">
            <v>&lt;-- enter valid PB./Acc. # in this cell!</v>
          </cell>
          <cell r="F2010" t="str">
            <v>OK</v>
          </cell>
        </row>
        <row r="2011">
          <cell r="C2011" t="str">
            <v>&lt;-- enter valid PB./Acc. # in this cell!</v>
          </cell>
          <cell r="F2011" t="str">
            <v>OK</v>
          </cell>
        </row>
        <row r="2012">
          <cell r="C2012" t="str">
            <v>&lt;-- enter valid PB./Acc. # in this cell!</v>
          </cell>
          <cell r="F2012" t="str">
            <v>OK</v>
          </cell>
        </row>
        <row r="2013">
          <cell r="C2013" t="str">
            <v>&lt;-- enter valid PB./Acc. # in this cell!</v>
          </cell>
          <cell r="F2013" t="str">
            <v>OK</v>
          </cell>
        </row>
        <row r="2014">
          <cell r="C2014" t="str">
            <v>&lt;-- enter valid PB./Acc. # in this cell!</v>
          </cell>
          <cell r="F2014" t="str">
            <v>OK</v>
          </cell>
        </row>
        <row r="2015">
          <cell r="C2015" t="str">
            <v>&lt;-- enter valid PB./Acc. # in this cell!</v>
          </cell>
          <cell r="F2015" t="str">
            <v>OK</v>
          </cell>
        </row>
        <row r="2016">
          <cell r="C2016" t="str">
            <v>&lt;-- enter valid PB./Acc. # in this cell!</v>
          </cell>
          <cell r="F2016" t="str">
            <v>OK</v>
          </cell>
        </row>
        <row r="2017">
          <cell r="C2017" t="str">
            <v>&lt;-- enter valid PB./Acc. # in this cell!</v>
          </cell>
          <cell r="F2017" t="str">
            <v>OK</v>
          </cell>
        </row>
        <row r="2018">
          <cell r="C2018" t="str">
            <v>&lt;-- enter valid PB./Acc. # in this cell!</v>
          </cell>
          <cell r="F2018" t="str">
            <v>OK</v>
          </cell>
        </row>
        <row r="2019">
          <cell r="C2019" t="str">
            <v>&lt;-- enter valid PB./Acc. # in this cell!</v>
          </cell>
          <cell r="F2019" t="str">
            <v>OK</v>
          </cell>
        </row>
        <row r="2020">
          <cell r="C2020" t="str">
            <v>&lt;-- enter valid PB./Acc. # in this cell!</v>
          </cell>
          <cell r="F2020" t="str">
            <v>OK</v>
          </cell>
        </row>
        <row r="2021">
          <cell r="C2021" t="str">
            <v>&lt;-- enter valid PB./Acc. # in this cell!</v>
          </cell>
          <cell r="F2021" t="str">
            <v>OK</v>
          </cell>
        </row>
        <row r="2022">
          <cell r="C2022" t="str">
            <v>&lt;-- enter valid PB./Acc. # in this cell!</v>
          </cell>
          <cell r="F2022" t="str">
            <v>OK</v>
          </cell>
        </row>
        <row r="2023">
          <cell r="C2023" t="str">
            <v>&lt;-- enter valid PB./Acc. # in this cell!</v>
          </cell>
          <cell r="F2023" t="str">
            <v>OK</v>
          </cell>
        </row>
        <row r="2024">
          <cell r="C2024" t="str">
            <v>&lt;-- enter valid PB./Acc. # in this cell!</v>
          </cell>
          <cell r="F2024" t="str">
            <v>OK</v>
          </cell>
        </row>
        <row r="2025">
          <cell r="C2025" t="str">
            <v>&lt;-- enter valid PB./Acc. # in this cell!</v>
          </cell>
          <cell r="F2025" t="str">
            <v>OK</v>
          </cell>
        </row>
        <row r="2026">
          <cell r="C2026" t="str">
            <v>&lt;-- enter valid PB./Acc. # in this cell!</v>
          </cell>
          <cell r="F2026" t="str">
            <v>OK</v>
          </cell>
        </row>
        <row r="2027">
          <cell r="C2027" t="str">
            <v>&lt;-- enter valid PB./Acc. # in this cell!</v>
          </cell>
          <cell r="F2027" t="str">
            <v>OK</v>
          </cell>
        </row>
        <row r="2028">
          <cell r="C2028" t="str">
            <v>&lt;-- enter valid PB./Acc. # in this cell!</v>
          </cell>
          <cell r="F2028" t="str">
            <v>OK</v>
          </cell>
        </row>
        <row r="2029">
          <cell r="C2029" t="str">
            <v>&lt;-- enter valid PB./Acc. # in this cell!</v>
          </cell>
          <cell r="F2029" t="str">
            <v>OK</v>
          </cell>
        </row>
        <row r="2030">
          <cell r="C2030" t="str">
            <v>&lt;-- enter valid PB./Acc. # in this cell!</v>
          </cell>
          <cell r="F2030" t="str">
            <v>OK</v>
          </cell>
        </row>
        <row r="2031">
          <cell r="C2031" t="str">
            <v>&lt;-- enter valid PB./Acc. # in this cell!</v>
          </cell>
          <cell r="F2031" t="str">
            <v>OK</v>
          </cell>
        </row>
        <row r="2032">
          <cell r="C2032" t="str">
            <v>&lt;-- enter valid PB./Acc. # in this cell!</v>
          </cell>
          <cell r="F2032" t="str">
            <v>OK</v>
          </cell>
        </row>
        <row r="2033">
          <cell r="C2033" t="str">
            <v>&lt;-- enter valid PB./Acc. # in this cell!</v>
          </cell>
          <cell r="F2033" t="str">
            <v>OK</v>
          </cell>
        </row>
        <row r="2034">
          <cell r="C2034" t="str">
            <v>&lt;-- enter valid PB./Acc. # in this cell!</v>
          </cell>
          <cell r="F2034" t="str">
            <v>OK</v>
          </cell>
        </row>
        <row r="2035">
          <cell r="C2035" t="str">
            <v>&lt;-- enter valid PB./Acc. # in this cell!</v>
          </cell>
          <cell r="F2035" t="str">
            <v>OK</v>
          </cell>
        </row>
        <row r="2036">
          <cell r="C2036" t="str">
            <v>&lt;-- enter valid PB./Acc. # in this cell!</v>
          </cell>
          <cell r="F2036" t="str">
            <v>OK</v>
          </cell>
        </row>
        <row r="2037">
          <cell r="C2037" t="str">
            <v>&lt;-- enter valid PB./Acc. # in this cell!</v>
          </cell>
          <cell r="F2037" t="str">
            <v>OK</v>
          </cell>
        </row>
        <row r="2038">
          <cell r="C2038" t="str">
            <v>&lt;-- enter valid PB./Acc. # in this cell!</v>
          </cell>
          <cell r="F2038" t="str">
            <v>OK</v>
          </cell>
        </row>
        <row r="2039">
          <cell r="C2039" t="str">
            <v>&lt;-- enter valid PB./Acc. # in this cell!</v>
          </cell>
          <cell r="F2039" t="str">
            <v>OK</v>
          </cell>
        </row>
        <row r="2040">
          <cell r="C2040" t="str">
            <v>&lt;-- enter valid PB./Acc. # in this cell!</v>
          </cell>
          <cell r="F2040" t="str">
            <v>OK</v>
          </cell>
        </row>
        <row r="2041">
          <cell r="C2041" t="str">
            <v>&lt;-- enter valid PB./Acc. # in this cell!</v>
          </cell>
          <cell r="F2041" t="str">
            <v>OK</v>
          </cell>
        </row>
        <row r="2042">
          <cell r="C2042" t="str">
            <v>&lt;-- enter valid PB./Acc. # in this cell!</v>
          </cell>
          <cell r="F2042" t="str">
            <v>OK</v>
          </cell>
        </row>
        <row r="2043">
          <cell r="C2043" t="str">
            <v>&lt;-- enter valid PB./Acc. # in this cell!</v>
          </cell>
          <cell r="F2043" t="str">
            <v>OK</v>
          </cell>
        </row>
        <row r="2044">
          <cell r="C2044" t="str">
            <v>&lt;-- enter valid PB./Acc. # in this cell!</v>
          </cell>
          <cell r="F2044" t="str">
            <v>OK</v>
          </cell>
        </row>
        <row r="2045">
          <cell r="C2045" t="str">
            <v>&lt;-- enter valid PB./Acc. # in this cell!</v>
          </cell>
          <cell r="F2045" t="str">
            <v>OK</v>
          </cell>
        </row>
        <row r="2046">
          <cell r="C2046" t="str">
            <v>&lt;-- enter valid PB./Acc. # in this cell!</v>
          </cell>
          <cell r="F2046" t="str">
            <v>OK</v>
          </cell>
        </row>
        <row r="2047">
          <cell r="C2047" t="str">
            <v>&lt;-- enter valid PB./Acc. # in this cell!</v>
          </cell>
          <cell r="F2047" t="str">
            <v>OK</v>
          </cell>
        </row>
        <row r="2048">
          <cell r="C2048" t="str">
            <v>&lt;-- enter valid PB./Acc. # in this cell!</v>
          </cell>
          <cell r="F2048" t="str">
            <v>OK</v>
          </cell>
        </row>
        <row r="2049">
          <cell r="C2049" t="str">
            <v>&lt;-- enter valid PB./Acc. # in this cell!</v>
          </cell>
          <cell r="F2049" t="str">
            <v>OK</v>
          </cell>
        </row>
        <row r="2050">
          <cell r="C2050" t="str">
            <v>&lt;-- enter valid PB./Acc. # in this cell!</v>
          </cell>
          <cell r="F2050" t="str">
            <v>OK</v>
          </cell>
        </row>
        <row r="2051">
          <cell r="C2051" t="str">
            <v>&lt;-- enter valid PB./Acc. # in this cell!</v>
          </cell>
          <cell r="F2051" t="str">
            <v>OK</v>
          </cell>
        </row>
        <row r="2052">
          <cell r="C2052" t="str">
            <v>&lt;-- enter valid PB./Acc. # in this cell!</v>
          </cell>
          <cell r="F2052" t="str">
            <v>OK</v>
          </cell>
        </row>
        <row r="2053">
          <cell r="C2053" t="str">
            <v>&lt;-- enter valid PB./Acc. # in this cell!</v>
          </cell>
          <cell r="F2053" t="str">
            <v>OK</v>
          </cell>
        </row>
        <row r="2054">
          <cell r="C2054" t="str">
            <v>&lt;-- enter valid PB./Acc. # in this cell!</v>
          </cell>
          <cell r="F2054" t="str">
            <v>OK</v>
          </cell>
        </row>
        <row r="2055">
          <cell r="C2055" t="str">
            <v>&lt;-- enter valid PB./Acc. # in this cell!</v>
          </cell>
          <cell r="F2055" t="str">
            <v>OK</v>
          </cell>
        </row>
        <row r="2056">
          <cell r="C2056" t="str">
            <v>&lt;-- enter valid PB./Acc. # in this cell!</v>
          </cell>
          <cell r="F2056" t="str">
            <v>OK</v>
          </cell>
        </row>
        <row r="2057">
          <cell r="C2057" t="str">
            <v>&lt;-- enter valid PB./Acc. # in this cell!</v>
          </cell>
          <cell r="F2057" t="str">
            <v>OK</v>
          </cell>
        </row>
        <row r="2058">
          <cell r="C2058" t="str">
            <v>&lt;-- enter valid PB./Acc. # in this cell!</v>
          </cell>
          <cell r="F2058" t="str">
            <v>OK</v>
          </cell>
        </row>
        <row r="2059">
          <cell r="C2059" t="str">
            <v>&lt;-- enter valid PB./Acc. # in this cell!</v>
          </cell>
          <cell r="F2059" t="str">
            <v>OK</v>
          </cell>
        </row>
        <row r="2060">
          <cell r="C2060" t="str">
            <v>&lt;-- enter valid PB./Acc. # in this cell!</v>
          </cell>
          <cell r="F2060" t="str">
            <v>OK</v>
          </cell>
        </row>
        <row r="2061">
          <cell r="C2061" t="str">
            <v>&lt;-- enter valid PB./Acc. # in this cell!</v>
          </cell>
          <cell r="F2061" t="str">
            <v>OK</v>
          </cell>
        </row>
        <row r="2062">
          <cell r="C2062" t="str">
            <v>&lt;-- enter valid PB./Acc. # in this cell!</v>
          </cell>
          <cell r="F2062" t="str">
            <v>OK</v>
          </cell>
        </row>
        <row r="2063">
          <cell r="C2063" t="str">
            <v>&lt;-- enter valid PB./Acc. # in this cell!</v>
          </cell>
          <cell r="F2063" t="str">
            <v>OK</v>
          </cell>
        </row>
        <row r="2064">
          <cell r="C2064" t="str">
            <v>&lt;-- enter valid PB./Acc. # in this cell!</v>
          </cell>
          <cell r="F2064" t="str">
            <v>OK</v>
          </cell>
        </row>
        <row r="2065">
          <cell r="C2065" t="str">
            <v>&lt;-- enter valid PB./Acc. # in this cell!</v>
          </cell>
          <cell r="F2065" t="str">
            <v>OK</v>
          </cell>
        </row>
        <row r="2066">
          <cell r="C2066" t="str">
            <v>&lt;-- enter valid PB./Acc. # in this cell!</v>
          </cell>
          <cell r="F2066" t="str">
            <v>OK</v>
          </cell>
        </row>
        <row r="2067">
          <cell r="C2067" t="str">
            <v>&lt;-- enter valid PB./Acc. # in this cell!</v>
          </cell>
          <cell r="F2067" t="str">
            <v>OK</v>
          </cell>
        </row>
        <row r="2068">
          <cell r="C2068" t="str">
            <v>&lt;-- enter valid PB./Acc. # in this cell!</v>
          </cell>
          <cell r="F2068" t="str">
            <v>OK</v>
          </cell>
        </row>
        <row r="2069">
          <cell r="C2069" t="str">
            <v>&lt;-- enter valid PB./Acc. # in this cell!</v>
          </cell>
          <cell r="F2069" t="str">
            <v>OK</v>
          </cell>
        </row>
        <row r="2070">
          <cell r="C2070" t="str">
            <v>&lt;-- enter valid PB./Acc. # in this cell!</v>
          </cell>
          <cell r="F2070" t="str">
            <v>OK</v>
          </cell>
        </row>
        <row r="2071">
          <cell r="C2071" t="str">
            <v>&lt;-- enter valid PB./Acc. # in this cell!</v>
          </cell>
          <cell r="F2071" t="str">
            <v>OK</v>
          </cell>
        </row>
        <row r="2072">
          <cell r="C2072" t="str">
            <v>&lt;-- enter valid PB./Acc. # in this cell!</v>
          </cell>
          <cell r="F2072" t="str">
            <v>OK</v>
          </cell>
        </row>
        <row r="2073">
          <cell r="C2073" t="str">
            <v>&lt;-- enter valid PB./Acc. # in this cell!</v>
          </cell>
          <cell r="F2073" t="str">
            <v>OK</v>
          </cell>
        </row>
        <row r="2074">
          <cell r="C2074" t="str">
            <v>&lt;-- enter valid PB./Acc. # in this cell!</v>
          </cell>
          <cell r="F2074" t="str">
            <v>OK</v>
          </cell>
        </row>
        <row r="2075">
          <cell r="C2075" t="str">
            <v>&lt;-- enter valid PB./Acc. # in this cell!</v>
          </cell>
          <cell r="F2075" t="str">
            <v>OK</v>
          </cell>
        </row>
        <row r="2076">
          <cell r="C2076" t="str">
            <v>&lt;-- enter valid PB./Acc. # in this cell!</v>
          </cell>
          <cell r="F2076" t="str">
            <v>OK</v>
          </cell>
        </row>
        <row r="2077">
          <cell r="C2077" t="str">
            <v>&lt;-- enter valid PB./Acc. # in this cell!</v>
          </cell>
          <cell r="F2077" t="str">
            <v>OK</v>
          </cell>
        </row>
        <row r="2078">
          <cell r="C2078" t="str">
            <v>&lt;-- enter valid PB./Acc. # in this cell!</v>
          </cell>
          <cell r="F2078" t="str">
            <v>OK</v>
          </cell>
        </row>
        <row r="2079">
          <cell r="C2079" t="str">
            <v>&lt;-- enter valid PB./Acc. # in this cell!</v>
          </cell>
          <cell r="F2079" t="str">
            <v>OK</v>
          </cell>
        </row>
        <row r="2080">
          <cell r="C2080" t="str">
            <v>&lt;-- enter valid PB./Acc. # in this cell!</v>
          </cell>
          <cell r="F2080" t="str">
            <v>OK</v>
          </cell>
        </row>
        <row r="2081">
          <cell r="C2081" t="str">
            <v>&lt;-- enter valid PB./Acc. # in this cell!</v>
          </cell>
          <cell r="F2081" t="str">
            <v>OK</v>
          </cell>
        </row>
        <row r="2082">
          <cell r="C2082" t="str">
            <v>&lt;-- enter valid PB./Acc. # in this cell!</v>
          </cell>
          <cell r="F2082" t="str">
            <v>OK</v>
          </cell>
        </row>
        <row r="2083">
          <cell r="C2083" t="str">
            <v>&lt;-- enter valid PB./Acc. # in this cell!</v>
          </cell>
          <cell r="F2083" t="str">
            <v>OK</v>
          </cell>
        </row>
        <row r="2084">
          <cell r="C2084" t="str">
            <v>&lt;-- enter valid PB./Acc. # in this cell!</v>
          </cell>
          <cell r="F2084" t="str">
            <v>OK</v>
          </cell>
        </row>
        <row r="2085">
          <cell r="C2085" t="str">
            <v>&lt;-- enter valid PB./Acc. # in this cell!</v>
          </cell>
          <cell r="F2085" t="str">
            <v>OK</v>
          </cell>
        </row>
        <row r="2086">
          <cell r="C2086" t="str">
            <v>&lt;-- enter valid PB./Acc. # in this cell!</v>
          </cell>
          <cell r="F2086" t="str">
            <v>OK</v>
          </cell>
        </row>
        <row r="2087">
          <cell r="C2087" t="str">
            <v>&lt;-- enter valid PB./Acc. # in this cell!</v>
          </cell>
          <cell r="F2087" t="str">
            <v>OK</v>
          </cell>
        </row>
        <row r="2088">
          <cell r="C2088" t="str">
            <v>&lt;-- enter valid PB./Acc. # in this cell!</v>
          </cell>
          <cell r="F2088" t="str">
            <v>OK</v>
          </cell>
        </row>
        <row r="2089">
          <cell r="C2089" t="str">
            <v>&lt;-- enter valid PB./Acc. # in this cell!</v>
          </cell>
          <cell r="F2089" t="str">
            <v>OK</v>
          </cell>
        </row>
        <row r="2090">
          <cell r="C2090" t="str">
            <v>&lt;-- enter valid PB./Acc. # in this cell!</v>
          </cell>
          <cell r="F2090" t="str">
            <v>OK</v>
          </cell>
        </row>
        <row r="2091">
          <cell r="C2091" t="str">
            <v>&lt;-- enter valid PB./Acc. # in this cell!</v>
          </cell>
          <cell r="F2091" t="str">
            <v>OK</v>
          </cell>
        </row>
        <row r="2092">
          <cell r="C2092" t="str">
            <v>&lt;-- enter valid PB./Acc. # in this cell!</v>
          </cell>
          <cell r="F2092" t="str">
            <v>OK</v>
          </cell>
        </row>
        <row r="2093">
          <cell r="C2093" t="str">
            <v>&lt;-- enter valid PB./Acc. # in this cell!</v>
          </cell>
          <cell r="F2093" t="str">
            <v>OK</v>
          </cell>
        </row>
        <row r="2094">
          <cell r="C2094" t="str">
            <v>&lt;-- enter valid PB./Acc. # in this cell!</v>
          </cell>
          <cell r="F2094" t="str">
            <v>OK</v>
          </cell>
        </row>
        <row r="2095">
          <cell r="C2095" t="str">
            <v>&lt;-- enter valid PB./Acc. # in this cell!</v>
          </cell>
          <cell r="F2095" t="str">
            <v>OK</v>
          </cell>
        </row>
        <row r="2096">
          <cell r="C2096" t="str">
            <v>&lt;-- enter valid PB./Acc. # in this cell!</v>
          </cell>
          <cell r="F2096" t="str">
            <v>OK</v>
          </cell>
        </row>
        <row r="2097">
          <cell r="C2097" t="str">
            <v>&lt;-- enter valid PB./Acc. # in this cell!</v>
          </cell>
          <cell r="F2097" t="str">
            <v>OK</v>
          </cell>
        </row>
        <row r="2098">
          <cell r="C2098" t="str">
            <v>&lt;-- enter valid PB./Acc. # in this cell!</v>
          </cell>
          <cell r="F2098" t="str">
            <v>OK</v>
          </cell>
        </row>
        <row r="2099">
          <cell r="C2099" t="str">
            <v>&lt;-- enter valid PB./Acc. # in this cell!</v>
          </cell>
          <cell r="F2099" t="str">
            <v>OK</v>
          </cell>
        </row>
        <row r="2100">
          <cell r="A2100" t="str">
            <v>Total Balances of January 2016</v>
          </cell>
          <cell r="F2100" t="str">
            <v>OK</v>
          </cell>
          <cell r="G2100">
            <v>0</v>
          </cell>
          <cell r="H2100">
            <v>0</v>
          </cell>
          <cell r="I2100">
            <v>0</v>
          </cell>
          <cell r="J2100">
            <v>0</v>
          </cell>
          <cell r="K2100">
            <v>0</v>
          </cell>
          <cell r="L2100">
            <v>0</v>
          </cell>
          <cell r="M2100">
            <v>0</v>
          </cell>
          <cell r="N2100">
            <v>0</v>
          </cell>
          <cell r="O2100">
            <v>0</v>
          </cell>
          <cell r="P2100">
            <v>0</v>
          </cell>
          <cell r="Q2100">
            <v>0</v>
          </cell>
          <cell r="R2100">
            <v>0</v>
          </cell>
          <cell r="S2100">
            <v>0</v>
          </cell>
          <cell r="T2100">
            <v>0</v>
          </cell>
          <cell r="AQ2100">
            <v>0</v>
          </cell>
        </row>
        <row r="2101">
          <cell r="A2101">
            <v>42429</v>
          </cell>
        </row>
        <row r="2102">
          <cell r="C2102" t="str">
            <v>&lt;-- enter valid PB./Acc. # in this cell!</v>
          </cell>
          <cell r="F2102" t="str">
            <v>OK</v>
          </cell>
        </row>
        <row r="2103">
          <cell r="C2103" t="str">
            <v>&lt;-- enter valid PB./Acc. # in this cell!</v>
          </cell>
          <cell r="F2103" t="str">
            <v>OK</v>
          </cell>
        </row>
        <row r="2104">
          <cell r="C2104" t="str">
            <v>&lt;-- enter valid PB./Acc. # in this cell!</v>
          </cell>
          <cell r="F2104" t="str">
            <v>OK</v>
          </cell>
        </row>
        <row r="2105">
          <cell r="C2105" t="str">
            <v>&lt;-- enter valid PB./Acc. # in this cell!</v>
          </cell>
          <cell r="F2105" t="str">
            <v>OK</v>
          </cell>
        </row>
        <row r="2106">
          <cell r="C2106" t="str">
            <v>&lt;-- enter valid PB./Acc. # in this cell!</v>
          </cell>
          <cell r="F2106" t="str">
            <v>OK</v>
          </cell>
        </row>
        <row r="2107">
          <cell r="C2107" t="str">
            <v>&lt;-- enter valid PB./Acc. # in this cell!</v>
          </cell>
          <cell r="F2107" t="str">
            <v>OK</v>
          </cell>
        </row>
        <row r="2108">
          <cell r="C2108" t="str">
            <v>&lt;-- enter valid PB./Acc. # in this cell!</v>
          </cell>
          <cell r="F2108" t="str">
            <v>OK</v>
          </cell>
        </row>
        <row r="2109">
          <cell r="C2109" t="str">
            <v>&lt;-- enter valid PB./Acc. # in this cell!</v>
          </cell>
          <cell r="F2109" t="str">
            <v>OK</v>
          </cell>
        </row>
        <row r="2110">
          <cell r="C2110" t="str">
            <v>&lt;-- enter valid PB./Acc. # in this cell!</v>
          </cell>
          <cell r="F2110" t="str">
            <v>OK</v>
          </cell>
        </row>
        <row r="2111">
          <cell r="C2111" t="str">
            <v>&lt;-- enter valid PB./Acc. # in this cell!</v>
          </cell>
          <cell r="F2111" t="str">
            <v>OK</v>
          </cell>
        </row>
        <row r="2112">
          <cell r="C2112" t="str">
            <v>&lt;-- enter valid PB./Acc. # in this cell!</v>
          </cell>
          <cell r="F2112" t="str">
            <v>OK</v>
          </cell>
        </row>
        <row r="2113">
          <cell r="C2113" t="str">
            <v>&lt;-- enter valid PB./Acc. # in this cell!</v>
          </cell>
          <cell r="F2113" t="str">
            <v>OK</v>
          </cell>
        </row>
        <row r="2114">
          <cell r="C2114" t="str">
            <v>&lt;-- enter valid PB./Acc. # in this cell!</v>
          </cell>
          <cell r="F2114" t="str">
            <v>OK</v>
          </cell>
        </row>
        <row r="2115">
          <cell r="C2115" t="str">
            <v>&lt;-- enter valid PB./Acc. # in this cell!</v>
          </cell>
          <cell r="F2115" t="str">
            <v>OK</v>
          </cell>
        </row>
        <row r="2116">
          <cell r="C2116" t="str">
            <v>&lt;-- enter valid PB./Acc. # in this cell!</v>
          </cell>
          <cell r="F2116" t="str">
            <v>OK</v>
          </cell>
        </row>
        <row r="2117">
          <cell r="C2117" t="str">
            <v>&lt;-- enter valid PB./Acc. # in this cell!</v>
          </cell>
          <cell r="F2117" t="str">
            <v>OK</v>
          </cell>
        </row>
        <row r="2118">
          <cell r="C2118" t="str">
            <v>&lt;-- enter valid PB./Acc. # in this cell!</v>
          </cell>
          <cell r="F2118" t="str">
            <v>OK</v>
          </cell>
        </row>
        <row r="2119">
          <cell r="C2119" t="str">
            <v>&lt;-- enter valid PB./Acc. # in this cell!</v>
          </cell>
          <cell r="F2119" t="str">
            <v>OK</v>
          </cell>
        </row>
        <row r="2120">
          <cell r="C2120" t="str">
            <v>&lt;-- enter valid PB./Acc. # in this cell!</v>
          </cell>
          <cell r="F2120" t="str">
            <v>OK</v>
          </cell>
        </row>
        <row r="2121">
          <cell r="C2121" t="str">
            <v>&lt;-- enter valid PB./Acc. # in this cell!</v>
          </cell>
          <cell r="F2121" t="str">
            <v>OK</v>
          </cell>
        </row>
        <row r="2122">
          <cell r="C2122" t="str">
            <v>&lt;-- enter valid PB./Acc. # in this cell!</v>
          </cell>
          <cell r="F2122" t="str">
            <v>OK</v>
          </cell>
        </row>
        <row r="2123">
          <cell r="C2123" t="str">
            <v>&lt;-- enter valid PB./Acc. # in this cell!</v>
          </cell>
          <cell r="F2123" t="str">
            <v>OK</v>
          </cell>
        </row>
        <row r="2124">
          <cell r="C2124" t="str">
            <v>&lt;-- enter valid PB./Acc. # in this cell!</v>
          </cell>
          <cell r="F2124" t="str">
            <v>OK</v>
          </cell>
        </row>
        <row r="2125">
          <cell r="C2125" t="str">
            <v>&lt;-- enter valid PB./Acc. # in this cell!</v>
          </cell>
          <cell r="F2125" t="str">
            <v>OK</v>
          </cell>
        </row>
        <row r="2126">
          <cell r="C2126" t="str">
            <v>&lt;-- enter valid PB./Acc. # in this cell!</v>
          </cell>
          <cell r="F2126" t="str">
            <v>OK</v>
          </cell>
        </row>
        <row r="2127">
          <cell r="C2127" t="str">
            <v>&lt;-- enter valid PB./Acc. # in this cell!</v>
          </cell>
          <cell r="F2127" t="str">
            <v>OK</v>
          </cell>
        </row>
        <row r="2128">
          <cell r="C2128" t="str">
            <v>&lt;-- enter valid PB./Acc. # in this cell!</v>
          </cell>
          <cell r="F2128" t="str">
            <v>OK</v>
          </cell>
        </row>
        <row r="2129">
          <cell r="C2129" t="str">
            <v>&lt;-- enter valid PB./Acc. # in this cell!</v>
          </cell>
          <cell r="F2129" t="str">
            <v>OK</v>
          </cell>
        </row>
        <row r="2130">
          <cell r="C2130" t="str">
            <v>&lt;-- enter valid PB./Acc. # in this cell!</v>
          </cell>
          <cell r="F2130" t="str">
            <v>OK</v>
          </cell>
        </row>
        <row r="2131">
          <cell r="C2131" t="str">
            <v>&lt;-- enter valid PB./Acc. # in this cell!</v>
          </cell>
          <cell r="F2131" t="str">
            <v>OK</v>
          </cell>
        </row>
        <row r="2132">
          <cell r="C2132" t="str">
            <v>&lt;-- enter valid PB./Acc. # in this cell!</v>
          </cell>
          <cell r="F2132" t="str">
            <v>OK</v>
          </cell>
        </row>
        <row r="2133">
          <cell r="C2133" t="str">
            <v>&lt;-- enter valid PB./Acc. # in this cell!</v>
          </cell>
          <cell r="F2133" t="str">
            <v>OK</v>
          </cell>
        </row>
        <row r="2134">
          <cell r="C2134" t="str">
            <v>&lt;-- enter valid PB./Acc. # in this cell!</v>
          </cell>
          <cell r="F2134" t="str">
            <v>OK</v>
          </cell>
        </row>
        <row r="2135">
          <cell r="C2135" t="str">
            <v>&lt;-- enter valid PB./Acc. # in this cell!</v>
          </cell>
          <cell r="F2135" t="str">
            <v>OK</v>
          </cell>
        </row>
        <row r="2136">
          <cell r="C2136" t="str">
            <v>&lt;-- enter valid PB./Acc. # in this cell!</v>
          </cell>
          <cell r="F2136" t="str">
            <v>OK</v>
          </cell>
        </row>
        <row r="2137">
          <cell r="C2137" t="str">
            <v>&lt;-- enter valid PB./Acc. # in this cell!</v>
          </cell>
          <cell r="F2137" t="str">
            <v>OK</v>
          </cell>
        </row>
        <row r="2138">
          <cell r="C2138" t="str">
            <v>&lt;-- enter valid PB./Acc. # in this cell!</v>
          </cell>
          <cell r="F2138" t="str">
            <v>OK</v>
          </cell>
        </row>
        <row r="2139">
          <cell r="C2139" t="str">
            <v>&lt;-- enter valid PB./Acc. # in this cell!</v>
          </cell>
          <cell r="F2139" t="str">
            <v>OK</v>
          </cell>
        </row>
        <row r="2140">
          <cell r="C2140" t="str">
            <v>&lt;-- enter valid PB./Acc. # in this cell!</v>
          </cell>
          <cell r="F2140" t="str">
            <v>OK</v>
          </cell>
        </row>
        <row r="2141">
          <cell r="C2141" t="str">
            <v>&lt;-- enter valid PB./Acc. # in this cell!</v>
          </cell>
          <cell r="F2141" t="str">
            <v>OK</v>
          </cell>
        </row>
        <row r="2142">
          <cell r="C2142" t="str">
            <v>&lt;-- enter valid PB./Acc. # in this cell!</v>
          </cell>
          <cell r="F2142" t="str">
            <v>OK</v>
          </cell>
        </row>
        <row r="2143">
          <cell r="C2143" t="str">
            <v>&lt;-- enter valid PB./Acc. # in this cell!</v>
          </cell>
          <cell r="F2143" t="str">
            <v>OK</v>
          </cell>
        </row>
        <row r="2144">
          <cell r="C2144" t="str">
            <v>&lt;-- enter valid PB./Acc. # in this cell!</v>
          </cell>
          <cell r="F2144" t="str">
            <v>OK</v>
          </cell>
        </row>
        <row r="2145">
          <cell r="C2145" t="str">
            <v>&lt;-- enter valid PB./Acc. # in this cell!</v>
          </cell>
          <cell r="F2145" t="str">
            <v>OK</v>
          </cell>
        </row>
        <row r="2146">
          <cell r="C2146" t="str">
            <v>&lt;-- enter valid PB./Acc. # in this cell!</v>
          </cell>
          <cell r="F2146" t="str">
            <v>OK</v>
          </cell>
        </row>
        <row r="2147">
          <cell r="C2147" t="str">
            <v>&lt;-- enter valid PB./Acc. # in this cell!</v>
          </cell>
          <cell r="F2147" t="str">
            <v>OK</v>
          </cell>
        </row>
        <row r="2148">
          <cell r="C2148" t="str">
            <v>&lt;-- enter valid PB./Acc. # in this cell!</v>
          </cell>
          <cell r="F2148" t="str">
            <v>OK</v>
          </cell>
        </row>
        <row r="2149">
          <cell r="C2149" t="str">
            <v>&lt;-- enter valid PB./Acc. # in this cell!</v>
          </cell>
          <cell r="F2149" t="str">
            <v>OK</v>
          </cell>
        </row>
        <row r="2150">
          <cell r="C2150" t="str">
            <v>&lt;-- enter valid PB./Acc. # in this cell!</v>
          </cell>
          <cell r="F2150" t="str">
            <v>OK</v>
          </cell>
        </row>
        <row r="2151">
          <cell r="C2151" t="str">
            <v>&lt;-- enter valid PB./Acc. # in this cell!</v>
          </cell>
          <cell r="F2151" t="str">
            <v>OK</v>
          </cell>
        </row>
        <row r="2152">
          <cell r="C2152" t="str">
            <v>&lt;-- enter valid PB./Acc. # in this cell!</v>
          </cell>
          <cell r="F2152" t="str">
            <v>OK</v>
          </cell>
        </row>
        <row r="2153">
          <cell r="C2153" t="str">
            <v>&lt;-- enter valid PB./Acc. # in this cell!</v>
          </cell>
          <cell r="F2153" t="str">
            <v>OK</v>
          </cell>
        </row>
        <row r="2154">
          <cell r="C2154" t="str">
            <v>&lt;-- enter valid PB./Acc. # in this cell!</v>
          </cell>
          <cell r="F2154" t="str">
            <v>OK</v>
          </cell>
        </row>
        <row r="2155">
          <cell r="C2155" t="str">
            <v>&lt;-- enter valid PB./Acc. # in this cell!</v>
          </cell>
          <cell r="F2155" t="str">
            <v>OK</v>
          </cell>
        </row>
        <row r="2156">
          <cell r="C2156" t="str">
            <v>&lt;-- enter valid PB./Acc. # in this cell!</v>
          </cell>
          <cell r="F2156" t="str">
            <v>OK</v>
          </cell>
        </row>
        <row r="2157">
          <cell r="C2157" t="str">
            <v>&lt;-- enter valid PB./Acc. # in this cell!</v>
          </cell>
          <cell r="F2157" t="str">
            <v>OK</v>
          </cell>
        </row>
        <row r="2158">
          <cell r="C2158" t="str">
            <v>&lt;-- enter valid PB./Acc. # in this cell!</v>
          </cell>
          <cell r="F2158" t="str">
            <v>OK</v>
          </cell>
        </row>
        <row r="2159">
          <cell r="C2159" t="str">
            <v>&lt;-- enter valid PB./Acc. # in this cell!</v>
          </cell>
          <cell r="F2159" t="str">
            <v>OK</v>
          </cell>
        </row>
        <row r="2160">
          <cell r="C2160" t="str">
            <v>&lt;-- enter valid PB./Acc. # in this cell!</v>
          </cell>
          <cell r="F2160" t="str">
            <v>OK</v>
          </cell>
        </row>
        <row r="2161">
          <cell r="C2161" t="str">
            <v>&lt;-- enter valid PB./Acc. # in this cell!</v>
          </cell>
          <cell r="F2161" t="str">
            <v>OK</v>
          </cell>
        </row>
        <row r="2162">
          <cell r="C2162" t="str">
            <v>&lt;-- enter valid PB./Acc. # in this cell!</v>
          </cell>
          <cell r="F2162" t="str">
            <v>OK</v>
          </cell>
        </row>
        <row r="2163">
          <cell r="C2163" t="str">
            <v>&lt;-- enter valid PB./Acc. # in this cell!</v>
          </cell>
          <cell r="F2163" t="str">
            <v>OK</v>
          </cell>
        </row>
        <row r="2164">
          <cell r="C2164" t="str">
            <v>&lt;-- enter valid PB./Acc. # in this cell!</v>
          </cell>
          <cell r="F2164" t="str">
            <v>OK</v>
          </cell>
        </row>
        <row r="2165">
          <cell r="C2165" t="str">
            <v>&lt;-- enter valid PB./Acc. # in this cell!</v>
          </cell>
          <cell r="F2165" t="str">
            <v>OK</v>
          </cell>
        </row>
        <row r="2166">
          <cell r="C2166" t="str">
            <v>&lt;-- enter valid PB./Acc. # in this cell!</v>
          </cell>
          <cell r="F2166" t="str">
            <v>OK</v>
          </cell>
        </row>
        <row r="2167">
          <cell r="C2167" t="str">
            <v>&lt;-- enter valid PB./Acc. # in this cell!</v>
          </cell>
          <cell r="F2167" t="str">
            <v>OK</v>
          </cell>
        </row>
        <row r="2168">
          <cell r="C2168" t="str">
            <v>&lt;-- enter valid PB./Acc. # in this cell!</v>
          </cell>
          <cell r="F2168" t="str">
            <v>OK</v>
          </cell>
        </row>
        <row r="2169">
          <cell r="C2169" t="str">
            <v>&lt;-- enter valid PB./Acc. # in this cell!</v>
          </cell>
          <cell r="F2169" t="str">
            <v>OK</v>
          </cell>
        </row>
        <row r="2170">
          <cell r="C2170" t="str">
            <v>&lt;-- enter valid PB./Acc. # in this cell!</v>
          </cell>
          <cell r="F2170" t="str">
            <v>OK</v>
          </cell>
        </row>
        <row r="2171">
          <cell r="C2171" t="str">
            <v>&lt;-- enter valid PB./Acc. # in this cell!</v>
          </cell>
          <cell r="F2171" t="str">
            <v>OK</v>
          </cell>
        </row>
        <row r="2172">
          <cell r="C2172" t="str">
            <v>&lt;-- enter valid PB./Acc. # in this cell!</v>
          </cell>
          <cell r="F2172" t="str">
            <v>OK</v>
          </cell>
        </row>
        <row r="2173">
          <cell r="C2173" t="str">
            <v>&lt;-- enter valid PB./Acc. # in this cell!</v>
          </cell>
          <cell r="F2173" t="str">
            <v>OK</v>
          </cell>
        </row>
        <row r="2174">
          <cell r="C2174" t="str">
            <v>&lt;-- enter valid PB./Acc. # in this cell!</v>
          </cell>
          <cell r="F2174" t="str">
            <v>OK</v>
          </cell>
        </row>
        <row r="2175">
          <cell r="C2175" t="str">
            <v>&lt;-- enter valid PB./Acc. # in this cell!</v>
          </cell>
          <cell r="F2175" t="str">
            <v>OK</v>
          </cell>
        </row>
        <row r="2176">
          <cell r="C2176" t="str">
            <v>&lt;-- enter valid PB./Acc. # in this cell!</v>
          </cell>
          <cell r="F2176" t="str">
            <v>OK</v>
          </cell>
        </row>
        <row r="2177">
          <cell r="C2177" t="str">
            <v>&lt;-- enter valid PB./Acc. # in this cell!</v>
          </cell>
          <cell r="F2177" t="str">
            <v>OK</v>
          </cell>
        </row>
        <row r="2178">
          <cell r="C2178" t="str">
            <v>&lt;-- enter valid PB./Acc. # in this cell!</v>
          </cell>
          <cell r="F2178" t="str">
            <v>OK</v>
          </cell>
        </row>
        <row r="2179">
          <cell r="C2179" t="str">
            <v>&lt;-- enter valid PB./Acc. # in this cell!</v>
          </cell>
          <cell r="F2179" t="str">
            <v>OK</v>
          </cell>
        </row>
        <row r="2180">
          <cell r="C2180" t="str">
            <v>&lt;-- enter valid PB./Acc. # in this cell!</v>
          </cell>
          <cell r="F2180" t="str">
            <v>OK</v>
          </cell>
        </row>
        <row r="2181">
          <cell r="C2181" t="str">
            <v>&lt;-- enter valid PB./Acc. # in this cell!</v>
          </cell>
          <cell r="F2181" t="str">
            <v>OK</v>
          </cell>
        </row>
        <row r="2182">
          <cell r="C2182" t="str">
            <v>&lt;-- enter valid PB./Acc. # in this cell!</v>
          </cell>
          <cell r="F2182" t="str">
            <v>OK</v>
          </cell>
        </row>
        <row r="2183">
          <cell r="C2183" t="str">
            <v>&lt;-- enter valid PB./Acc. # in this cell!</v>
          </cell>
          <cell r="F2183" t="str">
            <v>OK</v>
          </cell>
        </row>
        <row r="2184">
          <cell r="C2184" t="str">
            <v>&lt;-- enter valid PB./Acc. # in this cell!</v>
          </cell>
          <cell r="F2184" t="str">
            <v>OK</v>
          </cell>
        </row>
        <row r="2185">
          <cell r="C2185" t="str">
            <v>&lt;-- enter valid PB./Acc. # in this cell!</v>
          </cell>
          <cell r="F2185" t="str">
            <v>OK</v>
          </cell>
        </row>
        <row r="2186">
          <cell r="C2186" t="str">
            <v>&lt;-- enter valid PB./Acc. # in this cell!</v>
          </cell>
          <cell r="F2186" t="str">
            <v>OK</v>
          </cell>
        </row>
        <row r="2187">
          <cell r="C2187" t="str">
            <v>&lt;-- enter valid PB./Acc. # in this cell!</v>
          </cell>
          <cell r="F2187" t="str">
            <v>OK</v>
          </cell>
        </row>
        <row r="2188">
          <cell r="C2188" t="str">
            <v>&lt;-- enter valid PB./Acc. # in this cell!</v>
          </cell>
          <cell r="F2188" t="str">
            <v>OK</v>
          </cell>
        </row>
        <row r="2189">
          <cell r="C2189" t="str">
            <v>&lt;-- enter valid PB./Acc. # in this cell!</v>
          </cell>
          <cell r="F2189" t="str">
            <v>OK</v>
          </cell>
        </row>
        <row r="2190">
          <cell r="C2190" t="str">
            <v>&lt;-- enter valid PB./Acc. # in this cell!</v>
          </cell>
          <cell r="F2190" t="str">
            <v>OK</v>
          </cell>
        </row>
        <row r="2191">
          <cell r="C2191" t="str">
            <v>&lt;-- enter valid PB./Acc. # in this cell!</v>
          </cell>
          <cell r="F2191" t="str">
            <v>OK</v>
          </cell>
        </row>
        <row r="2192">
          <cell r="C2192" t="str">
            <v>&lt;-- enter valid PB./Acc. # in this cell!</v>
          </cell>
          <cell r="F2192" t="str">
            <v>OK</v>
          </cell>
        </row>
        <row r="2193">
          <cell r="C2193" t="str">
            <v>&lt;-- enter valid PB./Acc. # in this cell!</v>
          </cell>
          <cell r="F2193" t="str">
            <v>OK</v>
          </cell>
        </row>
        <row r="2194">
          <cell r="C2194" t="str">
            <v>&lt;-- enter valid PB./Acc. # in this cell!</v>
          </cell>
          <cell r="F2194" t="str">
            <v>OK</v>
          </cell>
        </row>
        <row r="2195">
          <cell r="C2195" t="str">
            <v>&lt;-- enter valid PB./Acc. # in this cell!</v>
          </cell>
          <cell r="F2195" t="str">
            <v>OK</v>
          </cell>
        </row>
        <row r="2196">
          <cell r="C2196" t="str">
            <v>&lt;-- enter valid PB./Acc. # in this cell!</v>
          </cell>
          <cell r="F2196" t="str">
            <v>OK</v>
          </cell>
        </row>
        <row r="2197">
          <cell r="C2197" t="str">
            <v>&lt;-- enter valid PB./Acc. # in this cell!</v>
          </cell>
          <cell r="F2197" t="str">
            <v>OK</v>
          </cell>
        </row>
        <row r="2198">
          <cell r="C2198" t="str">
            <v>&lt;-- enter valid PB./Acc. # in this cell!</v>
          </cell>
          <cell r="F2198" t="str">
            <v>OK</v>
          </cell>
        </row>
        <row r="2199">
          <cell r="C2199" t="str">
            <v>&lt;-- enter valid PB./Acc. # in this cell!</v>
          </cell>
          <cell r="F2199" t="str">
            <v>OK</v>
          </cell>
        </row>
        <row r="2200">
          <cell r="C2200" t="str">
            <v>&lt;-- enter valid PB./Acc. # in this cell!</v>
          </cell>
          <cell r="F2200" t="str">
            <v>OK</v>
          </cell>
        </row>
        <row r="2201">
          <cell r="C2201" t="str">
            <v>&lt;-- enter valid PB./Acc. # in this cell!</v>
          </cell>
          <cell r="F2201" t="str">
            <v>OK</v>
          </cell>
        </row>
        <row r="2202">
          <cell r="C2202" t="str">
            <v>&lt;-- enter valid PB./Acc. # in this cell!</v>
          </cell>
          <cell r="F2202" t="str">
            <v>OK</v>
          </cell>
        </row>
        <row r="2203">
          <cell r="C2203" t="str">
            <v>&lt;-- enter valid PB./Acc. # in this cell!</v>
          </cell>
          <cell r="F2203" t="str">
            <v>OK</v>
          </cell>
        </row>
        <row r="2204">
          <cell r="C2204" t="str">
            <v>&lt;-- enter valid PB./Acc. # in this cell!</v>
          </cell>
          <cell r="F2204" t="str">
            <v>OK</v>
          </cell>
        </row>
        <row r="2205">
          <cell r="C2205" t="str">
            <v>&lt;-- enter valid PB./Acc. # in this cell!</v>
          </cell>
          <cell r="F2205" t="str">
            <v>OK</v>
          </cell>
        </row>
        <row r="2206">
          <cell r="C2206" t="str">
            <v>&lt;-- enter valid PB./Acc. # in this cell!</v>
          </cell>
          <cell r="F2206" t="str">
            <v>OK</v>
          </cell>
        </row>
        <row r="2207">
          <cell r="C2207" t="str">
            <v>&lt;-- enter valid PB./Acc. # in this cell!</v>
          </cell>
          <cell r="F2207" t="str">
            <v>OK</v>
          </cell>
        </row>
        <row r="2208">
          <cell r="C2208" t="str">
            <v>&lt;-- enter valid PB./Acc. # in this cell!</v>
          </cell>
          <cell r="F2208" t="str">
            <v>OK</v>
          </cell>
        </row>
        <row r="2209">
          <cell r="C2209" t="str">
            <v>&lt;-- enter valid PB./Acc. # in this cell!</v>
          </cell>
          <cell r="F2209" t="str">
            <v>OK</v>
          </cell>
        </row>
        <row r="2210">
          <cell r="C2210" t="str">
            <v>&lt;-- enter valid PB./Acc. # in this cell!</v>
          </cell>
          <cell r="F2210" t="str">
            <v>OK</v>
          </cell>
        </row>
        <row r="2211">
          <cell r="C2211" t="str">
            <v>&lt;-- enter valid PB./Acc. # in this cell!</v>
          </cell>
          <cell r="F2211" t="str">
            <v>OK</v>
          </cell>
        </row>
        <row r="2212">
          <cell r="C2212" t="str">
            <v>&lt;-- enter valid PB./Acc. # in this cell!</v>
          </cell>
          <cell r="F2212" t="str">
            <v>OK</v>
          </cell>
        </row>
        <row r="2213">
          <cell r="C2213" t="str">
            <v>&lt;-- enter valid PB./Acc. # in this cell!</v>
          </cell>
          <cell r="F2213" t="str">
            <v>OK</v>
          </cell>
        </row>
        <row r="2214">
          <cell r="C2214" t="str">
            <v>&lt;-- enter valid PB./Acc. # in this cell!</v>
          </cell>
          <cell r="F2214" t="str">
            <v>OK</v>
          </cell>
        </row>
        <row r="2215">
          <cell r="C2215" t="str">
            <v>&lt;-- enter valid PB./Acc. # in this cell!</v>
          </cell>
          <cell r="F2215" t="str">
            <v>OK</v>
          </cell>
        </row>
        <row r="2216">
          <cell r="C2216" t="str">
            <v>&lt;-- enter valid PB./Acc. # in this cell!</v>
          </cell>
          <cell r="F2216" t="str">
            <v>OK</v>
          </cell>
        </row>
        <row r="2217">
          <cell r="C2217" t="str">
            <v>&lt;-- enter valid PB./Acc. # in this cell!</v>
          </cell>
          <cell r="F2217" t="str">
            <v>OK</v>
          </cell>
        </row>
        <row r="2218">
          <cell r="C2218" t="str">
            <v>&lt;-- enter valid PB./Acc. # in this cell!</v>
          </cell>
          <cell r="F2218" t="str">
            <v>OK</v>
          </cell>
        </row>
        <row r="2219">
          <cell r="C2219" t="str">
            <v>&lt;-- enter valid PB./Acc. # in this cell!</v>
          </cell>
          <cell r="F2219" t="str">
            <v>OK</v>
          </cell>
        </row>
        <row r="2220">
          <cell r="C2220" t="str">
            <v>&lt;-- enter valid PB./Acc. # in this cell!</v>
          </cell>
          <cell r="F2220" t="str">
            <v>OK</v>
          </cell>
        </row>
        <row r="2221">
          <cell r="C2221" t="str">
            <v>&lt;-- enter valid PB./Acc. # in this cell!</v>
          </cell>
          <cell r="F2221" t="str">
            <v>OK</v>
          </cell>
        </row>
        <row r="2222">
          <cell r="C2222" t="str">
            <v>&lt;-- enter valid PB./Acc. # in this cell!</v>
          </cell>
          <cell r="F2222" t="str">
            <v>OK</v>
          </cell>
        </row>
        <row r="2223">
          <cell r="C2223" t="str">
            <v>&lt;-- enter valid PB./Acc. # in this cell!</v>
          </cell>
          <cell r="F2223" t="str">
            <v>OK</v>
          </cell>
        </row>
        <row r="2224">
          <cell r="C2224" t="str">
            <v>&lt;-- enter valid PB./Acc. # in this cell!</v>
          </cell>
          <cell r="F2224" t="str">
            <v>OK</v>
          </cell>
        </row>
        <row r="2225">
          <cell r="C2225" t="str">
            <v>&lt;-- enter valid PB./Acc. # in this cell!</v>
          </cell>
          <cell r="F2225" t="str">
            <v>OK</v>
          </cell>
        </row>
        <row r="2226">
          <cell r="C2226" t="str">
            <v>&lt;-- enter valid PB./Acc. # in this cell!</v>
          </cell>
          <cell r="F2226" t="str">
            <v>OK</v>
          </cell>
        </row>
        <row r="2227">
          <cell r="C2227" t="str">
            <v>&lt;-- enter valid PB./Acc. # in this cell!</v>
          </cell>
          <cell r="F2227" t="str">
            <v>OK</v>
          </cell>
        </row>
        <row r="2228">
          <cell r="C2228" t="str">
            <v>&lt;-- enter valid PB./Acc. # in this cell!</v>
          </cell>
          <cell r="F2228" t="str">
            <v>OK</v>
          </cell>
        </row>
        <row r="2229">
          <cell r="C2229" t="str">
            <v>&lt;-- enter valid PB./Acc. # in this cell!</v>
          </cell>
          <cell r="F2229" t="str">
            <v>OK</v>
          </cell>
        </row>
        <row r="2230">
          <cell r="C2230" t="str">
            <v>&lt;-- enter valid PB./Acc. # in this cell!</v>
          </cell>
          <cell r="F2230" t="str">
            <v>OK</v>
          </cell>
        </row>
        <row r="2231">
          <cell r="C2231" t="str">
            <v>&lt;-- enter valid PB./Acc. # in this cell!</v>
          </cell>
          <cell r="F2231" t="str">
            <v>OK</v>
          </cell>
        </row>
        <row r="2232">
          <cell r="C2232" t="str">
            <v>&lt;-- enter valid PB./Acc. # in this cell!</v>
          </cell>
          <cell r="F2232" t="str">
            <v>OK</v>
          </cell>
        </row>
        <row r="2233">
          <cell r="C2233" t="str">
            <v>&lt;-- enter valid PB./Acc. # in this cell!</v>
          </cell>
          <cell r="F2233" t="str">
            <v>OK</v>
          </cell>
        </row>
        <row r="2234">
          <cell r="C2234" t="str">
            <v>&lt;-- enter valid PB./Acc. # in this cell!</v>
          </cell>
          <cell r="F2234" t="str">
            <v>OK</v>
          </cell>
        </row>
        <row r="2235">
          <cell r="C2235" t="str">
            <v>&lt;-- enter valid PB./Acc. # in this cell!</v>
          </cell>
          <cell r="F2235" t="str">
            <v>OK</v>
          </cell>
        </row>
        <row r="2236">
          <cell r="C2236" t="str">
            <v>&lt;-- enter valid PB./Acc. # in this cell!</v>
          </cell>
          <cell r="F2236" t="str">
            <v>OK</v>
          </cell>
        </row>
        <row r="2237">
          <cell r="C2237" t="str">
            <v>&lt;-- enter valid PB./Acc. # in this cell!</v>
          </cell>
          <cell r="F2237" t="str">
            <v>OK</v>
          </cell>
        </row>
        <row r="2238">
          <cell r="C2238" t="str">
            <v>&lt;-- enter valid PB./Acc. # in this cell!</v>
          </cell>
          <cell r="F2238" t="str">
            <v>OK</v>
          </cell>
        </row>
        <row r="2239">
          <cell r="C2239" t="str">
            <v>&lt;-- enter valid PB./Acc. # in this cell!</v>
          </cell>
          <cell r="F2239" t="str">
            <v>OK</v>
          </cell>
        </row>
        <row r="2240">
          <cell r="C2240" t="str">
            <v>&lt;-- enter valid PB./Acc. # in this cell!</v>
          </cell>
          <cell r="F2240" t="str">
            <v>OK</v>
          </cell>
        </row>
        <row r="2241">
          <cell r="C2241" t="str">
            <v>&lt;-- enter valid PB./Acc. # in this cell!</v>
          </cell>
          <cell r="F2241" t="str">
            <v>OK</v>
          </cell>
        </row>
        <row r="2242">
          <cell r="C2242" t="str">
            <v>&lt;-- enter valid PB./Acc. # in this cell!</v>
          </cell>
          <cell r="F2242" t="str">
            <v>OK</v>
          </cell>
        </row>
        <row r="2243">
          <cell r="C2243" t="str">
            <v>&lt;-- enter valid PB./Acc. # in this cell!</v>
          </cell>
          <cell r="F2243" t="str">
            <v>OK</v>
          </cell>
        </row>
        <row r="2244">
          <cell r="C2244" t="str">
            <v>&lt;-- enter valid PB./Acc. # in this cell!</v>
          </cell>
          <cell r="F2244" t="str">
            <v>OK</v>
          </cell>
        </row>
        <row r="2245">
          <cell r="C2245" t="str">
            <v>&lt;-- enter valid PB./Acc. # in this cell!</v>
          </cell>
          <cell r="F2245" t="str">
            <v>OK</v>
          </cell>
        </row>
        <row r="2246">
          <cell r="C2246" t="str">
            <v>&lt;-- enter valid PB./Acc. # in this cell!</v>
          </cell>
          <cell r="F2246" t="str">
            <v>OK</v>
          </cell>
        </row>
        <row r="2247">
          <cell r="C2247" t="str">
            <v>&lt;-- enter valid PB./Acc. # in this cell!</v>
          </cell>
          <cell r="F2247" t="str">
            <v>OK</v>
          </cell>
        </row>
        <row r="2248">
          <cell r="C2248" t="str">
            <v>&lt;-- enter valid PB./Acc. # in this cell!</v>
          </cell>
          <cell r="F2248" t="str">
            <v>OK</v>
          </cell>
        </row>
        <row r="2249">
          <cell r="C2249" t="str">
            <v>&lt;-- enter valid PB./Acc. # in this cell!</v>
          </cell>
          <cell r="F2249" t="str">
            <v>OK</v>
          </cell>
        </row>
        <row r="2250">
          <cell r="C2250" t="str">
            <v>&lt;-- enter valid PB./Acc. # in this cell!</v>
          </cell>
          <cell r="F2250" t="str">
            <v>OK</v>
          </cell>
        </row>
        <row r="2251">
          <cell r="C2251" t="str">
            <v>&lt;-- enter valid PB./Acc. # in this cell!</v>
          </cell>
          <cell r="F2251" t="str">
            <v>OK</v>
          </cell>
        </row>
        <row r="2252">
          <cell r="C2252" t="str">
            <v>&lt;-- enter valid PB./Acc. # in this cell!</v>
          </cell>
          <cell r="F2252" t="str">
            <v>OK</v>
          </cell>
        </row>
        <row r="2253">
          <cell r="C2253" t="str">
            <v>&lt;-- enter valid PB./Acc. # in this cell!</v>
          </cell>
          <cell r="F2253" t="str">
            <v>OK</v>
          </cell>
        </row>
        <row r="2254">
          <cell r="C2254" t="str">
            <v>&lt;-- enter valid PB./Acc. # in this cell!</v>
          </cell>
          <cell r="F2254" t="str">
            <v>OK</v>
          </cell>
        </row>
        <row r="2255">
          <cell r="C2255" t="str">
            <v>&lt;-- enter valid PB./Acc. # in this cell!</v>
          </cell>
          <cell r="F2255" t="str">
            <v>OK</v>
          </cell>
        </row>
        <row r="2256">
          <cell r="C2256" t="str">
            <v>&lt;-- enter valid PB./Acc. # in this cell!</v>
          </cell>
          <cell r="F2256" t="str">
            <v>OK</v>
          </cell>
        </row>
        <row r="2257">
          <cell r="C2257" t="str">
            <v>&lt;-- enter valid PB./Acc. # in this cell!</v>
          </cell>
          <cell r="F2257" t="str">
            <v>OK</v>
          </cell>
        </row>
        <row r="2258">
          <cell r="C2258" t="str">
            <v>&lt;-- enter valid PB./Acc. # in this cell!</v>
          </cell>
          <cell r="F2258" t="str">
            <v>OK</v>
          </cell>
        </row>
        <row r="2259">
          <cell r="C2259" t="str">
            <v>&lt;-- enter valid PB./Acc. # in this cell!</v>
          </cell>
          <cell r="F2259" t="str">
            <v>OK</v>
          </cell>
        </row>
        <row r="2260">
          <cell r="C2260" t="str">
            <v>&lt;-- enter valid PB./Acc. # in this cell!</v>
          </cell>
          <cell r="F2260" t="str">
            <v>OK</v>
          </cell>
        </row>
        <row r="2261">
          <cell r="C2261" t="str">
            <v>&lt;-- enter valid PB./Acc. # in this cell!</v>
          </cell>
          <cell r="F2261" t="str">
            <v>OK</v>
          </cell>
        </row>
        <row r="2262">
          <cell r="C2262" t="str">
            <v>&lt;-- enter valid PB./Acc. # in this cell!</v>
          </cell>
          <cell r="F2262" t="str">
            <v>OK</v>
          </cell>
        </row>
        <row r="2263">
          <cell r="C2263" t="str">
            <v>&lt;-- enter valid PB./Acc. # in this cell!</v>
          </cell>
          <cell r="F2263" t="str">
            <v>OK</v>
          </cell>
        </row>
        <row r="2264">
          <cell r="C2264" t="str">
            <v>&lt;-- enter valid PB./Acc. # in this cell!</v>
          </cell>
          <cell r="F2264" t="str">
            <v>OK</v>
          </cell>
        </row>
        <row r="2265">
          <cell r="C2265" t="str">
            <v>&lt;-- enter valid PB./Acc. # in this cell!</v>
          </cell>
          <cell r="F2265" t="str">
            <v>OK</v>
          </cell>
        </row>
        <row r="2266">
          <cell r="C2266" t="str">
            <v>&lt;-- enter valid PB./Acc. # in this cell!</v>
          </cell>
          <cell r="F2266" t="str">
            <v>OK</v>
          </cell>
        </row>
        <row r="2267">
          <cell r="C2267" t="str">
            <v>&lt;-- enter valid PB./Acc. # in this cell!</v>
          </cell>
          <cell r="F2267" t="str">
            <v>OK</v>
          </cell>
        </row>
        <row r="2268">
          <cell r="C2268" t="str">
            <v>&lt;-- enter valid PB./Acc. # in this cell!</v>
          </cell>
          <cell r="F2268" t="str">
            <v>OK</v>
          </cell>
        </row>
        <row r="2269">
          <cell r="C2269" t="str">
            <v>&lt;-- enter valid PB./Acc. # in this cell!</v>
          </cell>
          <cell r="F2269" t="str">
            <v>OK</v>
          </cell>
        </row>
        <row r="2270">
          <cell r="C2270" t="str">
            <v>&lt;-- enter valid PB./Acc. # in this cell!</v>
          </cell>
          <cell r="F2270" t="str">
            <v>OK</v>
          </cell>
        </row>
        <row r="2271">
          <cell r="C2271" t="str">
            <v>&lt;-- enter valid PB./Acc. # in this cell!</v>
          </cell>
          <cell r="F2271" t="str">
            <v>OK</v>
          </cell>
        </row>
        <row r="2272">
          <cell r="C2272" t="str">
            <v>&lt;-- enter valid PB./Acc. # in this cell!</v>
          </cell>
          <cell r="F2272" t="str">
            <v>OK</v>
          </cell>
        </row>
        <row r="2273">
          <cell r="C2273" t="str">
            <v>&lt;-- enter valid PB./Acc. # in this cell!</v>
          </cell>
          <cell r="F2273" t="str">
            <v>OK</v>
          </cell>
        </row>
        <row r="2274">
          <cell r="C2274" t="str">
            <v>&lt;-- enter valid PB./Acc. # in this cell!</v>
          </cell>
          <cell r="F2274" t="str">
            <v>OK</v>
          </cell>
        </row>
        <row r="2275">
          <cell r="C2275" t="str">
            <v>&lt;-- enter valid PB./Acc. # in this cell!</v>
          </cell>
          <cell r="F2275" t="str">
            <v>OK</v>
          </cell>
        </row>
        <row r="2276">
          <cell r="C2276" t="str">
            <v>&lt;-- enter valid PB./Acc. # in this cell!</v>
          </cell>
          <cell r="F2276" t="str">
            <v>OK</v>
          </cell>
        </row>
        <row r="2277">
          <cell r="C2277" t="str">
            <v>&lt;-- enter valid PB./Acc. # in this cell!</v>
          </cell>
          <cell r="F2277" t="str">
            <v>OK</v>
          </cell>
        </row>
        <row r="2278">
          <cell r="C2278" t="str">
            <v>&lt;-- enter valid PB./Acc. # in this cell!</v>
          </cell>
          <cell r="F2278" t="str">
            <v>OK</v>
          </cell>
        </row>
        <row r="2279">
          <cell r="C2279" t="str">
            <v>&lt;-- enter valid PB./Acc. # in this cell!</v>
          </cell>
          <cell r="F2279" t="str">
            <v>OK</v>
          </cell>
        </row>
        <row r="2280">
          <cell r="C2280" t="str">
            <v>&lt;-- enter valid PB./Acc. # in this cell!</v>
          </cell>
          <cell r="F2280" t="str">
            <v>OK</v>
          </cell>
        </row>
        <row r="2281">
          <cell r="C2281" t="str">
            <v>&lt;-- enter valid PB./Acc. # in this cell!</v>
          </cell>
          <cell r="F2281" t="str">
            <v>OK</v>
          </cell>
        </row>
        <row r="2282">
          <cell r="C2282" t="str">
            <v>&lt;-- enter valid PB./Acc. # in this cell!</v>
          </cell>
          <cell r="F2282" t="str">
            <v>OK</v>
          </cell>
        </row>
        <row r="2283">
          <cell r="C2283" t="str">
            <v>&lt;-- enter valid PB./Acc. # in this cell!</v>
          </cell>
          <cell r="F2283" t="str">
            <v>OK</v>
          </cell>
        </row>
        <row r="2284">
          <cell r="C2284" t="str">
            <v>&lt;-- enter valid PB./Acc. # in this cell!</v>
          </cell>
          <cell r="F2284" t="str">
            <v>OK</v>
          </cell>
        </row>
        <row r="2285">
          <cell r="C2285" t="str">
            <v>&lt;-- enter valid PB./Acc. # in this cell!</v>
          </cell>
          <cell r="F2285" t="str">
            <v>OK</v>
          </cell>
        </row>
        <row r="2286">
          <cell r="C2286" t="str">
            <v>&lt;-- enter valid PB./Acc. # in this cell!</v>
          </cell>
          <cell r="F2286" t="str">
            <v>OK</v>
          </cell>
        </row>
        <row r="2287">
          <cell r="C2287" t="str">
            <v>&lt;-- enter valid PB./Acc. # in this cell!</v>
          </cell>
          <cell r="F2287" t="str">
            <v>OK</v>
          </cell>
        </row>
        <row r="2288">
          <cell r="C2288" t="str">
            <v>&lt;-- enter valid PB./Acc. # in this cell!</v>
          </cell>
          <cell r="F2288" t="str">
            <v>OK</v>
          </cell>
        </row>
        <row r="2289">
          <cell r="C2289" t="str">
            <v>&lt;-- enter valid PB./Acc. # in this cell!</v>
          </cell>
          <cell r="F2289" t="str">
            <v>OK</v>
          </cell>
        </row>
        <row r="2290">
          <cell r="C2290" t="str">
            <v>&lt;-- enter valid PB./Acc. # in this cell!</v>
          </cell>
          <cell r="F2290" t="str">
            <v>OK</v>
          </cell>
        </row>
        <row r="2291">
          <cell r="C2291" t="str">
            <v>&lt;-- enter valid PB./Acc. # in this cell!</v>
          </cell>
          <cell r="F2291" t="str">
            <v>OK</v>
          </cell>
        </row>
        <row r="2292">
          <cell r="C2292" t="str">
            <v>&lt;-- enter valid PB./Acc. # in this cell!</v>
          </cell>
          <cell r="F2292" t="str">
            <v>OK</v>
          </cell>
        </row>
        <row r="2293">
          <cell r="C2293" t="str">
            <v>&lt;-- enter valid PB./Acc. # in this cell!</v>
          </cell>
          <cell r="F2293" t="str">
            <v>OK</v>
          </cell>
        </row>
        <row r="2294">
          <cell r="C2294" t="str">
            <v>&lt;-- enter valid PB./Acc. # in this cell!</v>
          </cell>
          <cell r="F2294" t="str">
            <v>OK</v>
          </cell>
        </row>
        <row r="2295">
          <cell r="C2295" t="str">
            <v>&lt;-- enter valid PB./Acc. # in this cell!</v>
          </cell>
          <cell r="F2295" t="str">
            <v>OK</v>
          </cell>
        </row>
        <row r="2296">
          <cell r="C2296" t="str">
            <v>&lt;-- enter valid PB./Acc. # in this cell!</v>
          </cell>
          <cell r="F2296" t="str">
            <v>OK</v>
          </cell>
        </row>
        <row r="2297">
          <cell r="C2297" t="str">
            <v>&lt;-- enter valid PB./Acc. # in this cell!</v>
          </cell>
          <cell r="F2297" t="str">
            <v>OK</v>
          </cell>
        </row>
        <row r="2298">
          <cell r="C2298" t="str">
            <v>&lt;-- enter valid PB./Acc. # in this cell!</v>
          </cell>
          <cell r="F2298" t="str">
            <v>OK</v>
          </cell>
        </row>
        <row r="2299">
          <cell r="C2299" t="str">
            <v>&lt;-- enter valid PB./Acc. # in this cell!</v>
          </cell>
          <cell r="F2299" t="str">
            <v>OK</v>
          </cell>
        </row>
        <row r="2300">
          <cell r="C2300" t="str">
            <v>&lt;-- enter valid PB./Acc. # in this cell!</v>
          </cell>
          <cell r="F2300" t="str">
            <v>OK</v>
          </cell>
        </row>
        <row r="2301">
          <cell r="C2301" t="str">
            <v>&lt;-- enter valid PB./Acc. # in this cell!</v>
          </cell>
          <cell r="F2301" t="str">
            <v>OK</v>
          </cell>
        </row>
        <row r="2302">
          <cell r="C2302" t="str">
            <v>&lt;-- enter valid PB./Acc. # in this cell!</v>
          </cell>
          <cell r="F2302" t="str">
            <v>OK</v>
          </cell>
        </row>
        <row r="2303">
          <cell r="C2303" t="str">
            <v>&lt;-- enter valid PB./Acc. # in this cell!</v>
          </cell>
          <cell r="F2303" t="str">
            <v>OK</v>
          </cell>
        </row>
        <row r="2304">
          <cell r="C2304" t="str">
            <v>&lt;-- enter valid PB./Acc. # in this cell!</v>
          </cell>
          <cell r="F2304" t="str">
            <v>OK</v>
          </cell>
        </row>
        <row r="2305">
          <cell r="C2305" t="str">
            <v>&lt;-- enter valid PB./Acc. # in this cell!</v>
          </cell>
          <cell r="F2305" t="str">
            <v>OK</v>
          </cell>
        </row>
        <row r="2306">
          <cell r="C2306" t="str">
            <v>&lt;-- enter valid PB./Acc. # in this cell!</v>
          </cell>
          <cell r="F2306" t="str">
            <v>OK</v>
          </cell>
        </row>
        <row r="2307">
          <cell r="C2307" t="str">
            <v>&lt;-- enter valid PB./Acc. # in this cell!</v>
          </cell>
          <cell r="F2307" t="str">
            <v>OK</v>
          </cell>
        </row>
        <row r="2308">
          <cell r="C2308" t="str">
            <v>&lt;-- enter valid PB./Acc. # in this cell!</v>
          </cell>
          <cell r="F2308" t="str">
            <v>OK</v>
          </cell>
        </row>
        <row r="2309">
          <cell r="C2309" t="str">
            <v>&lt;-- enter valid PB./Acc. # in this cell!</v>
          </cell>
          <cell r="F2309" t="str">
            <v>OK</v>
          </cell>
        </row>
        <row r="2310">
          <cell r="C2310" t="str">
            <v>&lt;-- enter valid PB./Acc. # in this cell!</v>
          </cell>
          <cell r="F2310" t="str">
            <v>OK</v>
          </cell>
        </row>
        <row r="2311">
          <cell r="C2311" t="str">
            <v>&lt;-- enter valid PB./Acc. # in this cell!</v>
          </cell>
          <cell r="F2311" t="str">
            <v>OK</v>
          </cell>
        </row>
        <row r="2312">
          <cell r="C2312" t="str">
            <v>&lt;-- enter valid PB./Acc. # in this cell!</v>
          </cell>
          <cell r="F2312" t="str">
            <v>OK</v>
          </cell>
        </row>
        <row r="2313">
          <cell r="C2313" t="str">
            <v>&lt;-- enter valid PB./Acc. # in this cell!</v>
          </cell>
          <cell r="F2313" t="str">
            <v>OK</v>
          </cell>
        </row>
        <row r="2314">
          <cell r="C2314" t="str">
            <v>&lt;-- enter valid PB./Acc. # in this cell!</v>
          </cell>
          <cell r="F2314" t="str">
            <v>OK</v>
          </cell>
        </row>
        <row r="2315">
          <cell r="C2315" t="str">
            <v>&lt;-- enter valid PB./Acc. # in this cell!</v>
          </cell>
          <cell r="F2315" t="str">
            <v>OK</v>
          </cell>
        </row>
        <row r="2316">
          <cell r="C2316" t="str">
            <v>&lt;-- enter valid PB./Acc. # in this cell!</v>
          </cell>
          <cell r="F2316" t="str">
            <v>OK</v>
          </cell>
        </row>
        <row r="2317">
          <cell r="C2317" t="str">
            <v>&lt;-- enter valid PB./Acc. # in this cell!</v>
          </cell>
          <cell r="F2317" t="str">
            <v>OK</v>
          </cell>
        </row>
        <row r="2318">
          <cell r="C2318" t="str">
            <v>&lt;-- enter valid PB./Acc. # in this cell!</v>
          </cell>
          <cell r="F2318" t="str">
            <v>OK</v>
          </cell>
        </row>
        <row r="2319">
          <cell r="C2319" t="str">
            <v>&lt;-- enter valid PB./Acc. # in this cell!</v>
          </cell>
          <cell r="F2319" t="str">
            <v>OK</v>
          </cell>
        </row>
        <row r="2320">
          <cell r="C2320" t="str">
            <v>&lt;-- enter valid PB./Acc. # in this cell!</v>
          </cell>
          <cell r="F2320" t="str">
            <v>OK</v>
          </cell>
        </row>
        <row r="2321">
          <cell r="C2321" t="str">
            <v>&lt;-- enter valid PB./Acc. # in this cell!</v>
          </cell>
          <cell r="F2321" t="str">
            <v>OK</v>
          </cell>
        </row>
        <row r="2322">
          <cell r="C2322" t="str">
            <v>&lt;-- enter valid PB./Acc. # in this cell!</v>
          </cell>
          <cell r="F2322" t="str">
            <v>OK</v>
          </cell>
        </row>
        <row r="2323">
          <cell r="C2323" t="str">
            <v>&lt;-- enter valid PB./Acc. # in this cell!</v>
          </cell>
          <cell r="F2323" t="str">
            <v>OK</v>
          </cell>
        </row>
        <row r="2324">
          <cell r="C2324" t="str">
            <v>&lt;-- enter valid PB./Acc. # in this cell!</v>
          </cell>
          <cell r="F2324" t="str">
            <v>OK</v>
          </cell>
        </row>
        <row r="2325">
          <cell r="C2325" t="str">
            <v>&lt;-- enter valid PB./Acc. # in this cell!</v>
          </cell>
          <cell r="F2325" t="str">
            <v>OK</v>
          </cell>
        </row>
        <row r="2326">
          <cell r="C2326" t="str">
            <v>&lt;-- enter valid PB./Acc. # in this cell!</v>
          </cell>
          <cell r="F2326" t="str">
            <v>OK</v>
          </cell>
        </row>
        <row r="2327">
          <cell r="C2327" t="str">
            <v>&lt;-- enter valid PB./Acc. # in this cell!</v>
          </cell>
          <cell r="F2327" t="str">
            <v>OK</v>
          </cell>
        </row>
        <row r="2328">
          <cell r="C2328" t="str">
            <v>&lt;-- enter valid PB./Acc. # in this cell!</v>
          </cell>
          <cell r="F2328" t="str">
            <v>OK</v>
          </cell>
        </row>
        <row r="2329">
          <cell r="C2329" t="str">
            <v>&lt;-- enter valid PB./Acc. # in this cell!</v>
          </cell>
          <cell r="F2329" t="str">
            <v>OK</v>
          </cell>
        </row>
        <row r="2330">
          <cell r="C2330" t="str">
            <v>&lt;-- enter valid PB./Acc. # in this cell!</v>
          </cell>
          <cell r="F2330" t="str">
            <v>OK</v>
          </cell>
        </row>
        <row r="2331">
          <cell r="C2331" t="str">
            <v>&lt;-- enter valid PB./Acc. # in this cell!</v>
          </cell>
          <cell r="F2331" t="str">
            <v>OK</v>
          </cell>
        </row>
        <row r="2332">
          <cell r="C2332" t="str">
            <v>&lt;-- enter valid PB./Acc. # in this cell!</v>
          </cell>
          <cell r="F2332" t="str">
            <v>OK</v>
          </cell>
        </row>
        <row r="2333">
          <cell r="C2333" t="str">
            <v>&lt;-- enter valid PB./Acc. # in this cell!</v>
          </cell>
          <cell r="F2333" t="str">
            <v>OK</v>
          </cell>
        </row>
        <row r="2334">
          <cell r="C2334" t="str">
            <v>&lt;-- enter valid PB./Acc. # in this cell!</v>
          </cell>
          <cell r="F2334" t="str">
            <v>OK</v>
          </cell>
        </row>
        <row r="2335">
          <cell r="C2335" t="str">
            <v>&lt;-- enter valid PB./Acc. # in this cell!</v>
          </cell>
          <cell r="F2335" t="str">
            <v>OK</v>
          </cell>
        </row>
        <row r="2336">
          <cell r="C2336" t="str">
            <v>&lt;-- enter valid PB./Acc. # in this cell!</v>
          </cell>
          <cell r="F2336" t="str">
            <v>OK</v>
          </cell>
        </row>
        <row r="2337">
          <cell r="C2337" t="str">
            <v>&lt;-- enter valid PB./Acc. # in this cell!</v>
          </cell>
          <cell r="F2337" t="str">
            <v>OK</v>
          </cell>
        </row>
        <row r="2338">
          <cell r="C2338" t="str">
            <v>&lt;-- enter valid PB./Acc. # in this cell!</v>
          </cell>
          <cell r="F2338" t="str">
            <v>OK</v>
          </cell>
        </row>
        <row r="2339">
          <cell r="C2339" t="str">
            <v>&lt;-- enter valid PB./Acc. # in this cell!</v>
          </cell>
          <cell r="F2339" t="str">
            <v>OK</v>
          </cell>
        </row>
        <row r="2340">
          <cell r="C2340" t="str">
            <v>&lt;-- enter valid PB./Acc. # in this cell!</v>
          </cell>
          <cell r="F2340" t="str">
            <v>OK</v>
          </cell>
        </row>
        <row r="2341">
          <cell r="C2341" t="str">
            <v>&lt;-- enter valid PB./Acc. # in this cell!</v>
          </cell>
          <cell r="F2341" t="str">
            <v>OK</v>
          </cell>
        </row>
        <row r="2342">
          <cell r="C2342" t="str">
            <v>&lt;-- enter valid PB./Acc. # in this cell!</v>
          </cell>
          <cell r="F2342" t="str">
            <v>OK</v>
          </cell>
        </row>
        <row r="2343">
          <cell r="C2343" t="str">
            <v>&lt;-- enter valid PB./Acc. # in this cell!</v>
          </cell>
          <cell r="F2343" t="str">
            <v>OK</v>
          </cell>
        </row>
        <row r="2344">
          <cell r="C2344" t="str">
            <v>&lt;-- enter valid PB./Acc. # in this cell!</v>
          </cell>
          <cell r="F2344" t="str">
            <v>OK</v>
          </cell>
        </row>
        <row r="2345">
          <cell r="C2345" t="str">
            <v>&lt;-- enter valid PB./Acc. # in this cell!</v>
          </cell>
          <cell r="F2345" t="str">
            <v>OK</v>
          </cell>
        </row>
        <row r="2346">
          <cell r="C2346" t="str">
            <v>&lt;-- enter valid PB./Acc. # in this cell!</v>
          </cell>
          <cell r="F2346" t="str">
            <v>OK</v>
          </cell>
        </row>
        <row r="2347">
          <cell r="C2347" t="str">
            <v>&lt;-- enter valid PB./Acc. # in this cell!</v>
          </cell>
          <cell r="F2347" t="str">
            <v>OK</v>
          </cell>
        </row>
        <row r="2348">
          <cell r="C2348" t="str">
            <v>&lt;-- enter valid PB./Acc. # in this cell!</v>
          </cell>
          <cell r="F2348" t="str">
            <v>OK</v>
          </cell>
        </row>
        <row r="2349">
          <cell r="C2349" t="str">
            <v>&lt;-- enter valid PB./Acc. # in this cell!</v>
          </cell>
          <cell r="F2349" t="str">
            <v>OK</v>
          </cell>
        </row>
        <row r="2350">
          <cell r="C2350" t="str">
            <v>&lt;-- enter valid PB./Acc. # in this cell!</v>
          </cell>
          <cell r="F2350" t="str">
            <v>OK</v>
          </cell>
        </row>
        <row r="2351">
          <cell r="C2351" t="str">
            <v>&lt;-- enter valid PB./Acc. # in this cell!</v>
          </cell>
          <cell r="F2351" t="str">
            <v>OK</v>
          </cell>
        </row>
        <row r="2352">
          <cell r="C2352" t="str">
            <v>&lt;-- enter valid PB./Acc. # in this cell!</v>
          </cell>
          <cell r="F2352" t="str">
            <v>OK</v>
          </cell>
        </row>
        <row r="2353">
          <cell r="C2353" t="str">
            <v>&lt;-- enter valid PB./Acc. # in this cell!</v>
          </cell>
          <cell r="F2353" t="str">
            <v>OK</v>
          </cell>
        </row>
        <row r="2354">
          <cell r="C2354" t="str">
            <v>&lt;-- enter valid PB./Acc. # in this cell!</v>
          </cell>
          <cell r="F2354" t="str">
            <v>OK</v>
          </cell>
        </row>
        <row r="2355">
          <cell r="C2355" t="str">
            <v>&lt;-- enter valid PB./Acc. # in this cell!</v>
          </cell>
          <cell r="F2355" t="str">
            <v>OK</v>
          </cell>
        </row>
        <row r="2356">
          <cell r="C2356" t="str">
            <v>&lt;-- enter valid PB./Acc. # in this cell!</v>
          </cell>
          <cell r="F2356" t="str">
            <v>OK</v>
          </cell>
        </row>
        <row r="2357">
          <cell r="C2357" t="str">
            <v>&lt;-- enter valid PB./Acc. # in this cell!</v>
          </cell>
          <cell r="F2357" t="str">
            <v>OK</v>
          </cell>
        </row>
        <row r="2358">
          <cell r="C2358" t="str">
            <v>&lt;-- enter valid PB./Acc. # in this cell!</v>
          </cell>
          <cell r="F2358" t="str">
            <v>OK</v>
          </cell>
        </row>
        <row r="2359">
          <cell r="C2359" t="str">
            <v>&lt;-- enter valid PB./Acc. # in this cell!</v>
          </cell>
          <cell r="F2359" t="str">
            <v>OK</v>
          </cell>
        </row>
        <row r="2360">
          <cell r="C2360" t="str">
            <v>&lt;-- enter valid PB./Acc. # in this cell!</v>
          </cell>
          <cell r="F2360" t="str">
            <v>OK</v>
          </cell>
        </row>
        <row r="2361">
          <cell r="C2361" t="str">
            <v>&lt;-- enter valid PB./Acc. # in this cell!</v>
          </cell>
          <cell r="F2361" t="str">
            <v>OK</v>
          </cell>
        </row>
        <row r="2362">
          <cell r="C2362" t="str">
            <v>&lt;-- enter valid PB./Acc. # in this cell!</v>
          </cell>
          <cell r="F2362" t="str">
            <v>OK</v>
          </cell>
        </row>
        <row r="2363">
          <cell r="C2363" t="str">
            <v>&lt;-- enter valid PB./Acc. # in this cell!</v>
          </cell>
          <cell r="F2363" t="str">
            <v>OK</v>
          </cell>
        </row>
        <row r="2364">
          <cell r="C2364" t="str">
            <v>&lt;-- enter valid PB./Acc. # in this cell!</v>
          </cell>
          <cell r="F2364" t="str">
            <v>OK</v>
          </cell>
        </row>
        <row r="2365">
          <cell r="C2365" t="str">
            <v>&lt;-- enter valid PB./Acc. # in this cell!</v>
          </cell>
          <cell r="F2365" t="str">
            <v>OK</v>
          </cell>
        </row>
        <row r="2366">
          <cell r="C2366" t="str">
            <v>&lt;-- enter valid PB./Acc. # in this cell!</v>
          </cell>
          <cell r="F2366" t="str">
            <v>OK</v>
          </cell>
        </row>
        <row r="2367">
          <cell r="C2367" t="str">
            <v>&lt;-- enter valid PB./Acc. # in this cell!</v>
          </cell>
          <cell r="F2367" t="str">
            <v>OK</v>
          </cell>
        </row>
        <row r="2368">
          <cell r="C2368" t="str">
            <v>&lt;-- enter valid PB./Acc. # in this cell!</v>
          </cell>
          <cell r="F2368" t="str">
            <v>OK</v>
          </cell>
        </row>
        <row r="2369">
          <cell r="C2369" t="str">
            <v>&lt;-- enter valid PB./Acc. # in this cell!</v>
          </cell>
          <cell r="F2369" t="str">
            <v>OK</v>
          </cell>
        </row>
        <row r="2370">
          <cell r="C2370" t="str">
            <v>&lt;-- enter valid PB./Acc. # in this cell!</v>
          </cell>
          <cell r="F2370" t="str">
            <v>OK</v>
          </cell>
        </row>
        <row r="2371">
          <cell r="C2371" t="str">
            <v>&lt;-- enter valid PB./Acc. # in this cell!</v>
          </cell>
          <cell r="F2371" t="str">
            <v>OK</v>
          </cell>
        </row>
        <row r="2372">
          <cell r="C2372" t="str">
            <v>&lt;-- enter valid PB./Acc. # in this cell!</v>
          </cell>
          <cell r="F2372" t="str">
            <v>OK</v>
          </cell>
        </row>
        <row r="2373">
          <cell r="C2373" t="str">
            <v>&lt;-- enter valid PB./Acc. # in this cell!</v>
          </cell>
          <cell r="F2373" t="str">
            <v>OK</v>
          </cell>
        </row>
        <row r="2374">
          <cell r="C2374" t="str">
            <v>&lt;-- enter valid PB./Acc. # in this cell!</v>
          </cell>
          <cell r="F2374" t="str">
            <v>OK</v>
          </cell>
        </row>
        <row r="2375">
          <cell r="C2375" t="str">
            <v>&lt;-- enter valid PB./Acc. # in this cell!</v>
          </cell>
          <cell r="F2375" t="str">
            <v>OK</v>
          </cell>
        </row>
        <row r="2376">
          <cell r="C2376" t="str">
            <v>&lt;-- enter valid PB./Acc. # in this cell!</v>
          </cell>
          <cell r="F2376" t="str">
            <v>OK</v>
          </cell>
        </row>
        <row r="2377">
          <cell r="C2377" t="str">
            <v>&lt;-- enter valid PB./Acc. # in this cell!</v>
          </cell>
          <cell r="F2377" t="str">
            <v>OK</v>
          </cell>
        </row>
        <row r="2378">
          <cell r="C2378" t="str">
            <v>&lt;-- enter valid PB./Acc. # in this cell!</v>
          </cell>
          <cell r="F2378" t="str">
            <v>OK</v>
          </cell>
        </row>
        <row r="2379">
          <cell r="C2379" t="str">
            <v>&lt;-- enter valid PB./Acc. # in this cell!</v>
          </cell>
          <cell r="F2379" t="str">
            <v>OK</v>
          </cell>
        </row>
        <row r="2380">
          <cell r="C2380" t="str">
            <v>&lt;-- enter valid PB./Acc. # in this cell!</v>
          </cell>
          <cell r="F2380" t="str">
            <v>OK</v>
          </cell>
        </row>
        <row r="2381">
          <cell r="C2381" t="str">
            <v>&lt;-- enter valid PB./Acc. # in this cell!</v>
          </cell>
          <cell r="F2381" t="str">
            <v>OK</v>
          </cell>
        </row>
        <row r="2382">
          <cell r="C2382" t="str">
            <v>&lt;-- enter valid PB./Acc. # in this cell!</v>
          </cell>
          <cell r="F2382" t="str">
            <v>OK</v>
          </cell>
        </row>
        <row r="2383">
          <cell r="C2383" t="str">
            <v>&lt;-- enter valid PB./Acc. # in this cell!</v>
          </cell>
          <cell r="F2383" t="str">
            <v>OK</v>
          </cell>
        </row>
        <row r="2384">
          <cell r="C2384" t="str">
            <v>&lt;-- enter valid PB./Acc. # in this cell!</v>
          </cell>
          <cell r="F2384" t="str">
            <v>OK</v>
          </cell>
        </row>
        <row r="2385">
          <cell r="C2385" t="str">
            <v>&lt;-- enter valid PB./Acc. # in this cell!</v>
          </cell>
          <cell r="F2385" t="str">
            <v>OK</v>
          </cell>
        </row>
        <row r="2386">
          <cell r="C2386" t="str">
            <v>&lt;-- enter valid PB./Acc. # in this cell!</v>
          </cell>
          <cell r="F2386" t="str">
            <v>OK</v>
          </cell>
        </row>
        <row r="2387">
          <cell r="C2387" t="str">
            <v>&lt;-- enter valid PB./Acc. # in this cell!</v>
          </cell>
          <cell r="F2387" t="str">
            <v>OK</v>
          </cell>
        </row>
        <row r="2388">
          <cell r="C2388" t="str">
            <v>&lt;-- enter valid PB./Acc. # in this cell!</v>
          </cell>
          <cell r="F2388" t="str">
            <v>OK</v>
          </cell>
        </row>
        <row r="2389">
          <cell r="C2389" t="str">
            <v>&lt;-- enter valid PB./Acc. # in this cell!</v>
          </cell>
          <cell r="F2389" t="str">
            <v>OK</v>
          </cell>
        </row>
        <row r="2390">
          <cell r="C2390" t="str">
            <v>&lt;-- enter valid PB./Acc. # in this cell!</v>
          </cell>
          <cell r="F2390" t="str">
            <v>OK</v>
          </cell>
        </row>
        <row r="2391">
          <cell r="C2391" t="str">
            <v>&lt;-- enter valid PB./Acc. # in this cell!</v>
          </cell>
          <cell r="F2391" t="str">
            <v>OK</v>
          </cell>
        </row>
        <row r="2392">
          <cell r="C2392" t="str">
            <v>&lt;-- enter valid PB./Acc. # in this cell!</v>
          </cell>
          <cell r="F2392" t="str">
            <v>OK</v>
          </cell>
        </row>
        <row r="2393">
          <cell r="C2393" t="str">
            <v>&lt;-- enter valid PB./Acc. # in this cell!</v>
          </cell>
          <cell r="F2393" t="str">
            <v>OK</v>
          </cell>
        </row>
        <row r="2394">
          <cell r="C2394" t="str">
            <v>&lt;-- enter valid PB./Acc. # in this cell!</v>
          </cell>
          <cell r="F2394" t="str">
            <v>OK</v>
          </cell>
        </row>
        <row r="2395">
          <cell r="C2395" t="str">
            <v>&lt;-- enter valid PB./Acc. # in this cell!</v>
          </cell>
          <cell r="F2395" t="str">
            <v>OK</v>
          </cell>
        </row>
        <row r="2396">
          <cell r="C2396" t="str">
            <v>&lt;-- enter valid PB./Acc. # in this cell!</v>
          </cell>
          <cell r="F2396" t="str">
            <v>OK</v>
          </cell>
        </row>
        <row r="2397">
          <cell r="C2397" t="str">
            <v>&lt;-- enter valid PB./Acc. # in this cell!</v>
          </cell>
          <cell r="F2397" t="str">
            <v>OK</v>
          </cell>
        </row>
        <row r="2398">
          <cell r="C2398" t="str">
            <v>&lt;-- enter valid PB./Acc. # in this cell!</v>
          </cell>
          <cell r="F2398" t="str">
            <v>OK</v>
          </cell>
        </row>
        <row r="2399">
          <cell r="C2399" t="str">
            <v>&lt;-- enter valid PB./Acc. # in this cell!</v>
          </cell>
          <cell r="F2399" t="str">
            <v>OK</v>
          </cell>
        </row>
        <row r="2400">
          <cell r="A2400" t="str">
            <v>Total Balances of February 2016</v>
          </cell>
          <cell r="F2400" t="str">
            <v>OK</v>
          </cell>
          <cell r="G2400">
            <v>0</v>
          </cell>
          <cell r="H2400">
            <v>0</v>
          </cell>
          <cell r="I2400">
            <v>0</v>
          </cell>
          <cell r="J2400">
            <v>0</v>
          </cell>
          <cell r="K2400">
            <v>0</v>
          </cell>
          <cell r="L2400">
            <v>0</v>
          </cell>
          <cell r="M2400">
            <v>0</v>
          </cell>
          <cell r="N2400">
            <v>0</v>
          </cell>
          <cell r="O2400">
            <v>0</v>
          </cell>
          <cell r="P2400">
            <v>0</v>
          </cell>
          <cell r="Q2400">
            <v>0</v>
          </cell>
          <cell r="R2400">
            <v>0</v>
          </cell>
          <cell r="S2400">
            <v>0</v>
          </cell>
          <cell r="T2400">
            <v>0</v>
          </cell>
          <cell r="AQ2400">
            <v>0</v>
          </cell>
        </row>
        <row r="2401">
          <cell r="A2401">
            <v>42460</v>
          </cell>
        </row>
        <row r="2402">
          <cell r="C2402" t="str">
            <v>&lt;-- enter valid PB./Acc. # in this cell!</v>
          </cell>
          <cell r="F2402" t="str">
            <v>OK</v>
          </cell>
        </row>
        <row r="2403">
          <cell r="C2403" t="str">
            <v>&lt;-- enter valid PB./Acc. # in this cell!</v>
          </cell>
          <cell r="F2403" t="str">
            <v>OK</v>
          </cell>
        </row>
        <row r="2404">
          <cell r="C2404" t="str">
            <v>&lt;-- enter valid PB./Acc. # in this cell!</v>
          </cell>
          <cell r="F2404" t="str">
            <v>OK</v>
          </cell>
        </row>
        <row r="2405">
          <cell r="C2405" t="str">
            <v>&lt;-- enter valid PB./Acc. # in this cell!</v>
          </cell>
          <cell r="F2405" t="str">
            <v>OK</v>
          </cell>
        </row>
        <row r="2406">
          <cell r="C2406" t="str">
            <v>&lt;-- enter valid PB./Acc. # in this cell!</v>
          </cell>
          <cell r="F2406" t="str">
            <v>OK</v>
          </cell>
        </row>
        <row r="2407">
          <cell r="C2407" t="str">
            <v>&lt;-- enter valid PB./Acc. # in this cell!</v>
          </cell>
          <cell r="F2407" t="str">
            <v>OK</v>
          </cell>
        </row>
        <row r="2408">
          <cell r="C2408" t="str">
            <v>&lt;-- enter valid PB./Acc. # in this cell!</v>
          </cell>
          <cell r="F2408" t="str">
            <v>OK</v>
          </cell>
        </row>
        <row r="2409">
          <cell r="C2409" t="str">
            <v>&lt;-- enter valid PB./Acc. # in this cell!</v>
          </cell>
          <cell r="F2409" t="str">
            <v>OK</v>
          </cell>
        </row>
        <row r="2410">
          <cell r="C2410" t="str">
            <v>&lt;-- enter valid PB./Acc. # in this cell!</v>
          </cell>
          <cell r="F2410" t="str">
            <v>OK</v>
          </cell>
        </row>
        <row r="2411">
          <cell r="C2411" t="str">
            <v>&lt;-- enter valid PB./Acc. # in this cell!</v>
          </cell>
          <cell r="F2411" t="str">
            <v>OK</v>
          </cell>
        </row>
        <row r="2412">
          <cell r="C2412" t="str">
            <v>&lt;-- enter valid PB./Acc. # in this cell!</v>
          </cell>
          <cell r="F2412" t="str">
            <v>OK</v>
          </cell>
        </row>
        <row r="2413">
          <cell r="C2413" t="str">
            <v>&lt;-- enter valid PB./Acc. # in this cell!</v>
          </cell>
          <cell r="F2413" t="str">
            <v>OK</v>
          </cell>
        </row>
        <row r="2414">
          <cell r="C2414" t="str">
            <v>&lt;-- enter valid PB./Acc. # in this cell!</v>
          </cell>
          <cell r="F2414" t="str">
            <v>OK</v>
          </cell>
        </row>
        <row r="2415">
          <cell r="C2415" t="str">
            <v>&lt;-- enter valid PB./Acc. # in this cell!</v>
          </cell>
          <cell r="F2415" t="str">
            <v>OK</v>
          </cell>
        </row>
        <row r="2416">
          <cell r="C2416" t="str">
            <v>&lt;-- enter valid PB./Acc. # in this cell!</v>
          </cell>
          <cell r="F2416" t="str">
            <v>OK</v>
          </cell>
        </row>
        <row r="2417">
          <cell r="C2417" t="str">
            <v>&lt;-- enter valid PB./Acc. # in this cell!</v>
          </cell>
          <cell r="F2417" t="str">
            <v>OK</v>
          </cell>
        </row>
        <row r="2418">
          <cell r="C2418" t="str">
            <v>&lt;-- enter valid PB./Acc. # in this cell!</v>
          </cell>
          <cell r="F2418" t="str">
            <v>OK</v>
          </cell>
        </row>
        <row r="2419">
          <cell r="C2419" t="str">
            <v>&lt;-- enter valid PB./Acc. # in this cell!</v>
          </cell>
          <cell r="F2419" t="str">
            <v>OK</v>
          </cell>
        </row>
        <row r="2420">
          <cell r="C2420" t="str">
            <v>&lt;-- enter valid PB./Acc. # in this cell!</v>
          </cell>
          <cell r="F2420" t="str">
            <v>OK</v>
          </cell>
        </row>
        <row r="2421">
          <cell r="C2421" t="str">
            <v>&lt;-- enter valid PB./Acc. # in this cell!</v>
          </cell>
          <cell r="F2421" t="str">
            <v>OK</v>
          </cell>
        </row>
        <row r="2422">
          <cell r="C2422" t="str">
            <v>&lt;-- enter valid PB./Acc. # in this cell!</v>
          </cell>
          <cell r="F2422" t="str">
            <v>OK</v>
          </cell>
        </row>
        <row r="2423">
          <cell r="C2423" t="str">
            <v>&lt;-- enter valid PB./Acc. # in this cell!</v>
          </cell>
          <cell r="F2423" t="str">
            <v>OK</v>
          </cell>
        </row>
        <row r="2424">
          <cell r="C2424" t="str">
            <v>&lt;-- enter valid PB./Acc. # in this cell!</v>
          </cell>
          <cell r="F2424" t="str">
            <v>OK</v>
          </cell>
        </row>
        <row r="2425">
          <cell r="C2425" t="str">
            <v>&lt;-- enter valid PB./Acc. # in this cell!</v>
          </cell>
          <cell r="F2425" t="str">
            <v>OK</v>
          </cell>
        </row>
        <row r="2426">
          <cell r="C2426" t="str">
            <v>&lt;-- enter valid PB./Acc. # in this cell!</v>
          </cell>
          <cell r="F2426" t="str">
            <v>OK</v>
          </cell>
        </row>
        <row r="2427">
          <cell r="C2427" t="str">
            <v>&lt;-- enter valid PB./Acc. # in this cell!</v>
          </cell>
          <cell r="F2427" t="str">
            <v>OK</v>
          </cell>
        </row>
        <row r="2428">
          <cell r="C2428" t="str">
            <v>&lt;-- enter valid PB./Acc. # in this cell!</v>
          </cell>
          <cell r="F2428" t="str">
            <v>OK</v>
          </cell>
        </row>
        <row r="2429">
          <cell r="C2429" t="str">
            <v>&lt;-- enter valid PB./Acc. # in this cell!</v>
          </cell>
          <cell r="F2429" t="str">
            <v>OK</v>
          </cell>
        </row>
        <row r="2430">
          <cell r="C2430" t="str">
            <v>&lt;-- enter valid PB./Acc. # in this cell!</v>
          </cell>
          <cell r="F2430" t="str">
            <v>OK</v>
          </cell>
        </row>
        <row r="2431">
          <cell r="C2431" t="str">
            <v>&lt;-- enter valid PB./Acc. # in this cell!</v>
          </cell>
          <cell r="F2431" t="str">
            <v>OK</v>
          </cell>
        </row>
        <row r="2432">
          <cell r="C2432" t="str">
            <v>&lt;-- enter valid PB./Acc. # in this cell!</v>
          </cell>
          <cell r="F2432" t="str">
            <v>OK</v>
          </cell>
        </row>
        <row r="2433">
          <cell r="C2433" t="str">
            <v>&lt;-- enter valid PB./Acc. # in this cell!</v>
          </cell>
          <cell r="F2433" t="str">
            <v>OK</v>
          </cell>
        </row>
        <row r="2434">
          <cell r="C2434" t="str">
            <v>&lt;-- enter valid PB./Acc. # in this cell!</v>
          </cell>
          <cell r="F2434" t="str">
            <v>OK</v>
          </cell>
        </row>
        <row r="2435">
          <cell r="C2435" t="str">
            <v>&lt;-- enter valid PB./Acc. # in this cell!</v>
          </cell>
          <cell r="F2435" t="str">
            <v>OK</v>
          </cell>
        </row>
        <row r="2436">
          <cell r="C2436" t="str">
            <v>&lt;-- enter valid PB./Acc. # in this cell!</v>
          </cell>
          <cell r="F2436" t="str">
            <v>OK</v>
          </cell>
        </row>
        <row r="2437">
          <cell r="C2437" t="str">
            <v>&lt;-- enter valid PB./Acc. # in this cell!</v>
          </cell>
          <cell r="F2437" t="str">
            <v>OK</v>
          </cell>
        </row>
        <row r="2438">
          <cell r="C2438" t="str">
            <v>&lt;-- enter valid PB./Acc. # in this cell!</v>
          </cell>
          <cell r="F2438" t="str">
            <v>OK</v>
          </cell>
        </row>
        <row r="2439">
          <cell r="C2439" t="str">
            <v>&lt;-- enter valid PB./Acc. # in this cell!</v>
          </cell>
          <cell r="F2439" t="str">
            <v>OK</v>
          </cell>
        </row>
        <row r="2440">
          <cell r="C2440" t="str">
            <v>&lt;-- enter valid PB./Acc. # in this cell!</v>
          </cell>
          <cell r="F2440" t="str">
            <v>OK</v>
          </cell>
        </row>
        <row r="2441">
          <cell r="C2441" t="str">
            <v>&lt;-- enter valid PB./Acc. # in this cell!</v>
          </cell>
          <cell r="F2441" t="str">
            <v>OK</v>
          </cell>
        </row>
        <row r="2442">
          <cell r="C2442" t="str">
            <v>&lt;-- enter valid PB./Acc. # in this cell!</v>
          </cell>
          <cell r="F2442" t="str">
            <v>OK</v>
          </cell>
        </row>
        <row r="2443">
          <cell r="C2443" t="str">
            <v>&lt;-- enter valid PB./Acc. # in this cell!</v>
          </cell>
          <cell r="F2443" t="str">
            <v>OK</v>
          </cell>
        </row>
        <row r="2444">
          <cell r="C2444" t="str">
            <v>&lt;-- enter valid PB./Acc. # in this cell!</v>
          </cell>
          <cell r="F2444" t="str">
            <v>OK</v>
          </cell>
        </row>
        <row r="2445">
          <cell r="C2445" t="str">
            <v>&lt;-- enter valid PB./Acc. # in this cell!</v>
          </cell>
          <cell r="F2445" t="str">
            <v>OK</v>
          </cell>
        </row>
        <row r="2446">
          <cell r="C2446" t="str">
            <v>&lt;-- enter valid PB./Acc. # in this cell!</v>
          </cell>
          <cell r="F2446" t="str">
            <v>OK</v>
          </cell>
        </row>
        <row r="2447">
          <cell r="C2447" t="str">
            <v>&lt;-- enter valid PB./Acc. # in this cell!</v>
          </cell>
          <cell r="F2447" t="str">
            <v>OK</v>
          </cell>
        </row>
        <row r="2448">
          <cell r="C2448" t="str">
            <v>&lt;-- enter valid PB./Acc. # in this cell!</v>
          </cell>
          <cell r="F2448" t="str">
            <v>OK</v>
          </cell>
        </row>
        <row r="2449">
          <cell r="C2449" t="str">
            <v>&lt;-- enter valid PB./Acc. # in this cell!</v>
          </cell>
          <cell r="F2449" t="str">
            <v>OK</v>
          </cell>
        </row>
        <row r="2450">
          <cell r="C2450" t="str">
            <v>&lt;-- enter valid PB./Acc. # in this cell!</v>
          </cell>
          <cell r="F2450" t="str">
            <v>OK</v>
          </cell>
        </row>
        <row r="2451">
          <cell r="C2451" t="str">
            <v>&lt;-- enter valid PB./Acc. # in this cell!</v>
          </cell>
          <cell r="F2451" t="str">
            <v>OK</v>
          </cell>
        </row>
        <row r="2452">
          <cell r="C2452" t="str">
            <v>&lt;-- enter valid PB./Acc. # in this cell!</v>
          </cell>
          <cell r="F2452" t="str">
            <v>OK</v>
          </cell>
        </row>
        <row r="2453">
          <cell r="C2453" t="str">
            <v>&lt;-- enter valid PB./Acc. # in this cell!</v>
          </cell>
          <cell r="F2453" t="str">
            <v>OK</v>
          </cell>
        </row>
        <row r="2454">
          <cell r="C2454" t="str">
            <v>&lt;-- enter valid PB./Acc. # in this cell!</v>
          </cell>
          <cell r="F2454" t="str">
            <v>OK</v>
          </cell>
        </row>
        <row r="2455">
          <cell r="C2455" t="str">
            <v>&lt;-- enter valid PB./Acc. # in this cell!</v>
          </cell>
          <cell r="F2455" t="str">
            <v>OK</v>
          </cell>
        </row>
        <row r="2456">
          <cell r="C2456" t="str">
            <v>&lt;-- enter valid PB./Acc. # in this cell!</v>
          </cell>
          <cell r="F2456" t="str">
            <v>OK</v>
          </cell>
        </row>
        <row r="2457">
          <cell r="C2457" t="str">
            <v>&lt;-- enter valid PB./Acc. # in this cell!</v>
          </cell>
          <cell r="F2457" t="str">
            <v>OK</v>
          </cell>
        </row>
        <row r="2458">
          <cell r="C2458" t="str">
            <v>&lt;-- enter valid PB./Acc. # in this cell!</v>
          </cell>
          <cell r="F2458" t="str">
            <v>OK</v>
          </cell>
        </row>
        <row r="2459">
          <cell r="C2459" t="str">
            <v>&lt;-- enter valid PB./Acc. # in this cell!</v>
          </cell>
          <cell r="F2459" t="str">
            <v>OK</v>
          </cell>
        </row>
        <row r="2460">
          <cell r="C2460" t="str">
            <v>&lt;-- enter valid PB./Acc. # in this cell!</v>
          </cell>
          <cell r="F2460" t="str">
            <v>OK</v>
          </cell>
        </row>
        <row r="2461">
          <cell r="C2461" t="str">
            <v>&lt;-- enter valid PB./Acc. # in this cell!</v>
          </cell>
          <cell r="F2461" t="str">
            <v>OK</v>
          </cell>
        </row>
        <row r="2462">
          <cell r="C2462" t="str">
            <v>&lt;-- enter valid PB./Acc. # in this cell!</v>
          </cell>
          <cell r="F2462" t="str">
            <v>OK</v>
          </cell>
        </row>
        <row r="2463">
          <cell r="C2463" t="str">
            <v>&lt;-- enter valid PB./Acc. # in this cell!</v>
          </cell>
          <cell r="F2463" t="str">
            <v>OK</v>
          </cell>
        </row>
        <row r="2464">
          <cell r="C2464" t="str">
            <v>&lt;-- enter valid PB./Acc. # in this cell!</v>
          </cell>
          <cell r="F2464" t="str">
            <v>OK</v>
          </cell>
        </row>
        <row r="2465">
          <cell r="C2465" t="str">
            <v>&lt;-- enter valid PB./Acc. # in this cell!</v>
          </cell>
          <cell r="F2465" t="str">
            <v>OK</v>
          </cell>
        </row>
        <row r="2466">
          <cell r="C2466" t="str">
            <v>&lt;-- enter valid PB./Acc. # in this cell!</v>
          </cell>
          <cell r="F2466" t="str">
            <v>OK</v>
          </cell>
        </row>
        <row r="2467">
          <cell r="C2467" t="str">
            <v>&lt;-- enter valid PB./Acc. # in this cell!</v>
          </cell>
          <cell r="F2467" t="str">
            <v>OK</v>
          </cell>
        </row>
        <row r="2468">
          <cell r="C2468" t="str">
            <v>&lt;-- enter valid PB./Acc. # in this cell!</v>
          </cell>
          <cell r="F2468" t="str">
            <v>OK</v>
          </cell>
        </row>
        <row r="2469">
          <cell r="C2469" t="str">
            <v>&lt;-- enter valid PB./Acc. # in this cell!</v>
          </cell>
          <cell r="F2469" t="str">
            <v>OK</v>
          </cell>
        </row>
        <row r="2470">
          <cell r="C2470" t="str">
            <v>&lt;-- enter valid PB./Acc. # in this cell!</v>
          </cell>
          <cell r="F2470" t="str">
            <v>OK</v>
          </cell>
        </row>
        <row r="2471">
          <cell r="C2471" t="str">
            <v>&lt;-- enter valid PB./Acc. # in this cell!</v>
          </cell>
          <cell r="F2471" t="str">
            <v>OK</v>
          </cell>
        </row>
        <row r="2472">
          <cell r="C2472" t="str">
            <v>&lt;-- enter valid PB./Acc. # in this cell!</v>
          </cell>
          <cell r="F2472" t="str">
            <v>OK</v>
          </cell>
        </row>
        <row r="2473">
          <cell r="C2473" t="str">
            <v>&lt;-- enter valid PB./Acc. # in this cell!</v>
          </cell>
          <cell r="F2473" t="str">
            <v>OK</v>
          </cell>
        </row>
        <row r="2474">
          <cell r="C2474" t="str">
            <v>&lt;-- enter valid PB./Acc. # in this cell!</v>
          </cell>
          <cell r="F2474" t="str">
            <v>OK</v>
          </cell>
        </row>
        <row r="2475">
          <cell r="C2475" t="str">
            <v>&lt;-- enter valid PB./Acc. # in this cell!</v>
          </cell>
          <cell r="F2475" t="str">
            <v>OK</v>
          </cell>
        </row>
        <row r="2476">
          <cell r="C2476" t="str">
            <v>&lt;-- enter valid PB./Acc. # in this cell!</v>
          </cell>
          <cell r="F2476" t="str">
            <v>OK</v>
          </cell>
        </row>
        <row r="2477">
          <cell r="C2477" t="str">
            <v>&lt;-- enter valid PB./Acc. # in this cell!</v>
          </cell>
          <cell r="F2477" t="str">
            <v>OK</v>
          </cell>
        </row>
        <row r="2478">
          <cell r="C2478" t="str">
            <v>&lt;-- enter valid PB./Acc. # in this cell!</v>
          </cell>
          <cell r="F2478" t="str">
            <v>OK</v>
          </cell>
        </row>
        <row r="2479">
          <cell r="C2479" t="str">
            <v>&lt;-- enter valid PB./Acc. # in this cell!</v>
          </cell>
          <cell r="F2479" t="str">
            <v>OK</v>
          </cell>
        </row>
        <row r="2480">
          <cell r="C2480" t="str">
            <v>&lt;-- enter valid PB./Acc. # in this cell!</v>
          </cell>
          <cell r="F2480" t="str">
            <v>OK</v>
          </cell>
        </row>
        <row r="2481">
          <cell r="C2481" t="str">
            <v>&lt;-- enter valid PB./Acc. # in this cell!</v>
          </cell>
          <cell r="F2481" t="str">
            <v>OK</v>
          </cell>
        </row>
        <row r="2482">
          <cell r="C2482" t="str">
            <v>&lt;-- enter valid PB./Acc. # in this cell!</v>
          </cell>
          <cell r="F2482" t="str">
            <v>OK</v>
          </cell>
        </row>
        <row r="2483">
          <cell r="C2483" t="str">
            <v>&lt;-- enter valid PB./Acc. # in this cell!</v>
          </cell>
          <cell r="F2483" t="str">
            <v>OK</v>
          </cell>
        </row>
        <row r="2484">
          <cell r="C2484" t="str">
            <v>&lt;-- enter valid PB./Acc. # in this cell!</v>
          </cell>
          <cell r="F2484" t="str">
            <v>OK</v>
          </cell>
        </row>
        <row r="2485">
          <cell r="C2485" t="str">
            <v>&lt;-- enter valid PB./Acc. # in this cell!</v>
          </cell>
          <cell r="F2485" t="str">
            <v>OK</v>
          </cell>
        </row>
        <row r="2486">
          <cell r="C2486" t="str">
            <v>&lt;-- enter valid PB./Acc. # in this cell!</v>
          </cell>
          <cell r="F2486" t="str">
            <v>OK</v>
          </cell>
        </row>
        <row r="2487">
          <cell r="C2487" t="str">
            <v>&lt;-- enter valid PB./Acc. # in this cell!</v>
          </cell>
          <cell r="F2487" t="str">
            <v>OK</v>
          </cell>
        </row>
        <row r="2488">
          <cell r="C2488" t="str">
            <v>&lt;-- enter valid PB./Acc. # in this cell!</v>
          </cell>
          <cell r="F2488" t="str">
            <v>OK</v>
          </cell>
        </row>
        <row r="2489">
          <cell r="C2489" t="str">
            <v>&lt;-- enter valid PB./Acc. # in this cell!</v>
          </cell>
          <cell r="F2489" t="str">
            <v>OK</v>
          </cell>
        </row>
        <row r="2490">
          <cell r="C2490" t="str">
            <v>&lt;-- enter valid PB./Acc. # in this cell!</v>
          </cell>
          <cell r="F2490" t="str">
            <v>OK</v>
          </cell>
        </row>
        <row r="2491">
          <cell r="C2491" t="str">
            <v>&lt;-- enter valid PB./Acc. # in this cell!</v>
          </cell>
          <cell r="F2491" t="str">
            <v>OK</v>
          </cell>
        </row>
        <row r="2492">
          <cell r="C2492" t="str">
            <v>&lt;-- enter valid PB./Acc. # in this cell!</v>
          </cell>
          <cell r="F2492" t="str">
            <v>OK</v>
          </cell>
        </row>
        <row r="2493">
          <cell r="C2493" t="str">
            <v>&lt;-- enter valid PB./Acc. # in this cell!</v>
          </cell>
          <cell r="F2493" t="str">
            <v>OK</v>
          </cell>
        </row>
        <row r="2494">
          <cell r="C2494" t="str">
            <v>&lt;-- enter valid PB./Acc. # in this cell!</v>
          </cell>
          <cell r="F2494" t="str">
            <v>OK</v>
          </cell>
        </row>
        <row r="2495">
          <cell r="C2495" t="str">
            <v>&lt;-- enter valid PB./Acc. # in this cell!</v>
          </cell>
          <cell r="F2495" t="str">
            <v>OK</v>
          </cell>
        </row>
        <row r="2496">
          <cell r="C2496" t="str">
            <v>&lt;-- enter valid PB./Acc. # in this cell!</v>
          </cell>
          <cell r="F2496" t="str">
            <v>OK</v>
          </cell>
        </row>
        <row r="2497">
          <cell r="C2497" t="str">
            <v>&lt;-- enter valid PB./Acc. # in this cell!</v>
          </cell>
          <cell r="F2497" t="str">
            <v>OK</v>
          </cell>
        </row>
        <row r="2498">
          <cell r="C2498" t="str">
            <v>&lt;-- enter valid PB./Acc. # in this cell!</v>
          </cell>
          <cell r="F2498" t="str">
            <v>OK</v>
          </cell>
        </row>
        <row r="2499">
          <cell r="C2499" t="str">
            <v>&lt;-- enter valid PB./Acc. # in this cell!</v>
          </cell>
          <cell r="F2499" t="str">
            <v>OK</v>
          </cell>
        </row>
        <row r="2500">
          <cell r="C2500" t="str">
            <v>&lt;-- enter valid PB./Acc. # in this cell!</v>
          </cell>
          <cell r="F2500" t="str">
            <v>OK</v>
          </cell>
        </row>
        <row r="2501">
          <cell r="C2501" t="str">
            <v>&lt;-- enter valid PB./Acc. # in this cell!</v>
          </cell>
          <cell r="F2501" t="str">
            <v>OK</v>
          </cell>
        </row>
        <row r="2502">
          <cell r="C2502" t="str">
            <v>&lt;-- enter valid PB./Acc. # in this cell!</v>
          </cell>
          <cell r="F2502" t="str">
            <v>OK</v>
          </cell>
        </row>
        <row r="2503">
          <cell r="C2503" t="str">
            <v>&lt;-- enter valid PB./Acc. # in this cell!</v>
          </cell>
          <cell r="F2503" t="str">
            <v>OK</v>
          </cell>
        </row>
        <row r="2504">
          <cell r="C2504" t="str">
            <v>&lt;-- enter valid PB./Acc. # in this cell!</v>
          </cell>
          <cell r="F2504" t="str">
            <v>OK</v>
          </cell>
        </row>
        <row r="2505">
          <cell r="C2505" t="str">
            <v>&lt;-- enter valid PB./Acc. # in this cell!</v>
          </cell>
          <cell r="F2505" t="str">
            <v>OK</v>
          </cell>
        </row>
        <row r="2506">
          <cell r="C2506" t="str">
            <v>&lt;-- enter valid PB./Acc. # in this cell!</v>
          </cell>
          <cell r="F2506" t="str">
            <v>OK</v>
          </cell>
        </row>
        <row r="2507">
          <cell r="C2507" t="str">
            <v>&lt;-- enter valid PB./Acc. # in this cell!</v>
          </cell>
          <cell r="F2507" t="str">
            <v>OK</v>
          </cell>
        </row>
        <row r="2508">
          <cell r="C2508" t="str">
            <v>&lt;-- enter valid PB./Acc. # in this cell!</v>
          </cell>
          <cell r="F2508" t="str">
            <v>OK</v>
          </cell>
        </row>
        <row r="2509">
          <cell r="C2509" t="str">
            <v>&lt;-- enter valid PB./Acc. # in this cell!</v>
          </cell>
          <cell r="F2509" t="str">
            <v>OK</v>
          </cell>
        </row>
        <row r="2510">
          <cell r="C2510" t="str">
            <v>&lt;-- enter valid PB./Acc. # in this cell!</v>
          </cell>
          <cell r="F2510" t="str">
            <v>OK</v>
          </cell>
        </row>
        <row r="2511">
          <cell r="C2511" t="str">
            <v>&lt;-- enter valid PB./Acc. # in this cell!</v>
          </cell>
          <cell r="F2511" t="str">
            <v>OK</v>
          </cell>
        </row>
        <row r="2512">
          <cell r="C2512" t="str">
            <v>&lt;-- enter valid PB./Acc. # in this cell!</v>
          </cell>
          <cell r="F2512" t="str">
            <v>OK</v>
          </cell>
        </row>
        <row r="2513">
          <cell r="C2513" t="str">
            <v>&lt;-- enter valid PB./Acc. # in this cell!</v>
          </cell>
          <cell r="F2513" t="str">
            <v>OK</v>
          </cell>
        </row>
        <row r="2514">
          <cell r="C2514" t="str">
            <v>&lt;-- enter valid PB./Acc. # in this cell!</v>
          </cell>
          <cell r="F2514" t="str">
            <v>OK</v>
          </cell>
        </row>
        <row r="2515">
          <cell r="C2515" t="str">
            <v>&lt;-- enter valid PB./Acc. # in this cell!</v>
          </cell>
          <cell r="F2515" t="str">
            <v>OK</v>
          </cell>
        </row>
        <row r="2516">
          <cell r="C2516" t="str">
            <v>&lt;-- enter valid PB./Acc. # in this cell!</v>
          </cell>
          <cell r="F2516" t="str">
            <v>OK</v>
          </cell>
        </row>
        <row r="2517">
          <cell r="C2517" t="str">
            <v>&lt;-- enter valid PB./Acc. # in this cell!</v>
          </cell>
          <cell r="F2517" t="str">
            <v>OK</v>
          </cell>
        </row>
        <row r="2518">
          <cell r="C2518" t="str">
            <v>&lt;-- enter valid PB./Acc. # in this cell!</v>
          </cell>
          <cell r="F2518" t="str">
            <v>OK</v>
          </cell>
        </row>
        <row r="2519">
          <cell r="C2519" t="str">
            <v>&lt;-- enter valid PB./Acc. # in this cell!</v>
          </cell>
          <cell r="F2519" t="str">
            <v>OK</v>
          </cell>
        </row>
        <row r="2520">
          <cell r="C2520" t="str">
            <v>&lt;-- enter valid PB./Acc. # in this cell!</v>
          </cell>
          <cell r="F2520" t="str">
            <v>OK</v>
          </cell>
        </row>
        <row r="2521">
          <cell r="C2521" t="str">
            <v>&lt;-- enter valid PB./Acc. # in this cell!</v>
          </cell>
          <cell r="F2521" t="str">
            <v>OK</v>
          </cell>
        </row>
        <row r="2522">
          <cell r="C2522" t="str">
            <v>&lt;-- enter valid PB./Acc. # in this cell!</v>
          </cell>
          <cell r="F2522" t="str">
            <v>OK</v>
          </cell>
        </row>
        <row r="2523">
          <cell r="C2523" t="str">
            <v>&lt;-- enter valid PB./Acc. # in this cell!</v>
          </cell>
          <cell r="F2523" t="str">
            <v>OK</v>
          </cell>
        </row>
        <row r="2524">
          <cell r="C2524" t="str">
            <v>&lt;-- enter valid PB./Acc. # in this cell!</v>
          </cell>
          <cell r="F2524" t="str">
            <v>OK</v>
          </cell>
        </row>
        <row r="2525">
          <cell r="C2525" t="str">
            <v>&lt;-- enter valid PB./Acc. # in this cell!</v>
          </cell>
          <cell r="F2525" t="str">
            <v>OK</v>
          </cell>
        </row>
        <row r="2526">
          <cell r="C2526" t="str">
            <v>&lt;-- enter valid PB./Acc. # in this cell!</v>
          </cell>
          <cell r="F2526" t="str">
            <v>OK</v>
          </cell>
        </row>
        <row r="2527">
          <cell r="C2527" t="str">
            <v>&lt;-- enter valid PB./Acc. # in this cell!</v>
          </cell>
          <cell r="F2527" t="str">
            <v>OK</v>
          </cell>
        </row>
        <row r="2528">
          <cell r="C2528" t="str">
            <v>&lt;-- enter valid PB./Acc. # in this cell!</v>
          </cell>
          <cell r="F2528" t="str">
            <v>OK</v>
          </cell>
        </row>
        <row r="2529">
          <cell r="C2529" t="str">
            <v>&lt;-- enter valid PB./Acc. # in this cell!</v>
          </cell>
          <cell r="F2529" t="str">
            <v>OK</v>
          </cell>
        </row>
        <row r="2530">
          <cell r="C2530" t="str">
            <v>&lt;-- enter valid PB./Acc. # in this cell!</v>
          </cell>
          <cell r="F2530" t="str">
            <v>OK</v>
          </cell>
        </row>
        <row r="2531">
          <cell r="C2531" t="str">
            <v>&lt;-- enter valid PB./Acc. # in this cell!</v>
          </cell>
          <cell r="F2531" t="str">
            <v>OK</v>
          </cell>
        </row>
        <row r="2532">
          <cell r="C2532" t="str">
            <v>&lt;-- enter valid PB./Acc. # in this cell!</v>
          </cell>
          <cell r="F2532" t="str">
            <v>OK</v>
          </cell>
        </row>
        <row r="2533">
          <cell r="C2533" t="str">
            <v>&lt;-- enter valid PB./Acc. # in this cell!</v>
          </cell>
          <cell r="F2533" t="str">
            <v>OK</v>
          </cell>
        </row>
        <row r="2534">
          <cell r="C2534" t="str">
            <v>&lt;-- enter valid PB./Acc. # in this cell!</v>
          </cell>
          <cell r="F2534" t="str">
            <v>OK</v>
          </cell>
        </row>
        <row r="2535">
          <cell r="C2535" t="str">
            <v>&lt;-- enter valid PB./Acc. # in this cell!</v>
          </cell>
          <cell r="F2535" t="str">
            <v>OK</v>
          </cell>
        </row>
        <row r="2536">
          <cell r="C2536" t="str">
            <v>&lt;-- enter valid PB./Acc. # in this cell!</v>
          </cell>
          <cell r="F2536" t="str">
            <v>OK</v>
          </cell>
        </row>
        <row r="2537">
          <cell r="C2537" t="str">
            <v>&lt;-- enter valid PB./Acc. # in this cell!</v>
          </cell>
          <cell r="F2537" t="str">
            <v>OK</v>
          </cell>
        </row>
        <row r="2538">
          <cell r="C2538" t="str">
            <v>&lt;-- enter valid PB./Acc. # in this cell!</v>
          </cell>
          <cell r="F2538" t="str">
            <v>OK</v>
          </cell>
        </row>
        <row r="2539">
          <cell r="C2539" t="str">
            <v>&lt;-- enter valid PB./Acc. # in this cell!</v>
          </cell>
          <cell r="F2539" t="str">
            <v>OK</v>
          </cell>
        </row>
        <row r="2540">
          <cell r="C2540" t="str">
            <v>&lt;-- enter valid PB./Acc. # in this cell!</v>
          </cell>
          <cell r="F2540" t="str">
            <v>OK</v>
          </cell>
        </row>
        <row r="2541">
          <cell r="C2541" t="str">
            <v>&lt;-- enter valid PB./Acc. # in this cell!</v>
          </cell>
          <cell r="F2541" t="str">
            <v>OK</v>
          </cell>
        </row>
        <row r="2542">
          <cell r="C2542" t="str">
            <v>&lt;-- enter valid PB./Acc. # in this cell!</v>
          </cell>
          <cell r="F2542" t="str">
            <v>OK</v>
          </cell>
        </row>
        <row r="2543">
          <cell r="C2543" t="str">
            <v>&lt;-- enter valid PB./Acc. # in this cell!</v>
          </cell>
          <cell r="F2543" t="str">
            <v>OK</v>
          </cell>
        </row>
        <row r="2544">
          <cell r="C2544" t="str">
            <v>&lt;-- enter valid PB./Acc. # in this cell!</v>
          </cell>
          <cell r="F2544" t="str">
            <v>OK</v>
          </cell>
        </row>
        <row r="2545">
          <cell r="C2545" t="str">
            <v>&lt;-- enter valid PB./Acc. # in this cell!</v>
          </cell>
          <cell r="F2545" t="str">
            <v>OK</v>
          </cell>
        </row>
        <row r="2546">
          <cell r="C2546" t="str">
            <v>&lt;-- enter valid PB./Acc. # in this cell!</v>
          </cell>
          <cell r="F2546" t="str">
            <v>OK</v>
          </cell>
        </row>
        <row r="2547">
          <cell r="C2547" t="str">
            <v>&lt;-- enter valid PB./Acc. # in this cell!</v>
          </cell>
          <cell r="F2547" t="str">
            <v>OK</v>
          </cell>
        </row>
        <row r="2548">
          <cell r="C2548" t="str">
            <v>&lt;-- enter valid PB./Acc. # in this cell!</v>
          </cell>
          <cell r="F2548" t="str">
            <v>OK</v>
          </cell>
        </row>
        <row r="2549">
          <cell r="C2549" t="str">
            <v>&lt;-- enter valid PB./Acc. # in this cell!</v>
          </cell>
          <cell r="F2549" t="str">
            <v>OK</v>
          </cell>
        </row>
        <row r="2550">
          <cell r="C2550" t="str">
            <v>&lt;-- enter valid PB./Acc. # in this cell!</v>
          </cell>
          <cell r="F2550" t="str">
            <v>OK</v>
          </cell>
        </row>
        <row r="2551">
          <cell r="C2551" t="str">
            <v>&lt;-- enter valid PB./Acc. # in this cell!</v>
          </cell>
          <cell r="F2551" t="str">
            <v>OK</v>
          </cell>
        </row>
        <row r="2552">
          <cell r="C2552" t="str">
            <v>&lt;-- enter valid PB./Acc. # in this cell!</v>
          </cell>
          <cell r="F2552" t="str">
            <v>OK</v>
          </cell>
        </row>
        <row r="2553">
          <cell r="C2553" t="str">
            <v>&lt;-- enter valid PB./Acc. # in this cell!</v>
          </cell>
          <cell r="F2553" t="str">
            <v>OK</v>
          </cell>
        </row>
        <row r="2554">
          <cell r="C2554" t="str">
            <v>&lt;-- enter valid PB./Acc. # in this cell!</v>
          </cell>
          <cell r="F2554" t="str">
            <v>OK</v>
          </cell>
        </row>
        <row r="2555">
          <cell r="C2555" t="str">
            <v>&lt;-- enter valid PB./Acc. # in this cell!</v>
          </cell>
          <cell r="F2555" t="str">
            <v>OK</v>
          </cell>
        </row>
        <row r="2556">
          <cell r="C2556" t="str">
            <v>&lt;-- enter valid PB./Acc. # in this cell!</v>
          </cell>
          <cell r="F2556" t="str">
            <v>OK</v>
          </cell>
        </row>
        <row r="2557">
          <cell r="C2557" t="str">
            <v>&lt;-- enter valid PB./Acc. # in this cell!</v>
          </cell>
          <cell r="F2557" t="str">
            <v>OK</v>
          </cell>
        </row>
        <row r="2558">
          <cell r="C2558" t="str">
            <v>&lt;-- enter valid PB./Acc. # in this cell!</v>
          </cell>
          <cell r="F2558" t="str">
            <v>OK</v>
          </cell>
        </row>
        <row r="2559">
          <cell r="C2559" t="str">
            <v>&lt;-- enter valid PB./Acc. # in this cell!</v>
          </cell>
          <cell r="F2559" t="str">
            <v>OK</v>
          </cell>
        </row>
        <row r="2560">
          <cell r="C2560" t="str">
            <v>&lt;-- enter valid PB./Acc. # in this cell!</v>
          </cell>
          <cell r="F2560" t="str">
            <v>OK</v>
          </cell>
        </row>
        <row r="2561">
          <cell r="C2561" t="str">
            <v>&lt;-- enter valid PB./Acc. # in this cell!</v>
          </cell>
          <cell r="F2561" t="str">
            <v>OK</v>
          </cell>
        </row>
        <row r="2562">
          <cell r="C2562" t="str">
            <v>&lt;-- enter valid PB./Acc. # in this cell!</v>
          </cell>
          <cell r="F2562" t="str">
            <v>OK</v>
          </cell>
        </row>
        <row r="2563">
          <cell r="C2563" t="str">
            <v>&lt;-- enter valid PB./Acc. # in this cell!</v>
          </cell>
          <cell r="F2563" t="str">
            <v>OK</v>
          </cell>
        </row>
        <row r="2564">
          <cell r="C2564" t="str">
            <v>&lt;-- enter valid PB./Acc. # in this cell!</v>
          </cell>
          <cell r="F2564" t="str">
            <v>OK</v>
          </cell>
        </row>
        <row r="2565">
          <cell r="C2565" t="str">
            <v>&lt;-- enter valid PB./Acc. # in this cell!</v>
          </cell>
          <cell r="F2565" t="str">
            <v>OK</v>
          </cell>
        </row>
        <row r="2566">
          <cell r="C2566" t="str">
            <v>&lt;-- enter valid PB./Acc. # in this cell!</v>
          </cell>
          <cell r="F2566" t="str">
            <v>OK</v>
          </cell>
        </row>
        <row r="2567">
          <cell r="C2567" t="str">
            <v>&lt;-- enter valid PB./Acc. # in this cell!</v>
          </cell>
          <cell r="F2567" t="str">
            <v>OK</v>
          </cell>
        </row>
        <row r="2568">
          <cell r="C2568" t="str">
            <v>&lt;-- enter valid PB./Acc. # in this cell!</v>
          </cell>
          <cell r="F2568" t="str">
            <v>OK</v>
          </cell>
        </row>
        <row r="2569">
          <cell r="C2569" t="str">
            <v>&lt;-- enter valid PB./Acc. # in this cell!</v>
          </cell>
          <cell r="F2569" t="str">
            <v>OK</v>
          </cell>
        </row>
        <row r="2570">
          <cell r="C2570" t="str">
            <v>&lt;-- enter valid PB./Acc. # in this cell!</v>
          </cell>
          <cell r="F2570" t="str">
            <v>OK</v>
          </cell>
        </row>
        <row r="2571">
          <cell r="C2571" t="str">
            <v>&lt;-- enter valid PB./Acc. # in this cell!</v>
          </cell>
          <cell r="F2571" t="str">
            <v>OK</v>
          </cell>
        </row>
        <row r="2572">
          <cell r="C2572" t="str">
            <v>&lt;-- enter valid PB./Acc. # in this cell!</v>
          </cell>
          <cell r="F2572" t="str">
            <v>OK</v>
          </cell>
        </row>
        <row r="2573">
          <cell r="C2573" t="str">
            <v>&lt;-- enter valid PB./Acc. # in this cell!</v>
          </cell>
          <cell r="F2573" t="str">
            <v>OK</v>
          </cell>
        </row>
        <row r="2574">
          <cell r="C2574" t="str">
            <v>&lt;-- enter valid PB./Acc. # in this cell!</v>
          </cell>
          <cell r="F2574" t="str">
            <v>OK</v>
          </cell>
        </row>
        <row r="2575">
          <cell r="C2575" t="str">
            <v>&lt;-- enter valid PB./Acc. # in this cell!</v>
          </cell>
          <cell r="F2575" t="str">
            <v>OK</v>
          </cell>
        </row>
        <row r="2576">
          <cell r="C2576" t="str">
            <v>&lt;-- enter valid PB./Acc. # in this cell!</v>
          </cell>
          <cell r="F2576" t="str">
            <v>OK</v>
          </cell>
        </row>
        <row r="2577">
          <cell r="C2577" t="str">
            <v>&lt;-- enter valid PB./Acc. # in this cell!</v>
          </cell>
          <cell r="F2577" t="str">
            <v>OK</v>
          </cell>
        </row>
        <row r="2578">
          <cell r="C2578" t="str">
            <v>&lt;-- enter valid PB./Acc. # in this cell!</v>
          </cell>
          <cell r="F2578" t="str">
            <v>OK</v>
          </cell>
        </row>
        <row r="2579">
          <cell r="C2579" t="str">
            <v>&lt;-- enter valid PB./Acc. # in this cell!</v>
          </cell>
          <cell r="F2579" t="str">
            <v>OK</v>
          </cell>
        </row>
        <row r="2580">
          <cell r="C2580" t="str">
            <v>&lt;-- enter valid PB./Acc. # in this cell!</v>
          </cell>
          <cell r="F2580" t="str">
            <v>OK</v>
          </cell>
        </row>
        <row r="2581">
          <cell r="C2581" t="str">
            <v>&lt;-- enter valid PB./Acc. # in this cell!</v>
          </cell>
          <cell r="F2581" t="str">
            <v>OK</v>
          </cell>
        </row>
        <row r="2582">
          <cell r="C2582" t="str">
            <v>&lt;-- enter valid PB./Acc. # in this cell!</v>
          </cell>
          <cell r="F2582" t="str">
            <v>OK</v>
          </cell>
        </row>
        <row r="2583">
          <cell r="C2583" t="str">
            <v>&lt;-- enter valid PB./Acc. # in this cell!</v>
          </cell>
          <cell r="F2583" t="str">
            <v>OK</v>
          </cell>
        </row>
        <row r="2584">
          <cell r="C2584" t="str">
            <v>&lt;-- enter valid PB./Acc. # in this cell!</v>
          </cell>
          <cell r="F2584" t="str">
            <v>OK</v>
          </cell>
        </row>
        <row r="2585">
          <cell r="C2585" t="str">
            <v>&lt;-- enter valid PB./Acc. # in this cell!</v>
          </cell>
          <cell r="F2585" t="str">
            <v>OK</v>
          </cell>
        </row>
        <row r="2586">
          <cell r="C2586" t="str">
            <v>&lt;-- enter valid PB./Acc. # in this cell!</v>
          </cell>
          <cell r="F2586" t="str">
            <v>OK</v>
          </cell>
        </row>
        <row r="2587">
          <cell r="C2587" t="str">
            <v>&lt;-- enter valid PB./Acc. # in this cell!</v>
          </cell>
          <cell r="F2587" t="str">
            <v>OK</v>
          </cell>
        </row>
        <row r="2588">
          <cell r="C2588" t="str">
            <v>&lt;-- enter valid PB./Acc. # in this cell!</v>
          </cell>
          <cell r="F2588" t="str">
            <v>OK</v>
          </cell>
        </row>
        <row r="2589">
          <cell r="C2589" t="str">
            <v>&lt;-- enter valid PB./Acc. # in this cell!</v>
          </cell>
          <cell r="F2589" t="str">
            <v>OK</v>
          </cell>
        </row>
        <row r="2590">
          <cell r="C2590" t="str">
            <v>&lt;-- enter valid PB./Acc. # in this cell!</v>
          </cell>
          <cell r="F2590" t="str">
            <v>OK</v>
          </cell>
        </row>
        <row r="2591">
          <cell r="C2591" t="str">
            <v>&lt;-- enter valid PB./Acc. # in this cell!</v>
          </cell>
          <cell r="F2591" t="str">
            <v>OK</v>
          </cell>
        </row>
        <row r="2592">
          <cell r="C2592" t="str">
            <v>&lt;-- enter valid PB./Acc. # in this cell!</v>
          </cell>
          <cell r="F2592" t="str">
            <v>OK</v>
          </cell>
        </row>
        <row r="2593">
          <cell r="C2593" t="str">
            <v>&lt;-- enter valid PB./Acc. # in this cell!</v>
          </cell>
          <cell r="F2593" t="str">
            <v>OK</v>
          </cell>
        </row>
        <row r="2594">
          <cell r="C2594" t="str">
            <v>&lt;-- enter valid PB./Acc. # in this cell!</v>
          </cell>
          <cell r="F2594" t="str">
            <v>OK</v>
          </cell>
        </row>
        <row r="2595">
          <cell r="C2595" t="str">
            <v>&lt;-- enter valid PB./Acc. # in this cell!</v>
          </cell>
          <cell r="F2595" t="str">
            <v>OK</v>
          </cell>
        </row>
        <row r="2596">
          <cell r="C2596" t="str">
            <v>&lt;-- enter valid PB./Acc. # in this cell!</v>
          </cell>
          <cell r="F2596" t="str">
            <v>OK</v>
          </cell>
        </row>
        <row r="2597">
          <cell r="C2597" t="str">
            <v>&lt;-- enter valid PB./Acc. # in this cell!</v>
          </cell>
          <cell r="F2597" t="str">
            <v>OK</v>
          </cell>
        </row>
        <row r="2598">
          <cell r="C2598" t="str">
            <v>&lt;-- enter valid PB./Acc. # in this cell!</v>
          </cell>
          <cell r="F2598" t="str">
            <v>OK</v>
          </cell>
        </row>
        <row r="2599">
          <cell r="C2599" t="str">
            <v>&lt;-- enter valid PB./Acc. # in this cell!</v>
          </cell>
          <cell r="F2599" t="str">
            <v>OK</v>
          </cell>
        </row>
        <row r="2600">
          <cell r="C2600" t="str">
            <v>&lt;-- enter valid PB./Acc. # in this cell!</v>
          </cell>
          <cell r="F2600" t="str">
            <v>OK</v>
          </cell>
        </row>
        <row r="2601">
          <cell r="C2601" t="str">
            <v>&lt;-- enter valid PB./Acc. # in this cell!</v>
          </cell>
          <cell r="F2601" t="str">
            <v>OK</v>
          </cell>
        </row>
        <row r="2602">
          <cell r="C2602" t="str">
            <v>&lt;-- enter valid PB./Acc. # in this cell!</v>
          </cell>
          <cell r="F2602" t="str">
            <v>OK</v>
          </cell>
        </row>
        <row r="2603">
          <cell r="C2603" t="str">
            <v>&lt;-- enter valid PB./Acc. # in this cell!</v>
          </cell>
          <cell r="F2603" t="str">
            <v>OK</v>
          </cell>
        </row>
        <row r="2604">
          <cell r="C2604" t="str">
            <v>&lt;-- enter valid PB./Acc. # in this cell!</v>
          </cell>
          <cell r="F2604" t="str">
            <v>OK</v>
          </cell>
        </row>
        <row r="2605">
          <cell r="C2605" t="str">
            <v>&lt;-- enter valid PB./Acc. # in this cell!</v>
          </cell>
          <cell r="F2605" t="str">
            <v>OK</v>
          </cell>
        </row>
        <row r="2606">
          <cell r="C2606" t="str">
            <v>&lt;-- enter valid PB./Acc. # in this cell!</v>
          </cell>
          <cell r="F2606" t="str">
            <v>OK</v>
          </cell>
        </row>
        <row r="2607">
          <cell r="C2607" t="str">
            <v>&lt;-- enter valid PB./Acc. # in this cell!</v>
          </cell>
          <cell r="F2607" t="str">
            <v>OK</v>
          </cell>
        </row>
        <row r="2608">
          <cell r="C2608" t="str">
            <v>&lt;-- enter valid PB./Acc. # in this cell!</v>
          </cell>
          <cell r="F2608" t="str">
            <v>OK</v>
          </cell>
        </row>
        <row r="2609">
          <cell r="C2609" t="str">
            <v>&lt;-- enter valid PB./Acc. # in this cell!</v>
          </cell>
          <cell r="F2609" t="str">
            <v>OK</v>
          </cell>
        </row>
        <row r="2610">
          <cell r="C2610" t="str">
            <v>&lt;-- enter valid PB./Acc. # in this cell!</v>
          </cell>
          <cell r="F2610" t="str">
            <v>OK</v>
          </cell>
        </row>
        <row r="2611">
          <cell r="C2611" t="str">
            <v>&lt;-- enter valid PB./Acc. # in this cell!</v>
          </cell>
          <cell r="F2611" t="str">
            <v>OK</v>
          </cell>
        </row>
        <row r="2612">
          <cell r="C2612" t="str">
            <v>&lt;-- enter valid PB./Acc. # in this cell!</v>
          </cell>
          <cell r="F2612" t="str">
            <v>OK</v>
          </cell>
        </row>
        <row r="2613">
          <cell r="C2613" t="str">
            <v>&lt;-- enter valid PB./Acc. # in this cell!</v>
          </cell>
          <cell r="F2613" t="str">
            <v>OK</v>
          </cell>
        </row>
        <row r="2614">
          <cell r="C2614" t="str">
            <v>&lt;-- enter valid PB./Acc. # in this cell!</v>
          </cell>
          <cell r="F2614" t="str">
            <v>OK</v>
          </cell>
        </row>
        <row r="2615">
          <cell r="C2615" t="str">
            <v>&lt;-- enter valid PB./Acc. # in this cell!</v>
          </cell>
          <cell r="F2615" t="str">
            <v>OK</v>
          </cell>
        </row>
        <row r="2616">
          <cell r="C2616" t="str">
            <v>&lt;-- enter valid PB./Acc. # in this cell!</v>
          </cell>
          <cell r="F2616" t="str">
            <v>OK</v>
          </cell>
        </row>
        <row r="2617">
          <cell r="C2617" t="str">
            <v>&lt;-- enter valid PB./Acc. # in this cell!</v>
          </cell>
          <cell r="F2617" t="str">
            <v>OK</v>
          </cell>
        </row>
        <row r="2618">
          <cell r="C2618" t="str">
            <v>&lt;-- enter valid PB./Acc. # in this cell!</v>
          </cell>
          <cell r="F2618" t="str">
            <v>OK</v>
          </cell>
        </row>
        <row r="2619">
          <cell r="C2619" t="str">
            <v>&lt;-- enter valid PB./Acc. # in this cell!</v>
          </cell>
          <cell r="F2619" t="str">
            <v>OK</v>
          </cell>
        </row>
        <row r="2620">
          <cell r="C2620" t="str">
            <v>&lt;-- enter valid PB./Acc. # in this cell!</v>
          </cell>
          <cell r="F2620" t="str">
            <v>OK</v>
          </cell>
        </row>
        <row r="2621">
          <cell r="C2621" t="str">
            <v>&lt;-- enter valid PB./Acc. # in this cell!</v>
          </cell>
          <cell r="F2621" t="str">
            <v>OK</v>
          </cell>
        </row>
        <row r="2622">
          <cell r="C2622" t="str">
            <v>&lt;-- enter valid PB./Acc. # in this cell!</v>
          </cell>
          <cell r="F2622" t="str">
            <v>OK</v>
          </cell>
        </row>
        <row r="2623">
          <cell r="C2623" t="str">
            <v>&lt;-- enter valid PB./Acc. # in this cell!</v>
          </cell>
          <cell r="F2623" t="str">
            <v>OK</v>
          </cell>
        </row>
        <row r="2624">
          <cell r="C2624" t="str">
            <v>&lt;-- enter valid PB./Acc. # in this cell!</v>
          </cell>
          <cell r="F2624" t="str">
            <v>OK</v>
          </cell>
        </row>
        <row r="2625">
          <cell r="C2625" t="str">
            <v>&lt;-- enter valid PB./Acc. # in this cell!</v>
          </cell>
          <cell r="F2625" t="str">
            <v>OK</v>
          </cell>
        </row>
        <row r="2626">
          <cell r="C2626" t="str">
            <v>&lt;-- enter valid PB./Acc. # in this cell!</v>
          </cell>
          <cell r="F2626" t="str">
            <v>OK</v>
          </cell>
        </row>
        <row r="2627">
          <cell r="C2627" t="str">
            <v>&lt;-- enter valid PB./Acc. # in this cell!</v>
          </cell>
          <cell r="F2627" t="str">
            <v>OK</v>
          </cell>
        </row>
        <row r="2628">
          <cell r="C2628" t="str">
            <v>&lt;-- enter valid PB./Acc. # in this cell!</v>
          </cell>
          <cell r="F2628" t="str">
            <v>OK</v>
          </cell>
        </row>
        <row r="2629">
          <cell r="C2629" t="str">
            <v>&lt;-- enter valid PB./Acc. # in this cell!</v>
          </cell>
          <cell r="F2629" t="str">
            <v>OK</v>
          </cell>
        </row>
        <row r="2630">
          <cell r="C2630" t="str">
            <v>&lt;-- enter valid PB./Acc. # in this cell!</v>
          </cell>
          <cell r="F2630" t="str">
            <v>OK</v>
          </cell>
        </row>
        <row r="2631">
          <cell r="C2631" t="str">
            <v>&lt;-- enter valid PB./Acc. # in this cell!</v>
          </cell>
          <cell r="F2631" t="str">
            <v>OK</v>
          </cell>
        </row>
        <row r="2632">
          <cell r="C2632" t="str">
            <v>&lt;-- enter valid PB./Acc. # in this cell!</v>
          </cell>
          <cell r="F2632" t="str">
            <v>OK</v>
          </cell>
        </row>
        <row r="2633">
          <cell r="C2633" t="str">
            <v>&lt;-- enter valid PB./Acc. # in this cell!</v>
          </cell>
          <cell r="F2633" t="str">
            <v>OK</v>
          </cell>
        </row>
        <row r="2634">
          <cell r="C2634" t="str">
            <v>&lt;-- enter valid PB./Acc. # in this cell!</v>
          </cell>
          <cell r="F2634" t="str">
            <v>OK</v>
          </cell>
        </row>
        <row r="2635">
          <cell r="C2635" t="str">
            <v>&lt;-- enter valid PB./Acc. # in this cell!</v>
          </cell>
          <cell r="F2635" t="str">
            <v>OK</v>
          </cell>
        </row>
        <row r="2636">
          <cell r="C2636" t="str">
            <v>&lt;-- enter valid PB./Acc. # in this cell!</v>
          </cell>
          <cell r="F2636" t="str">
            <v>OK</v>
          </cell>
        </row>
        <row r="2637">
          <cell r="C2637" t="str">
            <v>&lt;-- enter valid PB./Acc. # in this cell!</v>
          </cell>
          <cell r="F2637" t="str">
            <v>OK</v>
          </cell>
        </row>
        <row r="2638">
          <cell r="C2638" t="str">
            <v>&lt;-- enter valid PB./Acc. # in this cell!</v>
          </cell>
          <cell r="F2638" t="str">
            <v>OK</v>
          </cell>
        </row>
        <row r="2639">
          <cell r="C2639" t="str">
            <v>&lt;-- enter valid PB./Acc. # in this cell!</v>
          </cell>
          <cell r="F2639" t="str">
            <v>OK</v>
          </cell>
        </row>
        <row r="2640">
          <cell r="C2640" t="str">
            <v>&lt;-- enter valid PB./Acc. # in this cell!</v>
          </cell>
          <cell r="F2640" t="str">
            <v>OK</v>
          </cell>
        </row>
        <row r="2641">
          <cell r="C2641" t="str">
            <v>&lt;-- enter valid PB./Acc. # in this cell!</v>
          </cell>
          <cell r="F2641" t="str">
            <v>OK</v>
          </cell>
        </row>
        <row r="2642">
          <cell r="C2642" t="str">
            <v>&lt;-- enter valid PB./Acc. # in this cell!</v>
          </cell>
          <cell r="F2642" t="str">
            <v>OK</v>
          </cell>
        </row>
        <row r="2643">
          <cell r="C2643" t="str">
            <v>&lt;-- enter valid PB./Acc. # in this cell!</v>
          </cell>
          <cell r="F2643" t="str">
            <v>OK</v>
          </cell>
        </row>
        <row r="2644">
          <cell r="C2644" t="str">
            <v>&lt;-- enter valid PB./Acc. # in this cell!</v>
          </cell>
          <cell r="F2644" t="str">
            <v>OK</v>
          </cell>
        </row>
        <row r="2645">
          <cell r="C2645" t="str">
            <v>&lt;-- enter valid PB./Acc. # in this cell!</v>
          </cell>
          <cell r="F2645" t="str">
            <v>OK</v>
          </cell>
        </row>
        <row r="2646">
          <cell r="C2646" t="str">
            <v>&lt;-- enter valid PB./Acc. # in this cell!</v>
          </cell>
          <cell r="F2646" t="str">
            <v>OK</v>
          </cell>
        </row>
        <row r="2647">
          <cell r="C2647" t="str">
            <v>&lt;-- enter valid PB./Acc. # in this cell!</v>
          </cell>
          <cell r="F2647" t="str">
            <v>OK</v>
          </cell>
        </row>
        <row r="2648">
          <cell r="C2648" t="str">
            <v>&lt;-- enter valid PB./Acc. # in this cell!</v>
          </cell>
          <cell r="F2648" t="str">
            <v>OK</v>
          </cell>
        </row>
        <row r="2649">
          <cell r="C2649" t="str">
            <v>&lt;-- enter valid PB./Acc. # in this cell!</v>
          </cell>
          <cell r="F2649" t="str">
            <v>OK</v>
          </cell>
        </row>
        <row r="2650">
          <cell r="C2650" t="str">
            <v>&lt;-- enter valid PB./Acc. # in this cell!</v>
          </cell>
          <cell r="F2650" t="str">
            <v>OK</v>
          </cell>
        </row>
        <row r="2651">
          <cell r="C2651" t="str">
            <v>&lt;-- enter valid PB./Acc. # in this cell!</v>
          </cell>
          <cell r="F2651" t="str">
            <v>OK</v>
          </cell>
        </row>
        <row r="2652">
          <cell r="C2652" t="str">
            <v>&lt;-- enter valid PB./Acc. # in this cell!</v>
          </cell>
          <cell r="F2652" t="str">
            <v>OK</v>
          </cell>
        </row>
        <row r="2653">
          <cell r="C2653" t="str">
            <v>&lt;-- enter valid PB./Acc. # in this cell!</v>
          </cell>
          <cell r="F2653" t="str">
            <v>OK</v>
          </cell>
        </row>
        <row r="2654">
          <cell r="C2654" t="str">
            <v>&lt;-- enter valid PB./Acc. # in this cell!</v>
          </cell>
          <cell r="F2654" t="str">
            <v>OK</v>
          </cell>
        </row>
        <row r="2655">
          <cell r="C2655" t="str">
            <v>&lt;-- enter valid PB./Acc. # in this cell!</v>
          </cell>
          <cell r="F2655" t="str">
            <v>OK</v>
          </cell>
        </row>
        <row r="2656">
          <cell r="C2656" t="str">
            <v>&lt;-- enter valid PB./Acc. # in this cell!</v>
          </cell>
          <cell r="F2656" t="str">
            <v>OK</v>
          </cell>
        </row>
        <row r="2657">
          <cell r="C2657" t="str">
            <v>&lt;-- enter valid PB./Acc. # in this cell!</v>
          </cell>
          <cell r="F2657" t="str">
            <v>OK</v>
          </cell>
        </row>
        <row r="2658">
          <cell r="C2658" t="str">
            <v>&lt;-- enter valid PB./Acc. # in this cell!</v>
          </cell>
          <cell r="F2658" t="str">
            <v>OK</v>
          </cell>
        </row>
        <row r="2659">
          <cell r="C2659" t="str">
            <v>&lt;-- enter valid PB./Acc. # in this cell!</v>
          </cell>
          <cell r="F2659" t="str">
            <v>OK</v>
          </cell>
        </row>
        <row r="2660">
          <cell r="C2660" t="str">
            <v>&lt;-- enter valid PB./Acc. # in this cell!</v>
          </cell>
          <cell r="F2660" t="str">
            <v>OK</v>
          </cell>
        </row>
        <row r="2661">
          <cell r="C2661" t="str">
            <v>&lt;-- enter valid PB./Acc. # in this cell!</v>
          </cell>
          <cell r="F2661" t="str">
            <v>OK</v>
          </cell>
        </row>
        <row r="2662">
          <cell r="C2662" t="str">
            <v>&lt;-- enter valid PB./Acc. # in this cell!</v>
          </cell>
          <cell r="F2662" t="str">
            <v>OK</v>
          </cell>
        </row>
        <row r="2663">
          <cell r="C2663" t="str">
            <v>&lt;-- enter valid PB./Acc. # in this cell!</v>
          </cell>
          <cell r="F2663" t="str">
            <v>OK</v>
          </cell>
        </row>
        <row r="2664">
          <cell r="C2664" t="str">
            <v>&lt;-- enter valid PB./Acc. # in this cell!</v>
          </cell>
          <cell r="F2664" t="str">
            <v>OK</v>
          </cell>
        </row>
        <row r="2665">
          <cell r="C2665" t="str">
            <v>&lt;-- enter valid PB./Acc. # in this cell!</v>
          </cell>
          <cell r="F2665" t="str">
            <v>OK</v>
          </cell>
        </row>
        <row r="2666">
          <cell r="C2666" t="str">
            <v>&lt;-- enter valid PB./Acc. # in this cell!</v>
          </cell>
          <cell r="F2666" t="str">
            <v>OK</v>
          </cell>
        </row>
        <row r="2667">
          <cell r="C2667" t="str">
            <v>&lt;-- enter valid PB./Acc. # in this cell!</v>
          </cell>
          <cell r="F2667" t="str">
            <v>OK</v>
          </cell>
        </row>
        <row r="2668">
          <cell r="C2668" t="str">
            <v>&lt;-- enter valid PB./Acc. # in this cell!</v>
          </cell>
          <cell r="F2668" t="str">
            <v>OK</v>
          </cell>
        </row>
        <row r="2669">
          <cell r="C2669" t="str">
            <v>&lt;-- enter valid PB./Acc. # in this cell!</v>
          </cell>
          <cell r="F2669" t="str">
            <v>OK</v>
          </cell>
        </row>
        <row r="2670">
          <cell r="C2670" t="str">
            <v>&lt;-- enter valid PB./Acc. # in this cell!</v>
          </cell>
          <cell r="F2670" t="str">
            <v>OK</v>
          </cell>
        </row>
        <row r="2671">
          <cell r="C2671" t="str">
            <v>&lt;-- enter valid PB./Acc. # in this cell!</v>
          </cell>
          <cell r="F2671" t="str">
            <v>OK</v>
          </cell>
        </row>
        <row r="2672">
          <cell r="C2672" t="str">
            <v>&lt;-- enter valid PB./Acc. # in this cell!</v>
          </cell>
          <cell r="F2672" t="str">
            <v>OK</v>
          </cell>
        </row>
        <row r="2673">
          <cell r="C2673" t="str">
            <v>&lt;-- enter valid PB./Acc. # in this cell!</v>
          </cell>
          <cell r="F2673" t="str">
            <v>OK</v>
          </cell>
        </row>
        <row r="2674">
          <cell r="C2674" t="str">
            <v>&lt;-- enter valid PB./Acc. # in this cell!</v>
          </cell>
          <cell r="F2674" t="str">
            <v>OK</v>
          </cell>
        </row>
        <row r="2675">
          <cell r="C2675" t="str">
            <v>&lt;-- enter valid PB./Acc. # in this cell!</v>
          </cell>
          <cell r="F2675" t="str">
            <v>OK</v>
          </cell>
        </row>
        <row r="2676">
          <cell r="C2676" t="str">
            <v>&lt;-- enter valid PB./Acc. # in this cell!</v>
          </cell>
          <cell r="F2676" t="str">
            <v>OK</v>
          </cell>
        </row>
        <row r="2677">
          <cell r="C2677" t="str">
            <v>&lt;-- enter valid PB./Acc. # in this cell!</v>
          </cell>
          <cell r="F2677" t="str">
            <v>OK</v>
          </cell>
        </row>
        <row r="2678">
          <cell r="C2678" t="str">
            <v>&lt;-- enter valid PB./Acc. # in this cell!</v>
          </cell>
          <cell r="F2678" t="str">
            <v>OK</v>
          </cell>
        </row>
        <row r="2679">
          <cell r="C2679" t="str">
            <v>&lt;-- enter valid PB./Acc. # in this cell!</v>
          </cell>
          <cell r="F2679" t="str">
            <v>OK</v>
          </cell>
        </row>
        <row r="2680">
          <cell r="C2680" t="str">
            <v>&lt;-- enter valid PB./Acc. # in this cell!</v>
          </cell>
          <cell r="F2680" t="str">
            <v>OK</v>
          </cell>
        </row>
        <row r="2681">
          <cell r="C2681" t="str">
            <v>&lt;-- enter valid PB./Acc. # in this cell!</v>
          </cell>
          <cell r="F2681" t="str">
            <v>OK</v>
          </cell>
        </row>
        <row r="2682">
          <cell r="C2682" t="str">
            <v>&lt;-- enter valid PB./Acc. # in this cell!</v>
          </cell>
          <cell r="F2682" t="str">
            <v>OK</v>
          </cell>
        </row>
        <row r="2683">
          <cell r="C2683" t="str">
            <v>&lt;-- enter valid PB./Acc. # in this cell!</v>
          </cell>
          <cell r="F2683" t="str">
            <v>OK</v>
          </cell>
        </row>
        <row r="2684">
          <cell r="C2684" t="str">
            <v>&lt;-- enter valid PB./Acc. # in this cell!</v>
          </cell>
          <cell r="F2684" t="str">
            <v>OK</v>
          </cell>
        </row>
        <row r="2685">
          <cell r="C2685" t="str">
            <v>&lt;-- enter valid PB./Acc. # in this cell!</v>
          </cell>
          <cell r="F2685" t="str">
            <v>OK</v>
          </cell>
        </row>
        <row r="2686">
          <cell r="C2686" t="str">
            <v>&lt;-- enter valid PB./Acc. # in this cell!</v>
          </cell>
          <cell r="F2686" t="str">
            <v>OK</v>
          </cell>
        </row>
        <row r="2687">
          <cell r="C2687" t="str">
            <v>&lt;-- enter valid PB./Acc. # in this cell!</v>
          </cell>
          <cell r="F2687" t="str">
            <v>OK</v>
          </cell>
        </row>
        <row r="2688">
          <cell r="C2688" t="str">
            <v>&lt;-- enter valid PB./Acc. # in this cell!</v>
          </cell>
          <cell r="F2688" t="str">
            <v>OK</v>
          </cell>
        </row>
        <row r="2689">
          <cell r="C2689" t="str">
            <v>&lt;-- enter valid PB./Acc. # in this cell!</v>
          </cell>
          <cell r="F2689" t="str">
            <v>OK</v>
          </cell>
        </row>
        <row r="2690">
          <cell r="C2690" t="str">
            <v>&lt;-- enter valid PB./Acc. # in this cell!</v>
          </cell>
          <cell r="F2690" t="str">
            <v>OK</v>
          </cell>
        </row>
        <row r="2691">
          <cell r="C2691" t="str">
            <v>&lt;-- enter valid PB./Acc. # in this cell!</v>
          </cell>
          <cell r="F2691" t="str">
            <v>OK</v>
          </cell>
        </row>
        <row r="2692">
          <cell r="C2692" t="str">
            <v>&lt;-- enter valid PB./Acc. # in this cell!</v>
          </cell>
          <cell r="F2692" t="str">
            <v>OK</v>
          </cell>
        </row>
        <row r="2693">
          <cell r="C2693" t="str">
            <v>&lt;-- enter valid PB./Acc. # in this cell!</v>
          </cell>
          <cell r="F2693" t="str">
            <v>OK</v>
          </cell>
        </row>
        <row r="2694">
          <cell r="C2694" t="str">
            <v>&lt;-- enter valid PB./Acc. # in this cell!</v>
          </cell>
          <cell r="F2694" t="str">
            <v>OK</v>
          </cell>
        </row>
        <row r="2695">
          <cell r="C2695" t="str">
            <v>&lt;-- enter valid PB./Acc. # in this cell!</v>
          </cell>
          <cell r="F2695" t="str">
            <v>OK</v>
          </cell>
        </row>
        <row r="2696">
          <cell r="C2696" t="str">
            <v>&lt;-- enter valid PB./Acc. # in this cell!</v>
          </cell>
          <cell r="F2696" t="str">
            <v>OK</v>
          </cell>
        </row>
        <row r="2697">
          <cell r="C2697" t="str">
            <v>&lt;-- enter valid PB./Acc. # in this cell!</v>
          </cell>
          <cell r="F2697" t="str">
            <v>OK</v>
          </cell>
        </row>
        <row r="2698">
          <cell r="C2698" t="str">
            <v>&lt;-- enter valid PB./Acc. # in this cell!</v>
          </cell>
          <cell r="F2698" t="str">
            <v>OK</v>
          </cell>
        </row>
        <row r="2699">
          <cell r="C2699" t="str">
            <v>&lt;-- enter valid PB./Acc. # in this cell!</v>
          </cell>
          <cell r="F2699" t="str">
            <v>OK</v>
          </cell>
        </row>
        <row r="2700">
          <cell r="A2700" t="str">
            <v>Total Balances of March 2016</v>
          </cell>
          <cell r="F2700" t="str">
            <v>OK</v>
          </cell>
          <cell r="G2700">
            <v>0</v>
          </cell>
          <cell r="H2700">
            <v>0</v>
          </cell>
          <cell r="I2700">
            <v>0</v>
          </cell>
          <cell r="J2700">
            <v>0</v>
          </cell>
          <cell r="K2700">
            <v>0</v>
          </cell>
          <cell r="L2700">
            <v>0</v>
          </cell>
          <cell r="M2700">
            <v>0</v>
          </cell>
          <cell r="N2700">
            <v>0</v>
          </cell>
          <cell r="O2700">
            <v>0</v>
          </cell>
          <cell r="P2700">
            <v>0</v>
          </cell>
          <cell r="Q2700">
            <v>0</v>
          </cell>
          <cell r="R2700">
            <v>0</v>
          </cell>
          <cell r="S2700">
            <v>0</v>
          </cell>
          <cell r="T2700">
            <v>0</v>
          </cell>
          <cell r="AQ2700">
            <v>0</v>
          </cell>
        </row>
        <row r="2701">
          <cell r="A2701">
            <v>42490</v>
          </cell>
        </row>
        <row r="2702">
          <cell r="C2702" t="str">
            <v>&lt;-- enter valid PB./Acc. # in this cell!</v>
          </cell>
          <cell r="F2702" t="str">
            <v>OK</v>
          </cell>
        </row>
        <row r="2703">
          <cell r="C2703" t="str">
            <v>&lt;-- enter valid PB./Acc. # in this cell!</v>
          </cell>
          <cell r="F2703" t="str">
            <v>OK</v>
          </cell>
        </row>
        <row r="2704">
          <cell r="C2704" t="str">
            <v>&lt;-- enter valid PB./Acc. # in this cell!</v>
          </cell>
          <cell r="F2704" t="str">
            <v>OK</v>
          </cell>
        </row>
        <row r="2705">
          <cell r="C2705" t="str">
            <v>&lt;-- enter valid PB./Acc. # in this cell!</v>
          </cell>
          <cell r="F2705" t="str">
            <v>OK</v>
          </cell>
        </row>
        <row r="2706">
          <cell r="C2706" t="str">
            <v>&lt;-- enter valid PB./Acc. # in this cell!</v>
          </cell>
          <cell r="F2706" t="str">
            <v>OK</v>
          </cell>
        </row>
        <row r="2707">
          <cell r="C2707" t="str">
            <v>&lt;-- enter valid PB./Acc. # in this cell!</v>
          </cell>
          <cell r="F2707" t="str">
            <v>OK</v>
          </cell>
        </row>
        <row r="2708">
          <cell r="C2708" t="str">
            <v>&lt;-- enter valid PB./Acc. # in this cell!</v>
          </cell>
          <cell r="F2708" t="str">
            <v>OK</v>
          </cell>
        </row>
        <row r="2709">
          <cell r="C2709" t="str">
            <v>&lt;-- enter valid PB./Acc. # in this cell!</v>
          </cell>
          <cell r="F2709" t="str">
            <v>OK</v>
          </cell>
        </row>
        <row r="2710">
          <cell r="C2710" t="str">
            <v>&lt;-- enter valid PB./Acc. # in this cell!</v>
          </cell>
          <cell r="F2710" t="str">
            <v>OK</v>
          </cell>
        </row>
        <row r="2711">
          <cell r="C2711" t="str">
            <v>&lt;-- enter valid PB./Acc. # in this cell!</v>
          </cell>
          <cell r="F2711" t="str">
            <v>OK</v>
          </cell>
        </row>
        <row r="2712">
          <cell r="C2712" t="str">
            <v>&lt;-- enter valid PB./Acc. # in this cell!</v>
          </cell>
          <cell r="F2712" t="str">
            <v>OK</v>
          </cell>
        </row>
        <row r="2713">
          <cell r="C2713" t="str">
            <v>&lt;-- enter valid PB./Acc. # in this cell!</v>
          </cell>
          <cell r="F2713" t="str">
            <v>OK</v>
          </cell>
        </row>
        <row r="2714">
          <cell r="C2714" t="str">
            <v>&lt;-- enter valid PB./Acc. # in this cell!</v>
          </cell>
          <cell r="F2714" t="str">
            <v>OK</v>
          </cell>
        </row>
        <row r="2715">
          <cell r="C2715" t="str">
            <v>&lt;-- enter valid PB./Acc. # in this cell!</v>
          </cell>
          <cell r="F2715" t="str">
            <v>OK</v>
          </cell>
        </row>
        <row r="2716">
          <cell r="C2716" t="str">
            <v>&lt;-- enter valid PB./Acc. # in this cell!</v>
          </cell>
          <cell r="F2716" t="str">
            <v>OK</v>
          </cell>
        </row>
        <row r="2717">
          <cell r="C2717" t="str">
            <v>&lt;-- enter valid PB./Acc. # in this cell!</v>
          </cell>
          <cell r="F2717" t="str">
            <v>OK</v>
          </cell>
        </row>
        <row r="2718">
          <cell r="C2718" t="str">
            <v>&lt;-- enter valid PB./Acc. # in this cell!</v>
          </cell>
          <cell r="F2718" t="str">
            <v>OK</v>
          </cell>
        </row>
        <row r="2719">
          <cell r="C2719" t="str">
            <v>&lt;-- enter valid PB./Acc. # in this cell!</v>
          </cell>
          <cell r="F2719" t="str">
            <v>OK</v>
          </cell>
        </row>
        <row r="2720">
          <cell r="C2720" t="str">
            <v>&lt;-- enter valid PB./Acc. # in this cell!</v>
          </cell>
          <cell r="F2720" t="str">
            <v>OK</v>
          </cell>
        </row>
        <row r="2721">
          <cell r="C2721" t="str">
            <v>&lt;-- enter valid PB./Acc. # in this cell!</v>
          </cell>
          <cell r="F2721" t="str">
            <v>OK</v>
          </cell>
        </row>
        <row r="2722">
          <cell r="C2722" t="str">
            <v>&lt;-- enter valid PB./Acc. # in this cell!</v>
          </cell>
          <cell r="F2722" t="str">
            <v>OK</v>
          </cell>
        </row>
        <row r="2723">
          <cell r="C2723" t="str">
            <v>&lt;-- enter valid PB./Acc. # in this cell!</v>
          </cell>
          <cell r="F2723" t="str">
            <v>OK</v>
          </cell>
        </row>
        <row r="2724">
          <cell r="C2724" t="str">
            <v>&lt;-- enter valid PB./Acc. # in this cell!</v>
          </cell>
          <cell r="F2724" t="str">
            <v>OK</v>
          </cell>
        </row>
        <row r="2725">
          <cell r="C2725" t="str">
            <v>&lt;-- enter valid PB./Acc. # in this cell!</v>
          </cell>
          <cell r="F2725" t="str">
            <v>OK</v>
          </cell>
        </row>
        <row r="2726">
          <cell r="C2726" t="str">
            <v>&lt;-- enter valid PB./Acc. # in this cell!</v>
          </cell>
          <cell r="F2726" t="str">
            <v>OK</v>
          </cell>
        </row>
        <row r="2727">
          <cell r="C2727" t="str">
            <v>&lt;-- enter valid PB./Acc. # in this cell!</v>
          </cell>
          <cell r="F2727" t="str">
            <v>OK</v>
          </cell>
        </row>
        <row r="2728">
          <cell r="C2728" t="str">
            <v>&lt;-- enter valid PB./Acc. # in this cell!</v>
          </cell>
          <cell r="F2728" t="str">
            <v>OK</v>
          </cell>
        </row>
        <row r="2729">
          <cell r="C2729" t="str">
            <v>&lt;-- enter valid PB./Acc. # in this cell!</v>
          </cell>
          <cell r="F2729" t="str">
            <v>OK</v>
          </cell>
        </row>
        <row r="2730">
          <cell r="C2730" t="str">
            <v>&lt;-- enter valid PB./Acc. # in this cell!</v>
          </cell>
          <cell r="F2730" t="str">
            <v>OK</v>
          </cell>
        </row>
        <row r="2731">
          <cell r="C2731" t="str">
            <v>&lt;-- enter valid PB./Acc. # in this cell!</v>
          </cell>
          <cell r="F2731" t="str">
            <v>OK</v>
          </cell>
        </row>
        <row r="2732">
          <cell r="C2732" t="str">
            <v>&lt;-- enter valid PB./Acc. # in this cell!</v>
          </cell>
          <cell r="F2732" t="str">
            <v>OK</v>
          </cell>
        </row>
        <row r="2733">
          <cell r="C2733" t="str">
            <v>&lt;-- enter valid PB./Acc. # in this cell!</v>
          </cell>
          <cell r="F2733" t="str">
            <v>OK</v>
          </cell>
        </row>
        <row r="2734">
          <cell r="C2734" t="str">
            <v>&lt;-- enter valid PB./Acc. # in this cell!</v>
          </cell>
          <cell r="F2734" t="str">
            <v>OK</v>
          </cell>
        </row>
        <row r="2735">
          <cell r="C2735" t="str">
            <v>&lt;-- enter valid PB./Acc. # in this cell!</v>
          </cell>
          <cell r="F2735" t="str">
            <v>OK</v>
          </cell>
        </row>
        <row r="2736">
          <cell r="C2736" t="str">
            <v>&lt;-- enter valid PB./Acc. # in this cell!</v>
          </cell>
          <cell r="F2736" t="str">
            <v>OK</v>
          </cell>
        </row>
        <row r="2737">
          <cell r="C2737" t="str">
            <v>&lt;-- enter valid PB./Acc. # in this cell!</v>
          </cell>
          <cell r="F2737" t="str">
            <v>OK</v>
          </cell>
        </row>
        <row r="2738">
          <cell r="C2738" t="str">
            <v>&lt;-- enter valid PB./Acc. # in this cell!</v>
          </cell>
          <cell r="F2738" t="str">
            <v>OK</v>
          </cell>
        </row>
        <row r="2739">
          <cell r="C2739" t="str">
            <v>&lt;-- enter valid PB./Acc. # in this cell!</v>
          </cell>
          <cell r="F2739" t="str">
            <v>OK</v>
          </cell>
        </row>
        <row r="2740">
          <cell r="C2740" t="str">
            <v>&lt;-- enter valid PB./Acc. # in this cell!</v>
          </cell>
          <cell r="F2740" t="str">
            <v>OK</v>
          </cell>
        </row>
        <row r="2741">
          <cell r="C2741" t="str">
            <v>&lt;-- enter valid PB./Acc. # in this cell!</v>
          </cell>
          <cell r="F2741" t="str">
            <v>OK</v>
          </cell>
        </row>
        <row r="2742">
          <cell r="C2742" t="str">
            <v>&lt;-- enter valid PB./Acc. # in this cell!</v>
          </cell>
          <cell r="F2742" t="str">
            <v>OK</v>
          </cell>
        </row>
        <row r="2743">
          <cell r="C2743" t="str">
            <v>&lt;-- enter valid PB./Acc. # in this cell!</v>
          </cell>
          <cell r="F2743" t="str">
            <v>OK</v>
          </cell>
        </row>
        <row r="2744">
          <cell r="C2744" t="str">
            <v>&lt;-- enter valid PB./Acc. # in this cell!</v>
          </cell>
          <cell r="F2744" t="str">
            <v>OK</v>
          </cell>
        </row>
        <row r="2745">
          <cell r="C2745" t="str">
            <v>&lt;-- enter valid PB./Acc. # in this cell!</v>
          </cell>
          <cell r="F2745" t="str">
            <v>OK</v>
          </cell>
        </row>
        <row r="2746">
          <cell r="C2746" t="str">
            <v>&lt;-- enter valid PB./Acc. # in this cell!</v>
          </cell>
          <cell r="F2746" t="str">
            <v>OK</v>
          </cell>
        </row>
        <row r="2747">
          <cell r="C2747" t="str">
            <v>&lt;-- enter valid PB./Acc. # in this cell!</v>
          </cell>
          <cell r="F2747" t="str">
            <v>OK</v>
          </cell>
        </row>
        <row r="2748">
          <cell r="C2748" t="str">
            <v>&lt;-- enter valid PB./Acc. # in this cell!</v>
          </cell>
          <cell r="F2748" t="str">
            <v>OK</v>
          </cell>
        </row>
        <row r="2749">
          <cell r="C2749" t="str">
            <v>&lt;-- enter valid PB./Acc. # in this cell!</v>
          </cell>
          <cell r="F2749" t="str">
            <v>OK</v>
          </cell>
        </row>
        <row r="2750">
          <cell r="C2750" t="str">
            <v>&lt;-- enter valid PB./Acc. # in this cell!</v>
          </cell>
          <cell r="F2750" t="str">
            <v>OK</v>
          </cell>
        </row>
        <row r="2751">
          <cell r="C2751" t="str">
            <v>&lt;-- enter valid PB./Acc. # in this cell!</v>
          </cell>
          <cell r="F2751" t="str">
            <v>OK</v>
          </cell>
        </row>
        <row r="2752">
          <cell r="C2752" t="str">
            <v>&lt;-- enter valid PB./Acc. # in this cell!</v>
          </cell>
          <cell r="F2752" t="str">
            <v>OK</v>
          </cell>
        </row>
        <row r="2753">
          <cell r="C2753" t="str">
            <v>&lt;-- enter valid PB./Acc. # in this cell!</v>
          </cell>
          <cell r="F2753" t="str">
            <v>OK</v>
          </cell>
        </row>
        <row r="2754">
          <cell r="C2754" t="str">
            <v>&lt;-- enter valid PB./Acc. # in this cell!</v>
          </cell>
          <cell r="F2754" t="str">
            <v>OK</v>
          </cell>
        </row>
        <row r="2755">
          <cell r="C2755" t="str">
            <v>&lt;-- enter valid PB./Acc. # in this cell!</v>
          </cell>
          <cell r="F2755" t="str">
            <v>OK</v>
          </cell>
        </row>
        <row r="2756">
          <cell r="C2756" t="str">
            <v>&lt;-- enter valid PB./Acc. # in this cell!</v>
          </cell>
          <cell r="F2756" t="str">
            <v>OK</v>
          </cell>
        </row>
        <row r="2757">
          <cell r="C2757" t="str">
            <v>&lt;-- enter valid PB./Acc. # in this cell!</v>
          </cell>
          <cell r="F2757" t="str">
            <v>OK</v>
          </cell>
        </row>
        <row r="2758">
          <cell r="C2758" t="str">
            <v>&lt;-- enter valid PB./Acc. # in this cell!</v>
          </cell>
          <cell r="F2758" t="str">
            <v>OK</v>
          </cell>
        </row>
        <row r="2759">
          <cell r="C2759" t="str">
            <v>&lt;-- enter valid PB./Acc. # in this cell!</v>
          </cell>
          <cell r="F2759" t="str">
            <v>OK</v>
          </cell>
        </row>
        <row r="2760">
          <cell r="C2760" t="str">
            <v>&lt;-- enter valid PB./Acc. # in this cell!</v>
          </cell>
          <cell r="F2760" t="str">
            <v>OK</v>
          </cell>
        </row>
        <row r="2761">
          <cell r="C2761" t="str">
            <v>&lt;-- enter valid PB./Acc. # in this cell!</v>
          </cell>
          <cell r="F2761" t="str">
            <v>OK</v>
          </cell>
        </row>
        <row r="2762">
          <cell r="C2762" t="str">
            <v>&lt;-- enter valid PB./Acc. # in this cell!</v>
          </cell>
          <cell r="F2762" t="str">
            <v>OK</v>
          </cell>
        </row>
        <row r="2763">
          <cell r="C2763" t="str">
            <v>&lt;-- enter valid PB./Acc. # in this cell!</v>
          </cell>
          <cell r="F2763" t="str">
            <v>OK</v>
          </cell>
        </row>
        <row r="2764">
          <cell r="C2764" t="str">
            <v>&lt;-- enter valid PB./Acc. # in this cell!</v>
          </cell>
          <cell r="F2764" t="str">
            <v>OK</v>
          </cell>
        </row>
        <row r="2765">
          <cell r="C2765" t="str">
            <v>&lt;-- enter valid PB./Acc. # in this cell!</v>
          </cell>
          <cell r="F2765" t="str">
            <v>OK</v>
          </cell>
        </row>
        <row r="2766">
          <cell r="C2766" t="str">
            <v>&lt;-- enter valid PB./Acc. # in this cell!</v>
          </cell>
          <cell r="F2766" t="str">
            <v>OK</v>
          </cell>
        </row>
        <row r="2767">
          <cell r="C2767" t="str">
            <v>&lt;-- enter valid PB./Acc. # in this cell!</v>
          </cell>
          <cell r="F2767" t="str">
            <v>OK</v>
          </cell>
        </row>
        <row r="2768">
          <cell r="C2768" t="str">
            <v>&lt;-- enter valid PB./Acc. # in this cell!</v>
          </cell>
          <cell r="F2768" t="str">
            <v>OK</v>
          </cell>
        </row>
        <row r="2769">
          <cell r="C2769" t="str">
            <v>&lt;-- enter valid PB./Acc. # in this cell!</v>
          </cell>
          <cell r="F2769" t="str">
            <v>OK</v>
          </cell>
        </row>
        <row r="2770">
          <cell r="C2770" t="str">
            <v>&lt;-- enter valid PB./Acc. # in this cell!</v>
          </cell>
          <cell r="F2770" t="str">
            <v>OK</v>
          </cell>
        </row>
        <row r="2771">
          <cell r="C2771" t="str">
            <v>&lt;-- enter valid PB./Acc. # in this cell!</v>
          </cell>
          <cell r="F2771" t="str">
            <v>OK</v>
          </cell>
        </row>
        <row r="2772">
          <cell r="C2772" t="str">
            <v>&lt;-- enter valid PB./Acc. # in this cell!</v>
          </cell>
          <cell r="F2772" t="str">
            <v>OK</v>
          </cell>
        </row>
        <row r="2773">
          <cell r="C2773" t="str">
            <v>&lt;-- enter valid PB./Acc. # in this cell!</v>
          </cell>
          <cell r="F2773" t="str">
            <v>OK</v>
          </cell>
        </row>
        <row r="2774">
          <cell r="C2774" t="str">
            <v>&lt;-- enter valid PB./Acc. # in this cell!</v>
          </cell>
          <cell r="F2774" t="str">
            <v>OK</v>
          </cell>
        </row>
        <row r="2775">
          <cell r="C2775" t="str">
            <v>&lt;-- enter valid PB./Acc. # in this cell!</v>
          </cell>
          <cell r="F2775" t="str">
            <v>OK</v>
          </cell>
        </row>
        <row r="2776">
          <cell r="C2776" t="str">
            <v>&lt;-- enter valid PB./Acc. # in this cell!</v>
          </cell>
          <cell r="F2776" t="str">
            <v>OK</v>
          </cell>
        </row>
        <row r="2777">
          <cell r="C2777" t="str">
            <v>&lt;-- enter valid PB./Acc. # in this cell!</v>
          </cell>
          <cell r="F2777" t="str">
            <v>OK</v>
          </cell>
        </row>
        <row r="2778">
          <cell r="C2778" t="str">
            <v>&lt;-- enter valid PB./Acc. # in this cell!</v>
          </cell>
          <cell r="F2778" t="str">
            <v>OK</v>
          </cell>
        </row>
        <row r="2779">
          <cell r="C2779" t="str">
            <v>&lt;-- enter valid PB./Acc. # in this cell!</v>
          </cell>
          <cell r="F2779" t="str">
            <v>OK</v>
          </cell>
        </row>
        <row r="2780">
          <cell r="C2780" t="str">
            <v>&lt;-- enter valid PB./Acc. # in this cell!</v>
          </cell>
          <cell r="F2780" t="str">
            <v>OK</v>
          </cell>
        </row>
        <row r="2781">
          <cell r="C2781" t="str">
            <v>&lt;-- enter valid PB./Acc. # in this cell!</v>
          </cell>
          <cell r="F2781" t="str">
            <v>OK</v>
          </cell>
        </row>
        <row r="2782">
          <cell r="C2782" t="str">
            <v>&lt;-- enter valid PB./Acc. # in this cell!</v>
          </cell>
          <cell r="F2782" t="str">
            <v>OK</v>
          </cell>
        </row>
        <row r="2783">
          <cell r="C2783" t="str">
            <v>&lt;-- enter valid PB./Acc. # in this cell!</v>
          </cell>
          <cell r="F2783" t="str">
            <v>OK</v>
          </cell>
        </row>
        <row r="2784">
          <cell r="C2784" t="str">
            <v>&lt;-- enter valid PB./Acc. # in this cell!</v>
          </cell>
          <cell r="F2784" t="str">
            <v>OK</v>
          </cell>
        </row>
        <row r="2785">
          <cell r="C2785" t="str">
            <v>&lt;-- enter valid PB./Acc. # in this cell!</v>
          </cell>
          <cell r="F2785" t="str">
            <v>OK</v>
          </cell>
        </row>
        <row r="2786">
          <cell r="C2786" t="str">
            <v>&lt;-- enter valid PB./Acc. # in this cell!</v>
          </cell>
          <cell r="F2786" t="str">
            <v>OK</v>
          </cell>
        </row>
        <row r="2787">
          <cell r="C2787" t="str">
            <v>&lt;-- enter valid PB./Acc. # in this cell!</v>
          </cell>
          <cell r="F2787" t="str">
            <v>OK</v>
          </cell>
        </row>
        <row r="2788">
          <cell r="C2788" t="str">
            <v>&lt;-- enter valid PB./Acc. # in this cell!</v>
          </cell>
          <cell r="F2788" t="str">
            <v>OK</v>
          </cell>
        </row>
        <row r="2789">
          <cell r="C2789" t="str">
            <v>&lt;-- enter valid PB./Acc. # in this cell!</v>
          </cell>
          <cell r="F2789" t="str">
            <v>OK</v>
          </cell>
        </row>
        <row r="2790">
          <cell r="C2790" t="str">
            <v>&lt;-- enter valid PB./Acc. # in this cell!</v>
          </cell>
          <cell r="F2790" t="str">
            <v>OK</v>
          </cell>
        </row>
        <row r="2791">
          <cell r="C2791" t="str">
            <v>&lt;-- enter valid PB./Acc. # in this cell!</v>
          </cell>
          <cell r="F2791" t="str">
            <v>OK</v>
          </cell>
        </row>
        <row r="2792">
          <cell r="C2792" t="str">
            <v>&lt;-- enter valid PB./Acc. # in this cell!</v>
          </cell>
          <cell r="F2792" t="str">
            <v>OK</v>
          </cell>
        </row>
        <row r="2793">
          <cell r="C2793" t="str">
            <v>&lt;-- enter valid PB./Acc. # in this cell!</v>
          </cell>
          <cell r="F2793" t="str">
            <v>OK</v>
          </cell>
        </row>
        <row r="2794">
          <cell r="C2794" t="str">
            <v>&lt;-- enter valid PB./Acc. # in this cell!</v>
          </cell>
          <cell r="F2794" t="str">
            <v>OK</v>
          </cell>
        </row>
        <row r="2795">
          <cell r="C2795" t="str">
            <v>&lt;-- enter valid PB./Acc. # in this cell!</v>
          </cell>
          <cell r="F2795" t="str">
            <v>OK</v>
          </cell>
        </row>
        <row r="2796">
          <cell r="C2796" t="str">
            <v>&lt;-- enter valid PB./Acc. # in this cell!</v>
          </cell>
          <cell r="F2796" t="str">
            <v>OK</v>
          </cell>
        </row>
        <row r="2797">
          <cell r="C2797" t="str">
            <v>&lt;-- enter valid PB./Acc. # in this cell!</v>
          </cell>
          <cell r="F2797" t="str">
            <v>OK</v>
          </cell>
        </row>
        <row r="2798">
          <cell r="C2798" t="str">
            <v>&lt;-- enter valid PB./Acc. # in this cell!</v>
          </cell>
          <cell r="F2798" t="str">
            <v>OK</v>
          </cell>
        </row>
        <row r="2799">
          <cell r="C2799" t="str">
            <v>&lt;-- enter valid PB./Acc. # in this cell!</v>
          </cell>
          <cell r="F2799" t="str">
            <v>OK</v>
          </cell>
        </row>
        <row r="2800">
          <cell r="C2800" t="str">
            <v>&lt;-- enter valid PB./Acc. # in this cell!</v>
          </cell>
          <cell r="F2800" t="str">
            <v>OK</v>
          </cell>
        </row>
        <row r="2801">
          <cell r="C2801" t="str">
            <v>&lt;-- enter valid PB./Acc. # in this cell!</v>
          </cell>
          <cell r="F2801" t="str">
            <v>OK</v>
          </cell>
        </row>
        <row r="2802">
          <cell r="C2802" t="str">
            <v>&lt;-- enter valid PB./Acc. # in this cell!</v>
          </cell>
          <cell r="F2802" t="str">
            <v>OK</v>
          </cell>
        </row>
        <row r="2803">
          <cell r="C2803" t="str">
            <v>&lt;-- enter valid PB./Acc. # in this cell!</v>
          </cell>
          <cell r="F2803" t="str">
            <v>OK</v>
          </cell>
        </row>
        <row r="2804">
          <cell r="C2804" t="str">
            <v>&lt;-- enter valid PB./Acc. # in this cell!</v>
          </cell>
          <cell r="F2804" t="str">
            <v>OK</v>
          </cell>
        </row>
        <row r="2805">
          <cell r="C2805" t="str">
            <v>&lt;-- enter valid PB./Acc. # in this cell!</v>
          </cell>
          <cell r="F2805" t="str">
            <v>OK</v>
          </cell>
        </row>
        <row r="2806">
          <cell r="C2806" t="str">
            <v>&lt;-- enter valid PB./Acc. # in this cell!</v>
          </cell>
          <cell r="F2806" t="str">
            <v>OK</v>
          </cell>
        </row>
        <row r="2807">
          <cell r="C2807" t="str">
            <v>&lt;-- enter valid PB./Acc. # in this cell!</v>
          </cell>
          <cell r="F2807" t="str">
            <v>OK</v>
          </cell>
        </row>
        <row r="2808">
          <cell r="C2808" t="str">
            <v>&lt;-- enter valid PB./Acc. # in this cell!</v>
          </cell>
          <cell r="F2808" t="str">
            <v>OK</v>
          </cell>
        </row>
        <row r="2809">
          <cell r="C2809" t="str">
            <v>&lt;-- enter valid PB./Acc. # in this cell!</v>
          </cell>
          <cell r="F2809" t="str">
            <v>OK</v>
          </cell>
        </row>
        <row r="2810">
          <cell r="C2810" t="str">
            <v>&lt;-- enter valid PB./Acc. # in this cell!</v>
          </cell>
          <cell r="F2810" t="str">
            <v>OK</v>
          </cell>
        </row>
        <row r="2811">
          <cell r="C2811" t="str">
            <v>&lt;-- enter valid PB./Acc. # in this cell!</v>
          </cell>
          <cell r="F2811" t="str">
            <v>OK</v>
          </cell>
        </row>
        <row r="2812">
          <cell r="C2812" t="str">
            <v>&lt;-- enter valid PB./Acc. # in this cell!</v>
          </cell>
          <cell r="F2812" t="str">
            <v>OK</v>
          </cell>
        </row>
        <row r="2813">
          <cell r="C2813" t="str">
            <v>&lt;-- enter valid PB./Acc. # in this cell!</v>
          </cell>
          <cell r="F2813" t="str">
            <v>OK</v>
          </cell>
        </row>
        <row r="2814">
          <cell r="C2814" t="str">
            <v>&lt;-- enter valid PB./Acc. # in this cell!</v>
          </cell>
          <cell r="F2814" t="str">
            <v>OK</v>
          </cell>
        </row>
        <row r="2815">
          <cell r="C2815" t="str">
            <v>&lt;-- enter valid PB./Acc. # in this cell!</v>
          </cell>
          <cell r="F2815" t="str">
            <v>OK</v>
          </cell>
        </row>
        <row r="2816">
          <cell r="C2816" t="str">
            <v>&lt;-- enter valid PB./Acc. # in this cell!</v>
          </cell>
          <cell r="F2816" t="str">
            <v>OK</v>
          </cell>
        </row>
        <row r="2817">
          <cell r="C2817" t="str">
            <v>&lt;-- enter valid PB./Acc. # in this cell!</v>
          </cell>
          <cell r="F2817" t="str">
            <v>OK</v>
          </cell>
        </row>
        <row r="2818">
          <cell r="C2818" t="str">
            <v>&lt;-- enter valid PB./Acc. # in this cell!</v>
          </cell>
          <cell r="F2818" t="str">
            <v>OK</v>
          </cell>
        </row>
        <row r="2819">
          <cell r="C2819" t="str">
            <v>&lt;-- enter valid PB./Acc. # in this cell!</v>
          </cell>
          <cell r="F2819" t="str">
            <v>OK</v>
          </cell>
        </row>
        <row r="2820">
          <cell r="C2820" t="str">
            <v>&lt;-- enter valid PB./Acc. # in this cell!</v>
          </cell>
          <cell r="F2820" t="str">
            <v>OK</v>
          </cell>
        </row>
        <row r="2821">
          <cell r="C2821" t="str">
            <v>&lt;-- enter valid PB./Acc. # in this cell!</v>
          </cell>
          <cell r="F2821" t="str">
            <v>OK</v>
          </cell>
        </row>
        <row r="2822">
          <cell r="C2822" t="str">
            <v>&lt;-- enter valid PB./Acc. # in this cell!</v>
          </cell>
          <cell r="F2822" t="str">
            <v>OK</v>
          </cell>
        </row>
        <row r="2823">
          <cell r="C2823" t="str">
            <v>&lt;-- enter valid PB./Acc. # in this cell!</v>
          </cell>
          <cell r="F2823" t="str">
            <v>OK</v>
          </cell>
        </row>
        <row r="2824">
          <cell r="C2824" t="str">
            <v>&lt;-- enter valid PB./Acc. # in this cell!</v>
          </cell>
          <cell r="F2824" t="str">
            <v>OK</v>
          </cell>
        </row>
        <row r="2825">
          <cell r="C2825" t="str">
            <v>&lt;-- enter valid PB./Acc. # in this cell!</v>
          </cell>
          <cell r="F2825" t="str">
            <v>OK</v>
          </cell>
        </row>
        <row r="2826">
          <cell r="C2826" t="str">
            <v>&lt;-- enter valid PB./Acc. # in this cell!</v>
          </cell>
          <cell r="F2826" t="str">
            <v>OK</v>
          </cell>
        </row>
        <row r="2827">
          <cell r="C2827" t="str">
            <v>&lt;-- enter valid PB./Acc. # in this cell!</v>
          </cell>
          <cell r="F2827" t="str">
            <v>OK</v>
          </cell>
        </row>
        <row r="2828">
          <cell r="C2828" t="str">
            <v>&lt;-- enter valid PB./Acc. # in this cell!</v>
          </cell>
          <cell r="F2828" t="str">
            <v>OK</v>
          </cell>
        </row>
        <row r="2829">
          <cell r="C2829" t="str">
            <v>&lt;-- enter valid PB./Acc. # in this cell!</v>
          </cell>
          <cell r="F2829" t="str">
            <v>OK</v>
          </cell>
        </row>
        <row r="2830">
          <cell r="C2830" t="str">
            <v>&lt;-- enter valid PB./Acc. # in this cell!</v>
          </cell>
          <cell r="F2830" t="str">
            <v>OK</v>
          </cell>
        </row>
        <row r="2831">
          <cell r="C2831" t="str">
            <v>&lt;-- enter valid PB./Acc. # in this cell!</v>
          </cell>
          <cell r="F2831" t="str">
            <v>OK</v>
          </cell>
        </row>
        <row r="2832">
          <cell r="C2832" t="str">
            <v>&lt;-- enter valid PB./Acc. # in this cell!</v>
          </cell>
          <cell r="F2832" t="str">
            <v>OK</v>
          </cell>
        </row>
        <row r="2833">
          <cell r="C2833" t="str">
            <v>&lt;-- enter valid PB./Acc. # in this cell!</v>
          </cell>
          <cell r="F2833" t="str">
            <v>OK</v>
          </cell>
        </row>
        <row r="2834">
          <cell r="C2834" t="str">
            <v>&lt;-- enter valid PB./Acc. # in this cell!</v>
          </cell>
          <cell r="F2834" t="str">
            <v>OK</v>
          </cell>
        </row>
        <row r="2835">
          <cell r="C2835" t="str">
            <v>&lt;-- enter valid PB./Acc. # in this cell!</v>
          </cell>
          <cell r="F2835" t="str">
            <v>OK</v>
          </cell>
        </row>
        <row r="2836">
          <cell r="C2836" t="str">
            <v>&lt;-- enter valid PB./Acc. # in this cell!</v>
          </cell>
          <cell r="F2836" t="str">
            <v>OK</v>
          </cell>
        </row>
        <row r="2837">
          <cell r="C2837" t="str">
            <v>&lt;-- enter valid PB./Acc. # in this cell!</v>
          </cell>
          <cell r="F2837" t="str">
            <v>OK</v>
          </cell>
        </row>
        <row r="2838">
          <cell r="C2838" t="str">
            <v>&lt;-- enter valid PB./Acc. # in this cell!</v>
          </cell>
          <cell r="F2838" t="str">
            <v>OK</v>
          </cell>
        </row>
        <row r="2839">
          <cell r="C2839" t="str">
            <v>&lt;-- enter valid PB./Acc. # in this cell!</v>
          </cell>
          <cell r="F2839" t="str">
            <v>OK</v>
          </cell>
        </row>
        <row r="2840">
          <cell r="C2840" t="str">
            <v>&lt;-- enter valid PB./Acc. # in this cell!</v>
          </cell>
          <cell r="F2840" t="str">
            <v>OK</v>
          </cell>
        </row>
        <row r="2841">
          <cell r="C2841" t="str">
            <v>&lt;-- enter valid PB./Acc. # in this cell!</v>
          </cell>
          <cell r="F2841" t="str">
            <v>OK</v>
          </cell>
        </row>
        <row r="2842">
          <cell r="C2842" t="str">
            <v>&lt;-- enter valid PB./Acc. # in this cell!</v>
          </cell>
          <cell r="F2842" t="str">
            <v>OK</v>
          </cell>
        </row>
        <row r="2843">
          <cell r="C2843" t="str">
            <v>&lt;-- enter valid PB./Acc. # in this cell!</v>
          </cell>
          <cell r="F2843" t="str">
            <v>OK</v>
          </cell>
        </row>
        <row r="2844">
          <cell r="C2844" t="str">
            <v>&lt;-- enter valid PB./Acc. # in this cell!</v>
          </cell>
          <cell r="F2844" t="str">
            <v>OK</v>
          </cell>
        </row>
        <row r="2845">
          <cell r="C2845" t="str">
            <v>&lt;-- enter valid PB./Acc. # in this cell!</v>
          </cell>
          <cell r="F2845" t="str">
            <v>OK</v>
          </cell>
        </row>
        <row r="2846">
          <cell r="C2846" t="str">
            <v>&lt;-- enter valid PB./Acc. # in this cell!</v>
          </cell>
          <cell r="F2846" t="str">
            <v>OK</v>
          </cell>
        </row>
        <row r="2847">
          <cell r="C2847" t="str">
            <v>&lt;-- enter valid PB./Acc. # in this cell!</v>
          </cell>
          <cell r="F2847" t="str">
            <v>OK</v>
          </cell>
        </row>
        <row r="2848">
          <cell r="C2848" t="str">
            <v>&lt;-- enter valid PB./Acc. # in this cell!</v>
          </cell>
          <cell r="F2848" t="str">
            <v>OK</v>
          </cell>
        </row>
        <row r="2849">
          <cell r="C2849" t="str">
            <v>&lt;-- enter valid PB./Acc. # in this cell!</v>
          </cell>
          <cell r="F2849" t="str">
            <v>OK</v>
          </cell>
        </row>
        <row r="2850">
          <cell r="C2850" t="str">
            <v>&lt;-- enter valid PB./Acc. # in this cell!</v>
          </cell>
          <cell r="F2850" t="str">
            <v>OK</v>
          </cell>
        </row>
        <row r="2851">
          <cell r="C2851" t="str">
            <v>&lt;-- enter valid PB./Acc. # in this cell!</v>
          </cell>
          <cell r="F2851" t="str">
            <v>OK</v>
          </cell>
        </row>
        <row r="2852">
          <cell r="C2852" t="str">
            <v>&lt;-- enter valid PB./Acc. # in this cell!</v>
          </cell>
          <cell r="F2852" t="str">
            <v>OK</v>
          </cell>
        </row>
        <row r="2853">
          <cell r="C2853" t="str">
            <v>&lt;-- enter valid PB./Acc. # in this cell!</v>
          </cell>
          <cell r="F2853" t="str">
            <v>OK</v>
          </cell>
        </row>
        <row r="2854">
          <cell r="C2854" t="str">
            <v>&lt;-- enter valid PB./Acc. # in this cell!</v>
          </cell>
          <cell r="F2854" t="str">
            <v>OK</v>
          </cell>
        </row>
        <row r="2855">
          <cell r="C2855" t="str">
            <v>&lt;-- enter valid PB./Acc. # in this cell!</v>
          </cell>
          <cell r="F2855" t="str">
            <v>OK</v>
          </cell>
        </row>
        <row r="2856">
          <cell r="C2856" t="str">
            <v>&lt;-- enter valid PB./Acc. # in this cell!</v>
          </cell>
          <cell r="F2856" t="str">
            <v>OK</v>
          </cell>
        </row>
        <row r="2857">
          <cell r="C2857" t="str">
            <v>&lt;-- enter valid PB./Acc. # in this cell!</v>
          </cell>
          <cell r="F2857" t="str">
            <v>OK</v>
          </cell>
        </row>
        <row r="2858">
          <cell r="C2858" t="str">
            <v>&lt;-- enter valid PB./Acc. # in this cell!</v>
          </cell>
          <cell r="F2858" t="str">
            <v>OK</v>
          </cell>
        </row>
        <row r="2859">
          <cell r="C2859" t="str">
            <v>&lt;-- enter valid PB./Acc. # in this cell!</v>
          </cell>
          <cell r="F2859" t="str">
            <v>OK</v>
          </cell>
        </row>
        <row r="2860">
          <cell r="C2860" t="str">
            <v>&lt;-- enter valid PB./Acc. # in this cell!</v>
          </cell>
          <cell r="F2860" t="str">
            <v>OK</v>
          </cell>
        </row>
        <row r="2861">
          <cell r="C2861" t="str">
            <v>&lt;-- enter valid PB./Acc. # in this cell!</v>
          </cell>
          <cell r="F2861" t="str">
            <v>OK</v>
          </cell>
        </row>
        <row r="2862">
          <cell r="C2862" t="str">
            <v>&lt;-- enter valid PB./Acc. # in this cell!</v>
          </cell>
          <cell r="F2862" t="str">
            <v>OK</v>
          </cell>
        </row>
        <row r="2863">
          <cell r="C2863" t="str">
            <v>&lt;-- enter valid PB./Acc. # in this cell!</v>
          </cell>
          <cell r="F2863" t="str">
            <v>OK</v>
          </cell>
        </row>
        <row r="2864">
          <cell r="C2864" t="str">
            <v>&lt;-- enter valid PB./Acc. # in this cell!</v>
          </cell>
          <cell r="F2864" t="str">
            <v>OK</v>
          </cell>
        </row>
        <row r="2865">
          <cell r="C2865" t="str">
            <v>&lt;-- enter valid PB./Acc. # in this cell!</v>
          </cell>
          <cell r="F2865" t="str">
            <v>OK</v>
          </cell>
        </row>
        <row r="2866">
          <cell r="C2866" t="str">
            <v>&lt;-- enter valid PB./Acc. # in this cell!</v>
          </cell>
          <cell r="F2866" t="str">
            <v>OK</v>
          </cell>
        </row>
        <row r="2867">
          <cell r="C2867" t="str">
            <v>&lt;-- enter valid PB./Acc. # in this cell!</v>
          </cell>
          <cell r="F2867" t="str">
            <v>OK</v>
          </cell>
        </row>
        <row r="2868">
          <cell r="C2868" t="str">
            <v>&lt;-- enter valid PB./Acc. # in this cell!</v>
          </cell>
          <cell r="F2868" t="str">
            <v>OK</v>
          </cell>
        </row>
        <row r="2869">
          <cell r="C2869" t="str">
            <v>&lt;-- enter valid PB./Acc. # in this cell!</v>
          </cell>
          <cell r="F2869" t="str">
            <v>OK</v>
          </cell>
        </row>
        <row r="2870">
          <cell r="C2870" t="str">
            <v>&lt;-- enter valid PB./Acc. # in this cell!</v>
          </cell>
          <cell r="F2870" t="str">
            <v>OK</v>
          </cell>
        </row>
        <row r="2871">
          <cell r="C2871" t="str">
            <v>&lt;-- enter valid PB./Acc. # in this cell!</v>
          </cell>
          <cell r="F2871" t="str">
            <v>OK</v>
          </cell>
        </row>
        <row r="2872">
          <cell r="C2872" t="str">
            <v>&lt;-- enter valid PB./Acc. # in this cell!</v>
          </cell>
          <cell r="F2872" t="str">
            <v>OK</v>
          </cell>
        </row>
        <row r="2873">
          <cell r="C2873" t="str">
            <v>&lt;-- enter valid PB./Acc. # in this cell!</v>
          </cell>
          <cell r="F2873" t="str">
            <v>OK</v>
          </cell>
        </row>
        <row r="2874">
          <cell r="C2874" t="str">
            <v>&lt;-- enter valid PB./Acc. # in this cell!</v>
          </cell>
          <cell r="F2874" t="str">
            <v>OK</v>
          </cell>
        </row>
        <row r="2875">
          <cell r="C2875" t="str">
            <v>&lt;-- enter valid PB./Acc. # in this cell!</v>
          </cell>
          <cell r="F2875" t="str">
            <v>OK</v>
          </cell>
        </row>
        <row r="2876">
          <cell r="C2876" t="str">
            <v>&lt;-- enter valid PB./Acc. # in this cell!</v>
          </cell>
          <cell r="F2876" t="str">
            <v>OK</v>
          </cell>
        </row>
        <row r="2877">
          <cell r="C2877" t="str">
            <v>&lt;-- enter valid PB./Acc. # in this cell!</v>
          </cell>
          <cell r="F2877" t="str">
            <v>OK</v>
          </cell>
        </row>
        <row r="2878">
          <cell r="C2878" t="str">
            <v>&lt;-- enter valid PB./Acc. # in this cell!</v>
          </cell>
          <cell r="F2878" t="str">
            <v>OK</v>
          </cell>
        </row>
        <row r="2879">
          <cell r="C2879" t="str">
            <v>&lt;-- enter valid PB./Acc. # in this cell!</v>
          </cell>
          <cell r="F2879" t="str">
            <v>OK</v>
          </cell>
        </row>
        <row r="2880">
          <cell r="C2880" t="str">
            <v>&lt;-- enter valid PB./Acc. # in this cell!</v>
          </cell>
          <cell r="F2880" t="str">
            <v>OK</v>
          </cell>
        </row>
        <row r="2881">
          <cell r="C2881" t="str">
            <v>&lt;-- enter valid PB./Acc. # in this cell!</v>
          </cell>
          <cell r="F2881" t="str">
            <v>OK</v>
          </cell>
        </row>
        <row r="2882">
          <cell r="C2882" t="str">
            <v>&lt;-- enter valid PB./Acc. # in this cell!</v>
          </cell>
          <cell r="F2882" t="str">
            <v>OK</v>
          </cell>
        </row>
        <row r="2883">
          <cell r="C2883" t="str">
            <v>&lt;-- enter valid PB./Acc. # in this cell!</v>
          </cell>
          <cell r="F2883" t="str">
            <v>OK</v>
          </cell>
        </row>
        <row r="2884">
          <cell r="C2884" t="str">
            <v>&lt;-- enter valid PB./Acc. # in this cell!</v>
          </cell>
          <cell r="F2884" t="str">
            <v>OK</v>
          </cell>
        </row>
        <row r="2885">
          <cell r="C2885" t="str">
            <v>&lt;-- enter valid PB./Acc. # in this cell!</v>
          </cell>
          <cell r="F2885" t="str">
            <v>OK</v>
          </cell>
        </row>
        <row r="2886">
          <cell r="C2886" t="str">
            <v>&lt;-- enter valid PB./Acc. # in this cell!</v>
          </cell>
          <cell r="F2886" t="str">
            <v>OK</v>
          </cell>
        </row>
        <row r="2887">
          <cell r="C2887" t="str">
            <v>&lt;-- enter valid PB./Acc. # in this cell!</v>
          </cell>
          <cell r="F2887" t="str">
            <v>OK</v>
          </cell>
        </row>
        <row r="2888">
          <cell r="C2888" t="str">
            <v>&lt;-- enter valid PB./Acc. # in this cell!</v>
          </cell>
          <cell r="F2888" t="str">
            <v>OK</v>
          </cell>
        </row>
        <row r="2889">
          <cell r="C2889" t="str">
            <v>&lt;-- enter valid PB./Acc. # in this cell!</v>
          </cell>
          <cell r="F2889" t="str">
            <v>OK</v>
          </cell>
        </row>
        <row r="2890">
          <cell r="C2890" t="str">
            <v>&lt;-- enter valid PB./Acc. # in this cell!</v>
          </cell>
          <cell r="F2890" t="str">
            <v>OK</v>
          </cell>
        </row>
        <row r="2891">
          <cell r="C2891" t="str">
            <v>&lt;-- enter valid PB./Acc. # in this cell!</v>
          </cell>
          <cell r="F2891" t="str">
            <v>OK</v>
          </cell>
        </row>
        <row r="2892">
          <cell r="C2892" t="str">
            <v>&lt;-- enter valid PB./Acc. # in this cell!</v>
          </cell>
          <cell r="F2892" t="str">
            <v>OK</v>
          </cell>
        </row>
        <row r="2893">
          <cell r="C2893" t="str">
            <v>&lt;-- enter valid PB./Acc. # in this cell!</v>
          </cell>
          <cell r="F2893" t="str">
            <v>OK</v>
          </cell>
        </row>
        <row r="2894">
          <cell r="C2894" t="str">
            <v>&lt;-- enter valid PB./Acc. # in this cell!</v>
          </cell>
          <cell r="F2894" t="str">
            <v>OK</v>
          </cell>
        </row>
        <row r="2895">
          <cell r="C2895" t="str">
            <v>&lt;-- enter valid PB./Acc. # in this cell!</v>
          </cell>
          <cell r="F2895" t="str">
            <v>OK</v>
          </cell>
        </row>
        <row r="2896">
          <cell r="C2896" t="str">
            <v>&lt;-- enter valid PB./Acc. # in this cell!</v>
          </cell>
          <cell r="F2896" t="str">
            <v>OK</v>
          </cell>
        </row>
        <row r="2897">
          <cell r="C2897" t="str">
            <v>&lt;-- enter valid PB./Acc. # in this cell!</v>
          </cell>
          <cell r="F2897" t="str">
            <v>OK</v>
          </cell>
        </row>
        <row r="2898">
          <cell r="C2898" t="str">
            <v>&lt;-- enter valid PB./Acc. # in this cell!</v>
          </cell>
          <cell r="F2898" t="str">
            <v>OK</v>
          </cell>
        </row>
        <row r="2899">
          <cell r="C2899" t="str">
            <v>&lt;-- enter valid PB./Acc. # in this cell!</v>
          </cell>
          <cell r="F2899" t="str">
            <v>OK</v>
          </cell>
        </row>
        <row r="2900">
          <cell r="C2900" t="str">
            <v>&lt;-- enter valid PB./Acc. # in this cell!</v>
          </cell>
          <cell r="F2900" t="str">
            <v>OK</v>
          </cell>
        </row>
        <row r="2901">
          <cell r="C2901" t="str">
            <v>&lt;-- enter valid PB./Acc. # in this cell!</v>
          </cell>
          <cell r="F2901" t="str">
            <v>OK</v>
          </cell>
        </row>
        <row r="2902">
          <cell r="C2902" t="str">
            <v>&lt;-- enter valid PB./Acc. # in this cell!</v>
          </cell>
          <cell r="F2902" t="str">
            <v>OK</v>
          </cell>
        </row>
        <row r="2903">
          <cell r="C2903" t="str">
            <v>&lt;-- enter valid PB./Acc. # in this cell!</v>
          </cell>
          <cell r="F2903" t="str">
            <v>OK</v>
          </cell>
        </row>
        <row r="2904">
          <cell r="C2904" t="str">
            <v>&lt;-- enter valid PB./Acc. # in this cell!</v>
          </cell>
          <cell r="F2904" t="str">
            <v>OK</v>
          </cell>
        </row>
        <row r="2905">
          <cell r="C2905" t="str">
            <v>&lt;-- enter valid PB./Acc. # in this cell!</v>
          </cell>
          <cell r="F2905" t="str">
            <v>OK</v>
          </cell>
        </row>
        <row r="2906">
          <cell r="C2906" t="str">
            <v>&lt;-- enter valid PB./Acc. # in this cell!</v>
          </cell>
          <cell r="F2906" t="str">
            <v>OK</v>
          </cell>
        </row>
        <row r="2907">
          <cell r="C2907" t="str">
            <v>&lt;-- enter valid PB./Acc. # in this cell!</v>
          </cell>
          <cell r="F2907" t="str">
            <v>OK</v>
          </cell>
        </row>
        <row r="2908">
          <cell r="C2908" t="str">
            <v>&lt;-- enter valid PB./Acc. # in this cell!</v>
          </cell>
          <cell r="F2908" t="str">
            <v>OK</v>
          </cell>
        </row>
        <row r="2909">
          <cell r="C2909" t="str">
            <v>&lt;-- enter valid PB./Acc. # in this cell!</v>
          </cell>
          <cell r="F2909" t="str">
            <v>OK</v>
          </cell>
        </row>
        <row r="2910">
          <cell r="C2910" t="str">
            <v>&lt;-- enter valid PB./Acc. # in this cell!</v>
          </cell>
          <cell r="F2910" t="str">
            <v>OK</v>
          </cell>
        </row>
        <row r="2911">
          <cell r="C2911" t="str">
            <v>&lt;-- enter valid PB./Acc. # in this cell!</v>
          </cell>
          <cell r="F2911" t="str">
            <v>OK</v>
          </cell>
        </row>
        <row r="2912">
          <cell r="C2912" t="str">
            <v>&lt;-- enter valid PB./Acc. # in this cell!</v>
          </cell>
          <cell r="F2912" t="str">
            <v>OK</v>
          </cell>
        </row>
        <row r="2913">
          <cell r="C2913" t="str">
            <v>&lt;-- enter valid PB./Acc. # in this cell!</v>
          </cell>
          <cell r="F2913" t="str">
            <v>OK</v>
          </cell>
        </row>
        <row r="2914">
          <cell r="C2914" t="str">
            <v>&lt;-- enter valid PB./Acc. # in this cell!</v>
          </cell>
          <cell r="F2914" t="str">
            <v>OK</v>
          </cell>
        </row>
        <row r="2915">
          <cell r="C2915" t="str">
            <v>&lt;-- enter valid PB./Acc. # in this cell!</v>
          </cell>
          <cell r="F2915" t="str">
            <v>OK</v>
          </cell>
        </row>
        <row r="2916">
          <cell r="C2916" t="str">
            <v>&lt;-- enter valid PB./Acc. # in this cell!</v>
          </cell>
          <cell r="F2916" t="str">
            <v>OK</v>
          </cell>
        </row>
        <row r="2917">
          <cell r="C2917" t="str">
            <v>&lt;-- enter valid PB./Acc. # in this cell!</v>
          </cell>
          <cell r="F2917" t="str">
            <v>OK</v>
          </cell>
        </row>
        <row r="2918">
          <cell r="C2918" t="str">
            <v>&lt;-- enter valid PB./Acc. # in this cell!</v>
          </cell>
          <cell r="F2918" t="str">
            <v>OK</v>
          </cell>
        </row>
        <row r="2919">
          <cell r="C2919" t="str">
            <v>&lt;-- enter valid PB./Acc. # in this cell!</v>
          </cell>
          <cell r="F2919" t="str">
            <v>OK</v>
          </cell>
        </row>
        <row r="2920">
          <cell r="C2920" t="str">
            <v>&lt;-- enter valid PB./Acc. # in this cell!</v>
          </cell>
          <cell r="F2920" t="str">
            <v>OK</v>
          </cell>
        </row>
        <row r="2921">
          <cell r="C2921" t="str">
            <v>&lt;-- enter valid PB./Acc. # in this cell!</v>
          </cell>
          <cell r="F2921" t="str">
            <v>OK</v>
          </cell>
        </row>
        <row r="2922">
          <cell r="C2922" t="str">
            <v>&lt;-- enter valid PB./Acc. # in this cell!</v>
          </cell>
          <cell r="F2922" t="str">
            <v>OK</v>
          </cell>
        </row>
        <row r="2923">
          <cell r="C2923" t="str">
            <v>&lt;-- enter valid PB./Acc. # in this cell!</v>
          </cell>
          <cell r="F2923" t="str">
            <v>OK</v>
          </cell>
        </row>
        <row r="2924">
          <cell r="C2924" t="str">
            <v>&lt;-- enter valid PB./Acc. # in this cell!</v>
          </cell>
          <cell r="F2924" t="str">
            <v>OK</v>
          </cell>
        </row>
        <row r="2925">
          <cell r="C2925" t="str">
            <v>&lt;-- enter valid PB./Acc. # in this cell!</v>
          </cell>
          <cell r="F2925" t="str">
            <v>OK</v>
          </cell>
        </row>
        <row r="2926">
          <cell r="C2926" t="str">
            <v>&lt;-- enter valid PB./Acc. # in this cell!</v>
          </cell>
          <cell r="F2926" t="str">
            <v>OK</v>
          </cell>
        </row>
        <row r="2927">
          <cell r="C2927" t="str">
            <v>&lt;-- enter valid PB./Acc. # in this cell!</v>
          </cell>
          <cell r="F2927" t="str">
            <v>OK</v>
          </cell>
        </row>
        <row r="2928">
          <cell r="C2928" t="str">
            <v>&lt;-- enter valid PB./Acc. # in this cell!</v>
          </cell>
          <cell r="F2928" t="str">
            <v>OK</v>
          </cell>
        </row>
        <row r="2929">
          <cell r="C2929" t="str">
            <v>&lt;-- enter valid PB./Acc. # in this cell!</v>
          </cell>
          <cell r="F2929" t="str">
            <v>OK</v>
          </cell>
        </row>
        <row r="2930">
          <cell r="C2930" t="str">
            <v>&lt;-- enter valid PB./Acc. # in this cell!</v>
          </cell>
          <cell r="F2930" t="str">
            <v>OK</v>
          </cell>
        </row>
        <row r="2931">
          <cell r="C2931" t="str">
            <v>&lt;-- enter valid PB./Acc. # in this cell!</v>
          </cell>
          <cell r="F2931" t="str">
            <v>OK</v>
          </cell>
        </row>
        <row r="2932">
          <cell r="C2932" t="str">
            <v>&lt;-- enter valid PB./Acc. # in this cell!</v>
          </cell>
          <cell r="F2932" t="str">
            <v>OK</v>
          </cell>
        </row>
        <row r="2933">
          <cell r="C2933" t="str">
            <v>&lt;-- enter valid PB./Acc. # in this cell!</v>
          </cell>
          <cell r="F2933" t="str">
            <v>OK</v>
          </cell>
        </row>
        <row r="2934">
          <cell r="C2934" t="str">
            <v>&lt;-- enter valid PB./Acc. # in this cell!</v>
          </cell>
          <cell r="F2934" t="str">
            <v>OK</v>
          </cell>
        </row>
        <row r="2935">
          <cell r="C2935" t="str">
            <v>&lt;-- enter valid PB./Acc. # in this cell!</v>
          </cell>
          <cell r="F2935" t="str">
            <v>OK</v>
          </cell>
        </row>
        <row r="2936">
          <cell r="C2936" t="str">
            <v>&lt;-- enter valid PB./Acc. # in this cell!</v>
          </cell>
          <cell r="F2936" t="str">
            <v>OK</v>
          </cell>
        </row>
        <row r="2937">
          <cell r="C2937" t="str">
            <v>&lt;-- enter valid PB./Acc. # in this cell!</v>
          </cell>
          <cell r="F2937" t="str">
            <v>OK</v>
          </cell>
        </row>
        <row r="2938">
          <cell r="C2938" t="str">
            <v>&lt;-- enter valid PB./Acc. # in this cell!</v>
          </cell>
          <cell r="F2938" t="str">
            <v>OK</v>
          </cell>
        </row>
        <row r="2939">
          <cell r="C2939" t="str">
            <v>&lt;-- enter valid PB./Acc. # in this cell!</v>
          </cell>
          <cell r="F2939" t="str">
            <v>OK</v>
          </cell>
        </row>
        <row r="2940">
          <cell r="C2940" t="str">
            <v>&lt;-- enter valid PB./Acc. # in this cell!</v>
          </cell>
          <cell r="F2940" t="str">
            <v>OK</v>
          </cell>
        </row>
        <row r="2941">
          <cell r="C2941" t="str">
            <v>&lt;-- enter valid PB./Acc. # in this cell!</v>
          </cell>
          <cell r="F2941" t="str">
            <v>OK</v>
          </cell>
        </row>
        <row r="2942">
          <cell r="C2942" t="str">
            <v>&lt;-- enter valid PB./Acc. # in this cell!</v>
          </cell>
          <cell r="F2942" t="str">
            <v>OK</v>
          </cell>
        </row>
        <row r="2943">
          <cell r="C2943" t="str">
            <v>&lt;-- enter valid PB./Acc. # in this cell!</v>
          </cell>
          <cell r="F2943" t="str">
            <v>OK</v>
          </cell>
        </row>
        <row r="2944">
          <cell r="C2944" t="str">
            <v>&lt;-- enter valid PB./Acc. # in this cell!</v>
          </cell>
          <cell r="F2944" t="str">
            <v>OK</v>
          </cell>
        </row>
        <row r="2945">
          <cell r="C2945" t="str">
            <v>&lt;-- enter valid PB./Acc. # in this cell!</v>
          </cell>
          <cell r="F2945" t="str">
            <v>OK</v>
          </cell>
        </row>
        <row r="2946">
          <cell r="C2946" t="str">
            <v>&lt;-- enter valid PB./Acc. # in this cell!</v>
          </cell>
          <cell r="F2946" t="str">
            <v>OK</v>
          </cell>
        </row>
        <row r="2947">
          <cell r="C2947" t="str">
            <v>&lt;-- enter valid PB./Acc. # in this cell!</v>
          </cell>
          <cell r="F2947" t="str">
            <v>OK</v>
          </cell>
        </row>
        <row r="2948">
          <cell r="C2948" t="str">
            <v>&lt;-- enter valid PB./Acc. # in this cell!</v>
          </cell>
          <cell r="F2948" t="str">
            <v>OK</v>
          </cell>
        </row>
        <row r="2949">
          <cell r="C2949" t="str">
            <v>&lt;-- enter valid PB./Acc. # in this cell!</v>
          </cell>
          <cell r="F2949" t="str">
            <v>OK</v>
          </cell>
        </row>
        <row r="2950">
          <cell r="C2950" t="str">
            <v>&lt;-- enter valid PB./Acc. # in this cell!</v>
          </cell>
          <cell r="F2950" t="str">
            <v>OK</v>
          </cell>
        </row>
        <row r="2951">
          <cell r="C2951" t="str">
            <v>&lt;-- enter valid PB./Acc. # in this cell!</v>
          </cell>
          <cell r="F2951" t="str">
            <v>OK</v>
          </cell>
        </row>
        <row r="2952">
          <cell r="C2952" t="str">
            <v>&lt;-- enter valid PB./Acc. # in this cell!</v>
          </cell>
          <cell r="F2952" t="str">
            <v>OK</v>
          </cell>
        </row>
        <row r="2953">
          <cell r="C2953" t="str">
            <v>&lt;-- enter valid PB./Acc. # in this cell!</v>
          </cell>
          <cell r="F2953" t="str">
            <v>OK</v>
          </cell>
        </row>
        <row r="2954">
          <cell r="C2954" t="str">
            <v>&lt;-- enter valid PB./Acc. # in this cell!</v>
          </cell>
          <cell r="F2954" t="str">
            <v>OK</v>
          </cell>
        </row>
        <row r="2955">
          <cell r="C2955" t="str">
            <v>&lt;-- enter valid PB./Acc. # in this cell!</v>
          </cell>
          <cell r="F2955" t="str">
            <v>OK</v>
          </cell>
        </row>
        <row r="2956">
          <cell r="C2956" t="str">
            <v>&lt;-- enter valid PB./Acc. # in this cell!</v>
          </cell>
          <cell r="F2956" t="str">
            <v>OK</v>
          </cell>
        </row>
        <row r="2957">
          <cell r="C2957" t="str">
            <v>&lt;-- enter valid PB./Acc. # in this cell!</v>
          </cell>
          <cell r="F2957" t="str">
            <v>OK</v>
          </cell>
        </row>
        <row r="2958">
          <cell r="C2958" t="str">
            <v>&lt;-- enter valid PB./Acc. # in this cell!</v>
          </cell>
          <cell r="F2958" t="str">
            <v>OK</v>
          </cell>
        </row>
        <row r="2959">
          <cell r="C2959" t="str">
            <v>&lt;-- enter valid PB./Acc. # in this cell!</v>
          </cell>
          <cell r="F2959" t="str">
            <v>OK</v>
          </cell>
        </row>
        <row r="2960">
          <cell r="C2960" t="str">
            <v>&lt;-- enter valid PB./Acc. # in this cell!</v>
          </cell>
          <cell r="F2960" t="str">
            <v>OK</v>
          </cell>
        </row>
        <row r="2961">
          <cell r="C2961" t="str">
            <v>&lt;-- enter valid PB./Acc. # in this cell!</v>
          </cell>
          <cell r="F2961" t="str">
            <v>OK</v>
          </cell>
        </row>
        <row r="2962">
          <cell r="C2962" t="str">
            <v>&lt;-- enter valid PB./Acc. # in this cell!</v>
          </cell>
          <cell r="F2962" t="str">
            <v>OK</v>
          </cell>
        </row>
        <row r="2963">
          <cell r="C2963" t="str">
            <v>&lt;-- enter valid PB./Acc. # in this cell!</v>
          </cell>
          <cell r="F2963" t="str">
            <v>OK</v>
          </cell>
        </row>
        <row r="2964">
          <cell r="C2964" t="str">
            <v>&lt;-- enter valid PB./Acc. # in this cell!</v>
          </cell>
          <cell r="F2964" t="str">
            <v>OK</v>
          </cell>
        </row>
        <row r="2965">
          <cell r="C2965" t="str">
            <v>&lt;-- enter valid PB./Acc. # in this cell!</v>
          </cell>
          <cell r="F2965" t="str">
            <v>OK</v>
          </cell>
        </row>
        <row r="2966">
          <cell r="C2966" t="str">
            <v>&lt;-- enter valid PB./Acc. # in this cell!</v>
          </cell>
          <cell r="F2966" t="str">
            <v>OK</v>
          </cell>
        </row>
        <row r="2967">
          <cell r="C2967" t="str">
            <v>&lt;-- enter valid PB./Acc. # in this cell!</v>
          </cell>
          <cell r="F2967" t="str">
            <v>OK</v>
          </cell>
        </row>
        <row r="2968">
          <cell r="C2968" t="str">
            <v>&lt;-- enter valid PB./Acc. # in this cell!</v>
          </cell>
          <cell r="F2968" t="str">
            <v>OK</v>
          </cell>
        </row>
        <row r="2969">
          <cell r="C2969" t="str">
            <v>&lt;-- enter valid PB./Acc. # in this cell!</v>
          </cell>
          <cell r="F2969" t="str">
            <v>OK</v>
          </cell>
        </row>
        <row r="2970">
          <cell r="C2970" t="str">
            <v>&lt;-- enter valid PB./Acc. # in this cell!</v>
          </cell>
          <cell r="F2970" t="str">
            <v>OK</v>
          </cell>
        </row>
        <row r="2971">
          <cell r="C2971" t="str">
            <v>&lt;-- enter valid PB./Acc. # in this cell!</v>
          </cell>
          <cell r="F2971" t="str">
            <v>OK</v>
          </cell>
        </row>
        <row r="2972">
          <cell r="C2972" t="str">
            <v>&lt;-- enter valid PB./Acc. # in this cell!</v>
          </cell>
          <cell r="F2972" t="str">
            <v>OK</v>
          </cell>
        </row>
        <row r="2973">
          <cell r="C2973" t="str">
            <v>&lt;-- enter valid PB./Acc. # in this cell!</v>
          </cell>
          <cell r="F2973" t="str">
            <v>OK</v>
          </cell>
        </row>
        <row r="2974">
          <cell r="C2974" t="str">
            <v>&lt;-- enter valid PB./Acc. # in this cell!</v>
          </cell>
          <cell r="F2974" t="str">
            <v>OK</v>
          </cell>
        </row>
        <row r="2975">
          <cell r="C2975" t="str">
            <v>&lt;-- enter valid PB./Acc. # in this cell!</v>
          </cell>
          <cell r="F2975" t="str">
            <v>OK</v>
          </cell>
        </row>
        <row r="2976">
          <cell r="C2976" t="str">
            <v>&lt;-- enter valid PB./Acc. # in this cell!</v>
          </cell>
          <cell r="F2976" t="str">
            <v>OK</v>
          </cell>
        </row>
        <row r="2977">
          <cell r="C2977" t="str">
            <v>&lt;-- enter valid PB./Acc. # in this cell!</v>
          </cell>
          <cell r="F2977" t="str">
            <v>OK</v>
          </cell>
        </row>
        <row r="2978">
          <cell r="C2978" t="str">
            <v>&lt;-- enter valid PB./Acc. # in this cell!</v>
          </cell>
          <cell r="F2978" t="str">
            <v>OK</v>
          </cell>
        </row>
        <row r="2979">
          <cell r="C2979" t="str">
            <v>&lt;-- enter valid PB./Acc. # in this cell!</v>
          </cell>
          <cell r="F2979" t="str">
            <v>OK</v>
          </cell>
        </row>
        <row r="2980">
          <cell r="C2980" t="str">
            <v>&lt;-- enter valid PB./Acc. # in this cell!</v>
          </cell>
          <cell r="F2980" t="str">
            <v>OK</v>
          </cell>
        </row>
        <row r="2981">
          <cell r="C2981" t="str">
            <v>&lt;-- enter valid PB./Acc. # in this cell!</v>
          </cell>
          <cell r="F2981" t="str">
            <v>OK</v>
          </cell>
        </row>
        <row r="2982">
          <cell r="C2982" t="str">
            <v>&lt;-- enter valid PB./Acc. # in this cell!</v>
          </cell>
          <cell r="F2982" t="str">
            <v>OK</v>
          </cell>
        </row>
        <row r="2983">
          <cell r="C2983" t="str">
            <v>&lt;-- enter valid PB./Acc. # in this cell!</v>
          </cell>
          <cell r="F2983" t="str">
            <v>OK</v>
          </cell>
        </row>
        <row r="2984">
          <cell r="C2984" t="str">
            <v>&lt;-- enter valid PB./Acc. # in this cell!</v>
          </cell>
          <cell r="F2984" t="str">
            <v>OK</v>
          </cell>
        </row>
        <row r="2985">
          <cell r="C2985" t="str">
            <v>&lt;-- enter valid PB./Acc. # in this cell!</v>
          </cell>
          <cell r="F2985" t="str">
            <v>OK</v>
          </cell>
        </row>
        <row r="2986">
          <cell r="C2986" t="str">
            <v>&lt;-- enter valid PB./Acc. # in this cell!</v>
          </cell>
          <cell r="F2986" t="str">
            <v>OK</v>
          </cell>
        </row>
        <row r="2987">
          <cell r="C2987" t="str">
            <v>&lt;-- enter valid PB./Acc. # in this cell!</v>
          </cell>
          <cell r="F2987" t="str">
            <v>OK</v>
          </cell>
        </row>
        <row r="2988">
          <cell r="C2988" t="str">
            <v>&lt;-- enter valid PB./Acc. # in this cell!</v>
          </cell>
          <cell r="F2988" t="str">
            <v>OK</v>
          </cell>
        </row>
        <row r="2989">
          <cell r="C2989" t="str">
            <v>&lt;-- enter valid PB./Acc. # in this cell!</v>
          </cell>
          <cell r="F2989" t="str">
            <v>OK</v>
          </cell>
        </row>
        <row r="2990">
          <cell r="C2990" t="str">
            <v>&lt;-- enter valid PB./Acc. # in this cell!</v>
          </cell>
          <cell r="F2990" t="str">
            <v>OK</v>
          </cell>
        </row>
        <row r="2991">
          <cell r="C2991" t="str">
            <v>&lt;-- enter valid PB./Acc. # in this cell!</v>
          </cell>
          <cell r="F2991" t="str">
            <v>OK</v>
          </cell>
        </row>
        <row r="2992">
          <cell r="C2992" t="str">
            <v>&lt;-- enter valid PB./Acc. # in this cell!</v>
          </cell>
          <cell r="F2992" t="str">
            <v>OK</v>
          </cell>
        </row>
        <row r="2993">
          <cell r="C2993" t="str">
            <v>&lt;-- enter valid PB./Acc. # in this cell!</v>
          </cell>
          <cell r="F2993" t="str">
            <v>OK</v>
          </cell>
        </row>
        <row r="2994">
          <cell r="C2994" t="str">
            <v>&lt;-- enter valid PB./Acc. # in this cell!</v>
          </cell>
          <cell r="F2994" t="str">
            <v>OK</v>
          </cell>
        </row>
        <row r="2995">
          <cell r="C2995" t="str">
            <v>&lt;-- enter valid PB./Acc. # in this cell!</v>
          </cell>
          <cell r="F2995" t="str">
            <v>OK</v>
          </cell>
        </row>
        <row r="2996">
          <cell r="C2996" t="str">
            <v>&lt;-- enter valid PB./Acc. # in this cell!</v>
          </cell>
          <cell r="F2996" t="str">
            <v>OK</v>
          </cell>
        </row>
        <row r="2997">
          <cell r="C2997" t="str">
            <v>&lt;-- enter valid PB./Acc. # in this cell!</v>
          </cell>
          <cell r="F2997" t="str">
            <v>OK</v>
          </cell>
        </row>
        <row r="2998">
          <cell r="C2998" t="str">
            <v>&lt;-- enter valid PB./Acc. # in this cell!</v>
          </cell>
          <cell r="F2998" t="str">
            <v>OK</v>
          </cell>
        </row>
        <row r="2999">
          <cell r="C2999" t="str">
            <v>&lt;-- enter valid PB./Acc. # in this cell!</v>
          </cell>
          <cell r="F2999" t="str">
            <v>OK</v>
          </cell>
        </row>
        <row r="3000">
          <cell r="A3000" t="str">
            <v>Total Balances of April 2016</v>
          </cell>
          <cell r="F3000" t="str">
            <v>OK</v>
          </cell>
          <cell r="G3000">
            <v>0</v>
          </cell>
          <cell r="H3000">
            <v>0</v>
          </cell>
          <cell r="I3000">
            <v>0</v>
          </cell>
          <cell r="J3000">
            <v>0</v>
          </cell>
          <cell r="K3000">
            <v>0</v>
          </cell>
          <cell r="L3000">
            <v>0</v>
          </cell>
          <cell r="M3000">
            <v>0</v>
          </cell>
          <cell r="N3000">
            <v>0</v>
          </cell>
          <cell r="O3000">
            <v>0</v>
          </cell>
          <cell r="P3000">
            <v>0</v>
          </cell>
          <cell r="Q3000">
            <v>0</v>
          </cell>
          <cell r="R3000">
            <v>0</v>
          </cell>
          <cell r="S3000">
            <v>0</v>
          </cell>
          <cell r="T3000">
            <v>0</v>
          </cell>
          <cell r="AQ3000">
            <v>0</v>
          </cell>
        </row>
        <row r="3001">
          <cell r="A3001">
            <v>42521</v>
          </cell>
        </row>
        <row r="3002">
          <cell r="C3002" t="str">
            <v>&lt;-- enter valid PB./Acc. # in this cell!</v>
          </cell>
          <cell r="F3002" t="str">
            <v>OK</v>
          </cell>
        </row>
        <row r="3003">
          <cell r="C3003" t="str">
            <v>&lt;-- enter valid PB./Acc. # in this cell!</v>
          </cell>
          <cell r="F3003" t="str">
            <v>OK</v>
          </cell>
        </row>
        <row r="3004">
          <cell r="C3004" t="str">
            <v>&lt;-- enter valid PB./Acc. # in this cell!</v>
          </cell>
          <cell r="F3004" t="str">
            <v>OK</v>
          </cell>
        </row>
        <row r="3005">
          <cell r="C3005" t="str">
            <v>&lt;-- enter valid PB./Acc. # in this cell!</v>
          </cell>
          <cell r="F3005" t="str">
            <v>OK</v>
          </cell>
        </row>
        <row r="3006">
          <cell r="C3006" t="str">
            <v>&lt;-- enter valid PB./Acc. # in this cell!</v>
          </cell>
          <cell r="F3006" t="str">
            <v>OK</v>
          </cell>
        </row>
        <row r="3007">
          <cell r="C3007" t="str">
            <v>&lt;-- enter valid PB./Acc. # in this cell!</v>
          </cell>
          <cell r="F3007" t="str">
            <v>OK</v>
          </cell>
        </row>
        <row r="3008">
          <cell r="C3008" t="str">
            <v>&lt;-- enter valid PB./Acc. # in this cell!</v>
          </cell>
          <cell r="F3008" t="str">
            <v>OK</v>
          </cell>
        </row>
        <row r="3009">
          <cell r="C3009" t="str">
            <v>&lt;-- enter valid PB./Acc. # in this cell!</v>
          </cell>
          <cell r="F3009" t="str">
            <v>OK</v>
          </cell>
        </row>
        <row r="3010">
          <cell r="C3010" t="str">
            <v>&lt;-- enter valid PB./Acc. # in this cell!</v>
          </cell>
          <cell r="F3010" t="str">
            <v>OK</v>
          </cell>
        </row>
        <row r="3011">
          <cell r="C3011" t="str">
            <v>&lt;-- enter valid PB./Acc. # in this cell!</v>
          </cell>
          <cell r="F3011" t="str">
            <v>OK</v>
          </cell>
        </row>
        <row r="3012">
          <cell r="C3012" t="str">
            <v>&lt;-- enter valid PB./Acc. # in this cell!</v>
          </cell>
          <cell r="F3012" t="str">
            <v>OK</v>
          </cell>
        </row>
        <row r="3013">
          <cell r="C3013" t="str">
            <v>&lt;-- enter valid PB./Acc. # in this cell!</v>
          </cell>
          <cell r="F3013" t="str">
            <v>OK</v>
          </cell>
        </row>
        <row r="3014">
          <cell r="C3014" t="str">
            <v>&lt;-- enter valid PB./Acc. # in this cell!</v>
          </cell>
          <cell r="F3014" t="str">
            <v>OK</v>
          </cell>
        </row>
        <row r="3015">
          <cell r="C3015" t="str">
            <v>&lt;-- enter valid PB./Acc. # in this cell!</v>
          </cell>
          <cell r="F3015" t="str">
            <v>OK</v>
          </cell>
        </row>
        <row r="3016">
          <cell r="C3016" t="str">
            <v>&lt;-- enter valid PB./Acc. # in this cell!</v>
          </cell>
          <cell r="F3016" t="str">
            <v>OK</v>
          </cell>
        </row>
        <row r="3017">
          <cell r="C3017" t="str">
            <v>&lt;-- enter valid PB./Acc. # in this cell!</v>
          </cell>
          <cell r="F3017" t="str">
            <v>OK</v>
          </cell>
        </row>
        <row r="3018">
          <cell r="C3018" t="str">
            <v>&lt;-- enter valid PB./Acc. # in this cell!</v>
          </cell>
          <cell r="F3018" t="str">
            <v>OK</v>
          </cell>
        </row>
        <row r="3019">
          <cell r="C3019" t="str">
            <v>&lt;-- enter valid PB./Acc. # in this cell!</v>
          </cell>
          <cell r="F3019" t="str">
            <v>OK</v>
          </cell>
        </row>
        <row r="3020">
          <cell r="C3020" t="str">
            <v>&lt;-- enter valid PB./Acc. # in this cell!</v>
          </cell>
          <cell r="F3020" t="str">
            <v>OK</v>
          </cell>
        </row>
        <row r="3021">
          <cell r="C3021" t="str">
            <v>&lt;-- enter valid PB./Acc. # in this cell!</v>
          </cell>
          <cell r="F3021" t="str">
            <v>OK</v>
          </cell>
        </row>
        <row r="3022">
          <cell r="C3022" t="str">
            <v>&lt;-- enter valid PB./Acc. # in this cell!</v>
          </cell>
          <cell r="F3022" t="str">
            <v>OK</v>
          </cell>
        </row>
        <row r="3023">
          <cell r="C3023" t="str">
            <v>&lt;-- enter valid PB./Acc. # in this cell!</v>
          </cell>
          <cell r="F3023" t="str">
            <v>OK</v>
          </cell>
        </row>
        <row r="3024">
          <cell r="C3024" t="str">
            <v>&lt;-- enter valid PB./Acc. # in this cell!</v>
          </cell>
          <cell r="F3024" t="str">
            <v>OK</v>
          </cell>
        </row>
        <row r="3025">
          <cell r="C3025" t="str">
            <v>&lt;-- enter valid PB./Acc. # in this cell!</v>
          </cell>
          <cell r="F3025" t="str">
            <v>OK</v>
          </cell>
        </row>
        <row r="3026">
          <cell r="C3026" t="str">
            <v>&lt;-- enter valid PB./Acc. # in this cell!</v>
          </cell>
          <cell r="F3026" t="str">
            <v>OK</v>
          </cell>
        </row>
        <row r="3027">
          <cell r="C3027" t="str">
            <v>&lt;-- enter valid PB./Acc. # in this cell!</v>
          </cell>
          <cell r="F3027" t="str">
            <v>OK</v>
          </cell>
        </row>
        <row r="3028">
          <cell r="C3028" t="str">
            <v>&lt;-- enter valid PB./Acc. # in this cell!</v>
          </cell>
          <cell r="F3028" t="str">
            <v>OK</v>
          </cell>
        </row>
        <row r="3029">
          <cell r="C3029" t="str">
            <v>&lt;-- enter valid PB./Acc. # in this cell!</v>
          </cell>
          <cell r="F3029" t="str">
            <v>OK</v>
          </cell>
        </row>
        <row r="3030">
          <cell r="C3030" t="str">
            <v>&lt;-- enter valid PB./Acc. # in this cell!</v>
          </cell>
          <cell r="F3030" t="str">
            <v>OK</v>
          </cell>
        </row>
        <row r="3031">
          <cell r="C3031" t="str">
            <v>&lt;-- enter valid PB./Acc. # in this cell!</v>
          </cell>
          <cell r="F3031" t="str">
            <v>OK</v>
          </cell>
        </row>
        <row r="3032">
          <cell r="C3032" t="str">
            <v>&lt;-- enter valid PB./Acc. # in this cell!</v>
          </cell>
          <cell r="F3032" t="str">
            <v>OK</v>
          </cell>
        </row>
        <row r="3033">
          <cell r="C3033" t="str">
            <v>&lt;-- enter valid PB./Acc. # in this cell!</v>
          </cell>
          <cell r="F3033" t="str">
            <v>OK</v>
          </cell>
        </row>
        <row r="3034">
          <cell r="C3034" t="str">
            <v>&lt;-- enter valid PB./Acc. # in this cell!</v>
          </cell>
          <cell r="F3034" t="str">
            <v>OK</v>
          </cell>
        </row>
        <row r="3035">
          <cell r="C3035" t="str">
            <v>&lt;-- enter valid PB./Acc. # in this cell!</v>
          </cell>
          <cell r="F3035" t="str">
            <v>OK</v>
          </cell>
        </row>
        <row r="3036">
          <cell r="C3036" t="str">
            <v>&lt;-- enter valid PB./Acc. # in this cell!</v>
          </cell>
          <cell r="F3036" t="str">
            <v>OK</v>
          </cell>
        </row>
        <row r="3037">
          <cell r="C3037" t="str">
            <v>&lt;-- enter valid PB./Acc. # in this cell!</v>
          </cell>
          <cell r="F3037" t="str">
            <v>OK</v>
          </cell>
        </row>
        <row r="3038">
          <cell r="C3038" t="str">
            <v>&lt;-- enter valid PB./Acc. # in this cell!</v>
          </cell>
          <cell r="F3038" t="str">
            <v>OK</v>
          </cell>
        </row>
        <row r="3039">
          <cell r="C3039" t="str">
            <v>&lt;-- enter valid PB./Acc. # in this cell!</v>
          </cell>
          <cell r="F3039" t="str">
            <v>OK</v>
          </cell>
        </row>
        <row r="3040">
          <cell r="C3040" t="str">
            <v>&lt;-- enter valid PB./Acc. # in this cell!</v>
          </cell>
          <cell r="F3040" t="str">
            <v>OK</v>
          </cell>
        </row>
        <row r="3041">
          <cell r="C3041" t="str">
            <v>&lt;-- enter valid PB./Acc. # in this cell!</v>
          </cell>
          <cell r="F3041" t="str">
            <v>OK</v>
          </cell>
        </row>
        <row r="3042">
          <cell r="C3042" t="str">
            <v>&lt;-- enter valid PB./Acc. # in this cell!</v>
          </cell>
          <cell r="F3042" t="str">
            <v>OK</v>
          </cell>
        </row>
        <row r="3043">
          <cell r="C3043" t="str">
            <v>&lt;-- enter valid PB./Acc. # in this cell!</v>
          </cell>
          <cell r="F3043" t="str">
            <v>OK</v>
          </cell>
        </row>
        <row r="3044">
          <cell r="C3044" t="str">
            <v>&lt;-- enter valid PB./Acc. # in this cell!</v>
          </cell>
          <cell r="F3044" t="str">
            <v>OK</v>
          </cell>
        </row>
        <row r="3045">
          <cell r="C3045" t="str">
            <v>&lt;-- enter valid PB./Acc. # in this cell!</v>
          </cell>
          <cell r="F3045" t="str">
            <v>OK</v>
          </cell>
        </row>
        <row r="3046">
          <cell r="C3046" t="str">
            <v>&lt;-- enter valid PB./Acc. # in this cell!</v>
          </cell>
          <cell r="F3046" t="str">
            <v>OK</v>
          </cell>
        </row>
        <row r="3047">
          <cell r="C3047" t="str">
            <v>&lt;-- enter valid PB./Acc. # in this cell!</v>
          </cell>
          <cell r="F3047" t="str">
            <v>OK</v>
          </cell>
        </row>
        <row r="3048">
          <cell r="C3048" t="str">
            <v>&lt;-- enter valid PB./Acc. # in this cell!</v>
          </cell>
          <cell r="F3048" t="str">
            <v>OK</v>
          </cell>
        </row>
        <row r="3049">
          <cell r="C3049" t="str">
            <v>&lt;-- enter valid PB./Acc. # in this cell!</v>
          </cell>
          <cell r="F3049" t="str">
            <v>OK</v>
          </cell>
        </row>
        <row r="3050">
          <cell r="C3050" t="str">
            <v>&lt;-- enter valid PB./Acc. # in this cell!</v>
          </cell>
          <cell r="F3050" t="str">
            <v>OK</v>
          </cell>
        </row>
        <row r="3051">
          <cell r="C3051" t="str">
            <v>&lt;-- enter valid PB./Acc. # in this cell!</v>
          </cell>
          <cell r="F3051" t="str">
            <v>OK</v>
          </cell>
        </row>
        <row r="3052">
          <cell r="C3052" t="str">
            <v>&lt;-- enter valid PB./Acc. # in this cell!</v>
          </cell>
          <cell r="F3052" t="str">
            <v>OK</v>
          </cell>
        </row>
        <row r="3053">
          <cell r="C3053" t="str">
            <v>&lt;-- enter valid PB./Acc. # in this cell!</v>
          </cell>
          <cell r="F3053" t="str">
            <v>OK</v>
          </cell>
        </row>
        <row r="3054">
          <cell r="C3054" t="str">
            <v>&lt;-- enter valid PB./Acc. # in this cell!</v>
          </cell>
          <cell r="F3054" t="str">
            <v>OK</v>
          </cell>
        </row>
        <row r="3055">
          <cell r="C3055" t="str">
            <v>&lt;-- enter valid PB./Acc. # in this cell!</v>
          </cell>
          <cell r="F3055" t="str">
            <v>OK</v>
          </cell>
        </row>
        <row r="3056">
          <cell r="C3056" t="str">
            <v>&lt;-- enter valid PB./Acc. # in this cell!</v>
          </cell>
          <cell r="F3056" t="str">
            <v>OK</v>
          </cell>
        </row>
        <row r="3057">
          <cell r="C3057" t="str">
            <v>&lt;-- enter valid PB./Acc. # in this cell!</v>
          </cell>
          <cell r="F3057" t="str">
            <v>OK</v>
          </cell>
        </row>
        <row r="3058">
          <cell r="C3058" t="str">
            <v>&lt;-- enter valid PB./Acc. # in this cell!</v>
          </cell>
          <cell r="F3058" t="str">
            <v>OK</v>
          </cell>
        </row>
        <row r="3059">
          <cell r="C3059" t="str">
            <v>&lt;-- enter valid PB./Acc. # in this cell!</v>
          </cell>
          <cell r="F3059" t="str">
            <v>OK</v>
          </cell>
        </row>
        <row r="3060">
          <cell r="C3060" t="str">
            <v>&lt;-- enter valid PB./Acc. # in this cell!</v>
          </cell>
          <cell r="F3060" t="str">
            <v>OK</v>
          </cell>
        </row>
        <row r="3061">
          <cell r="C3061" t="str">
            <v>&lt;-- enter valid PB./Acc. # in this cell!</v>
          </cell>
          <cell r="F3061" t="str">
            <v>OK</v>
          </cell>
        </row>
        <row r="3062">
          <cell r="C3062" t="str">
            <v>&lt;-- enter valid PB./Acc. # in this cell!</v>
          </cell>
          <cell r="F3062" t="str">
            <v>OK</v>
          </cell>
        </row>
        <row r="3063">
          <cell r="C3063" t="str">
            <v>&lt;-- enter valid PB./Acc. # in this cell!</v>
          </cell>
          <cell r="F3063" t="str">
            <v>OK</v>
          </cell>
        </row>
        <row r="3064">
          <cell r="C3064" t="str">
            <v>&lt;-- enter valid PB./Acc. # in this cell!</v>
          </cell>
          <cell r="F3064" t="str">
            <v>OK</v>
          </cell>
        </row>
        <row r="3065">
          <cell r="C3065" t="str">
            <v>&lt;-- enter valid PB./Acc. # in this cell!</v>
          </cell>
          <cell r="F3065" t="str">
            <v>OK</v>
          </cell>
        </row>
        <row r="3066">
          <cell r="C3066" t="str">
            <v>&lt;-- enter valid PB./Acc. # in this cell!</v>
          </cell>
          <cell r="F3066" t="str">
            <v>OK</v>
          </cell>
        </row>
        <row r="3067">
          <cell r="C3067" t="str">
            <v>&lt;-- enter valid PB./Acc. # in this cell!</v>
          </cell>
          <cell r="F3067" t="str">
            <v>OK</v>
          </cell>
        </row>
        <row r="3068">
          <cell r="C3068" t="str">
            <v>&lt;-- enter valid PB./Acc. # in this cell!</v>
          </cell>
          <cell r="F3068" t="str">
            <v>OK</v>
          </cell>
        </row>
        <row r="3069">
          <cell r="C3069" t="str">
            <v>&lt;-- enter valid PB./Acc. # in this cell!</v>
          </cell>
          <cell r="F3069" t="str">
            <v>OK</v>
          </cell>
        </row>
        <row r="3070">
          <cell r="C3070" t="str">
            <v>&lt;-- enter valid PB./Acc. # in this cell!</v>
          </cell>
          <cell r="F3070" t="str">
            <v>OK</v>
          </cell>
        </row>
        <row r="3071">
          <cell r="C3071" t="str">
            <v>&lt;-- enter valid PB./Acc. # in this cell!</v>
          </cell>
          <cell r="F3071" t="str">
            <v>OK</v>
          </cell>
        </row>
        <row r="3072">
          <cell r="C3072" t="str">
            <v>&lt;-- enter valid PB./Acc. # in this cell!</v>
          </cell>
          <cell r="F3072" t="str">
            <v>OK</v>
          </cell>
        </row>
        <row r="3073">
          <cell r="C3073" t="str">
            <v>&lt;-- enter valid PB./Acc. # in this cell!</v>
          </cell>
          <cell r="F3073" t="str">
            <v>OK</v>
          </cell>
        </row>
        <row r="3074">
          <cell r="C3074" t="str">
            <v>&lt;-- enter valid PB./Acc. # in this cell!</v>
          </cell>
          <cell r="F3074" t="str">
            <v>OK</v>
          </cell>
        </row>
        <row r="3075">
          <cell r="C3075" t="str">
            <v>&lt;-- enter valid PB./Acc. # in this cell!</v>
          </cell>
          <cell r="F3075" t="str">
            <v>OK</v>
          </cell>
        </row>
        <row r="3076">
          <cell r="C3076" t="str">
            <v>&lt;-- enter valid PB./Acc. # in this cell!</v>
          </cell>
          <cell r="F3076" t="str">
            <v>OK</v>
          </cell>
        </row>
        <row r="3077">
          <cell r="C3077" t="str">
            <v>&lt;-- enter valid PB./Acc. # in this cell!</v>
          </cell>
          <cell r="F3077" t="str">
            <v>OK</v>
          </cell>
        </row>
        <row r="3078">
          <cell r="C3078" t="str">
            <v>&lt;-- enter valid PB./Acc. # in this cell!</v>
          </cell>
          <cell r="F3078" t="str">
            <v>OK</v>
          </cell>
        </row>
        <row r="3079">
          <cell r="C3079" t="str">
            <v>&lt;-- enter valid PB./Acc. # in this cell!</v>
          </cell>
          <cell r="F3079" t="str">
            <v>OK</v>
          </cell>
        </row>
        <row r="3080">
          <cell r="C3080" t="str">
            <v>&lt;-- enter valid PB./Acc. # in this cell!</v>
          </cell>
          <cell r="F3080" t="str">
            <v>OK</v>
          </cell>
        </row>
        <row r="3081">
          <cell r="C3081" t="str">
            <v>&lt;-- enter valid PB./Acc. # in this cell!</v>
          </cell>
          <cell r="F3081" t="str">
            <v>OK</v>
          </cell>
        </row>
        <row r="3082">
          <cell r="C3082" t="str">
            <v>&lt;-- enter valid PB./Acc. # in this cell!</v>
          </cell>
          <cell r="F3082" t="str">
            <v>OK</v>
          </cell>
        </row>
        <row r="3083">
          <cell r="C3083" t="str">
            <v>&lt;-- enter valid PB./Acc. # in this cell!</v>
          </cell>
          <cell r="F3083" t="str">
            <v>OK</v>
          </cell>
        </row>
        <row r="3084">
          <cell r="C3084" t="str">
            <v>&lt;-- enter valid PB./Acc. # in this cell!</v>
          </cell>
          <cell r="F3084" t="str">
            <v>OK</v>
          </cell>
        </row>
        <row r="3085">
          <cell r="C3085" t="str">
            <v>&lt;-- enter valid PB./Acc. # in this cell!</v>
          </cell>
          <cell r="F3085" t="str">
            <v>OK</v>
          </cell>
        </row>
        <row r="3086">
          <cell r="C3086" t="str">
            <v>&lt;-- enter valid PB./Acc. # in this cell!</v>
          </cell>
          <cell r="F3086" t="str">
            <v>OK</v>
          </cell>
        </row>
        <row r="3087">
          <cell r="C3087" t="str">
            <v>&lt;-- enter valid PB./Acc. # in this cell!</v>
          </cell>
          <cell r="F3087" t="str">
            <v>OK</v>
          </cell>
        </row>
        <row r="3088">
          <cell r="C3088" t="str">
            <v>&lt;-- enter valid PB./Acc. # in this cell!</v>
          </cell>
          <cell r="F3088" t="str">
            <v>OK</v>
          </cell>
        </row>
        <row r="3089">
          <cell r="C3089" t="str">
            <v>&lt;-- enter valid PB./Acc. # in this cell!</v>
          </cell>
          <cell r="F3089" t="str">
            <v>OK</v>
          </cell>
        </row>
        <row r="3090">
          <cell r="C3090" t="str">
            <v>&lt;-- enter valid PB./Acc. # in this cell!</v>
          </cell>
          <cell r="F3090" t="str">
            <v>OK</v>
          </cell>
        </row>
        <row r="3091">
          <cell r="C3091" t="str">
            <v>&lt;-- enter valid PB./Acc. # in this cell!</v>
          </cell>
          <cell r="F3091" t="str">
            <v>OK</v>
          </cell>
        </row>
        <row r="3092">
          <cell r="C3092" t="str">
            <v>&lt;-- enter valid PB./Acc. # in this cell!</v>
          </cell>
          <cell r="F3092" t="str">
            <v>OK</v>
          </cell>
        </row>
        <row r="3093">
          <cell r="C3093" t="str">
            <v>&lt;-- enter valid PB./Acc. # in this cell!</v>
          </cell>
          <cell r="F3093" t="str">
            <v>OK</v>
          </cell>
        </row>
        <row r="3094">
          <cell r="C3094" t="str">
            <v>&lt;-- enter valid PB./Acc. # in this cell!</v>
          </cell>
          <cell r="F3094" t="str">
            <v>OK</v>
          </cell>
        </row>
        <row r="3095">
          <cell r="C3095" t="str">
            <v>&lt;-- enter valid PB./Acc. # in this cell!</v>
          </cell>
          <cell r="F3095" t="str">
            <v>OK</v>
          </cell>
        </row>
        <row r="3096">
          <cell r="C3096" t="str">
            <v>&lt;-- enter valid PB./Acc. # in this cell!</v>
          </cell>
          <cell r="F3096" t="str">
            <v>OK</v>
          </cell>
        </row>
        <row r="3097">
          <cell r="C3097" t="str">
            <v>&lt;-- enter valid PB./Acc. # in this cell!</v>
          </cell>
          <cell r="F3097" t="str">
            <v>OK</v>
          </cell>
        </row>
        <row r="3098">
          <cell r="C3098" t="str">
            <v>&lt;-- enter valid PB./Acc. # in this cell!</v>
          </cell>
          <cell r="F3098" t="str">
            <v>OK</v>
          </cell>
        </row>
        <row r="3099">
          <cell r="C3099" t="str">
            <v>&lt;-- enter valid PB./Acc. # in this cell!</v>
          </cell>
          <cell r="F3099" t="str">
            <v>OK</v>
          </cell>
        </row>
        <row r="3100">
          <cell r="C3100" t="str">
            <v>&lt;-- enter valid PB./Acc. # in this cell!</v>
          </cell>
          <cell r="F3100" t="str">
            <v>OK</v>
          </cell>
        </row>
        <row r="3101">
          <cell r="C3101" t="str">
            <v>&lt;-- enter valid PB./Acc. # in this cell!</v>
          </cell>
          <cell r="F3101" t="str">
            <v>OK</v>
          </cell>
        </row>
        <row r="3102">
          <cell r="C3102" t="str">
            <v>&lt;-- enter valid PB./Acc. # in this cell!</v>
          </cell>
          <cell r="F3102" t="str">
            <v>OK</v>
          </cell>
        </row>
        <row r="3103">
          <cell r="C3103" t="str">
            <v>&lt;-- enter valid PB./Acc. # in this cell!</v>
          </cell>
          <cell r="F3103" t="str">
            <v>OK</v>
          </cell>
        </row>
        <row r="3104">
          <cell r="C3104" t="str">
            <v>&lt;-- enter valid PB./Acc. # in this cell!</v>
          </cell>
          <cell r="F3104" t="str">
            <v>OK</v>
          </cell>
        </row>
        <row r="3105">
          <cell r="C3105" t="str">
            <v>&lt;-- enter valid PB./Acc. # in this cell!</v>
          </cell>
          <cell r="F3105" t="str">
            <v>OK</v>
          </cell>
        </row>
        <row r="3106">
          <cell r="C3106" t="str">
            <v>&lt;-- enter valid PB./Acc. # in this cell!</v>
          </cell>
          <cell r="F3106" t="str">
            <v>OK</v>
          </cell>
        </row>
        <row r="3107">
          <cell r="C3107" t="str">
            <v>&lt;-- enter valid PB./Acc. # in this cell!</v>
          </cell>
          <cell r="F3107" t="str">
            <v>OK</v>
          </cell>
        </row>
        <row r="3108">
          <cell r="C3108" t="str">
            <v>&lt;-- enter valid PB./Acc. # in this cell!</v>
          </cell>
          <cell r="F3108" t="str">
            <v>OK</v>
          </cell>
        </row>
        <row r="3109">
          <cell r="C3109" t="str">
            <v>&lt;-- enter valid PB./Acc. # in this cell!</v>
          </cell>
          <cell r="F3109" t="str">
            <v>OK</v>
          </cell>
        </row>
        <row r="3110">
          <cell r="C3110" t="str">
            <v>&lt;-- enter valid PB./Acc. # in this cell!</v>
          </cell>
          <cell r="F3110" t="str">
            <v>OK</v>
          </cell>
        </row>
        <row r="3111">
          <cell r="C3111" t="str">
            <v>&lt;-- enter valid PB./Acc. # in this cell!</v>
          </cell>
          <cell r="F3111" t="str">
            <v>OK</v>
          </cell>
        </row>
        <row r="3112">
          <cell r="C3112" t="str">
            <v>&lt;-- enter valid PB./Acc. # in this cell!</v>
          </cell>
          <cell r="F3112" t="str">
            <v>OK</v>
          </cell>
        </row>
        <row r="3113">
          <cell r="C3113" t="str">
            <v>&lt;-- enter valid PB./Acc. # in this cell!</v>
          </cell>
          <cell r="F3113" t="str">
            <v>OK</v>
          </cell>
        </row>
        <row r="3114">
          <cell r="C3114" t="str">
            <v>&lt;-- enter valid PB./Acc. # in this cell!</v>
          </cell>
          <cell r="F3114" t="str">
            <v>OK</v>
          </cell>
        </row>
        <row r="3115">
          <cell r="C3115" t="str">
            <v>&lt;-- enter valid PB./Acc. # in this cell!</v>
          </cell>
          <cell r="F3115" t="str">
            <v>OK</v>
          </cell>
        </row>
        <row r="3116">
          <cell r="C3116" t="str">
            <v>&lt;-- enter valid PB./Acc. # in this cell!</v>
          </cell>
          <cell r="F3116" t="str">
            <v>OK</v>
          </cell>
        </row>
        <row r="3117">
          <cell r="C3117" t="str">
            <v>&lt;-- enter valid PB./Acc. # in this cell!</v>
          </cell>
          <cell r="F3117" t="str">
            <v>OK</v>
          </cell>
        </row>
        <row r="3118">
          <cell r="C3118" t="str">
            <v>&lt;-- enter valid PB./Acc. # in this cell!</v>
          </cell>
          <cell r="F3118" t="str">
            <v>OK</v>
          </cell>
        </row>
        <row r="3119">
          <cell r="C3119" t="str">
            <v>&lt;-- enter valid PB./Acc. # in this cell!</v>
          </cell>
          <cell r="F3119" t="str">
            <v>OK</v>
          </cell>
        </row>
        <row r="3120">
          <cell r="C3120" t="str">
            <v>&lt;-- enter valid PB./Acc. # in this cell!</v>
          </cell>
          <cell r="F3120" t="str">
            <v>OK</v>
          </cell>
        </row>
        <row r="3121">
          <cell r="C3121" t="str">
            <v>&lt;-- enter valid PB./Acc. # in this cell!</v>
          </cell>
          <cell r="F3121" t="str">
            <v>OK</v>
          </cell>
        </row>
        <row r="3122">
          <cell r="C3122" t="str">
            <v>&lt;-- enter valid PB./Acc. # in this cell!</v>
          </cell>
          <cell r="F3122" t="str">
            <v>OK</v>
          </cell>
        </row>
        <row r="3123">
          <cell r="C3123" t="str">
            <v>&lt;-- enter valid PB./Acc. # in this cell!</v>
          </cell>
          <cell r="F3123" t="str">
            <v>OK</v>
          </cell>
        </row>
        <row r="3124">
          <cell r="C3124" t="str">
            <v>&lt;-- enter valid PB./Acc. # in this cell!</v>
          </cell>
          <cell r="F3124" t="str">
            <v>OK</v>
          </cell>
        </row>
        <row r="3125">
          <cell r="C3125" t="str">
            <v>&lt;-- enter valid PB./Acc. # in this cell!</v>
          </cell>
          <cell r="F3125" t="str">
            <v>OK</v>
          </cell>
        </row>
        <row r="3126">
          <cell r="C3126" t="str">
            <v>&lt;-- enter valid PB./Acc. # in this cell!</v>
          </cell>
          <cell r="F3126" t="str">
            <v>OK</v>
          </cell>
        </row>
        <row r="3127">
          <cell r="C3127" t="str">
            <v>&lt;-- enter valid PB./Acc. # in this cell!</v>
          </cell>
          <cell r="F3127" t="str">
            <v>OK</v>
          </cell>
        </row>
        <row r="3128">
          <cell r="C3128" t="str">
            <v>&lt;-- enter valid PB./Acc. # in this cell!</v>
          </cell>
          <cell r="F3128" t="str">
            <v>OK</v>
          </cell>
        </row>
        <row r="3129">
          <cell r="C3129" t="str">
            <v>&lt;-- enter valid PB./Acc. # in this cell!</v>
          </cell>
          <cell r="F3129" t="str">
            <v>OK</v>
          </cell>
        </row>
        <row r="3130">
          <cell r="C3130" t="str">
            <v>&lt;-- enter valid PB./Acc. # in this cell!</v>
          </cell>
          <cell r="F3130" t="str">
            <v>OK</v>
          </cell>
        </row>
        <row r="3131">
          <cell r="C3131" t="str">
            <v>&lt;-- enter valid PB./Acc. # in this cell!</v>
          </cell>
          <cell r="F3131" t="str">
            <v>OK</v>
          </cell>
        </row>
        <row r="3132">
          <cell r="C3132" t="str">
            <v>&lt;-- enter valid PB./Acc. # in this cell!</v>
          </cell>
          <cell r="F3132" t="str">
            <v>OK</v>
          </cell>
        </row>
        <row r="3133">
          <cell r="C3133" t="str">
            <v>&lt;-- enter valid PB./Acc. # in this cell!</v>
          </cell>
          <cell r="F3133" t="str">
            <v>OK</v>
          </cell>
        </row>
        <row r="3134">
          <cell r="C3134" t="str">
            <v>&lt;-- enter valid PB./Acc. # in this cell!</v>
          </cell>
          <cell r="F3134" t="str">
            <v>OK</v>
          </cell>
        </row>
        <row r="3135">
          <cell r="C3135" t="str">
            <v>&lt;-- enter valid PB./Acc. # in this cell!</v>
          </cell>
          <cell r="F3135" t="str">
            <v>OK</v>
          </cell>
        </row>
        <row r="3136">
          <cell r="C3136" t="str">
            <v>&lt;-- enter valid PB./Acc. # in this cell!</v>
          </cell>
          <cell r="F3136" t="str">
            <v>OK</v>
          </cell>
        </row>
        <row r="3137">
          <cell r="C3137" t="str">
            <v>&lt;-- enter valid PB./Acc. # in this cell!</v>
          </cell>
          <cell r="F3137" t="str">
            <v>OK</v>
          </cell>
        </row>
        <row r="3138">
          <cell r="C3138" t="str">
            <v>&lt;-- enter valid PB./Acc. # in this cell!</v>
          </cell>
          <cell r="F3138" t="str">
            <v>OK</v>
          </cell>
        </row>
        <row r="3139">
          <cell r="C3139" t="str">
            <v>&lt;-- enter valid PB./Acc. # in this cell!</v>
          </cell>
          <cell r="F3139" t="str">
            <v>OK</v>
          </cell>
        </row>
        <row r="3140">
          <cell r="C3140" t="str">
            <v>&lt;-- enter valid PB./Acc. # in this cell!</v>
          </cell>
          <cell r="F3140" t="str">
            <v>OK</v>
          </cell>
        </row>
        <row r="3141">
          <cell r="C3141" t="str">
            <v>&lt;-- enter valid PB./Acc. # in this cell!</v>
          </cell>
          <cell r="F3141" t="str">
            <v>OK</v>
          </cell>
        </row>
        <row r="3142">
          <cell r="C3142" t="str">
            <v>&lt;-- enter valid PB./Acc. # in this cell!</v>
          </cell>
          <cell r="F3142" t="str">
            <v>OK</v>
          </cell>
        </row>
        <row r="3143">
          <cell r="C3143" t="str">
            <v>&lt;-- enter valid PB./Acc. # in this cell!</v>
          </cell>
          <cell r="F3143" t="str">
            <v>OK</v>
          </cell>
        </row>
        <row r="3144">
          <cell r="C3144" t="str">
            <v>&lt;-- enter valid PB./Acc. # in this cell!</v>
          </cell>
          <cell r="F3144" t="str">
            <v>OK</v>
          </cell>
        </row>
        <row r="3145">
          <cell r="C3145" t="str">
            <v>&lt;-- enter valid PB./Acc. # in this cell!</v>
          </cell>
          <cell r="F3145" t="str">
            <v>OK</v>
          </cell>
        </row>
        <row r="3146">
          <cell r="C3146" t="str">
            <v>&lt;-- enter valid PB./Acc. # in this cell!</v>
          </cell>
          <cell r="F3146" t="str">
            <v>OK</v>
          </cell>
        </row>
        <row r="3147">
          <cell r="C3147" t="str">
            <v>&lt;-- enter valid PB./Acc. # in this cell!</v>
          </cell>
          <cell r="F3147" t="str">
            <v>OK</v>
          </cell>
        </row>
        <row r="3148">
          <cell r="C3148" t="str">
            <v>&lt;-- enter valid PB./Acc. # in this cell!</v>
          </cell>
          <cell r="F3148" t="str">
            <v>OK</v>
          </cell>
        </row>
        <row r="3149">
          <cell r="C3149" t="str">
            <v>&lt;-- enter valid PB./Acc. # in this cell!</v>
          </cell>
          <cell r="F3149" t="str">
            <v>OK</v>
          </cell>
        </row>
        <row r="3150">
          <cell r="C3150" t="str">
            <v>&lt;-- enter valid PB./Acc. # in this cell!</v>
          </cell>
          <cell r="F3150" t="str">
            <v>OK</v>
          </cell>
        </row>
        <row r="3151">
          <cell r="C3151" t="str">
            <v>&lt;-- enter valid PB./Acc. # in this cell!</v>
          </cell>
          <cell r="F3151" t="str">
            <v>OK</v>
          </cell>
        </row>
        <row r="3152">
          <cell r="C3152" t="str">
            <v>&lt;-- enter valid PB./Acc. # in this cell!</v>
          </cell>
          <cell r="F3152" t="str">
            <v>OK</v>
          </cell>
        </row>
        <row r="3153">
          <cell r="C3153" t="str">
            <v>&lt;-- enter valid PB./Acc. # in this cell!</v>
          </cell>
          <cell r="F3153" t="str">
            <v>OK</v>
          </cell>
        </row>
        <row r="3154">
          <cell r="C3154" t="str">
            <v>&lt;-- enter valid PB./Acc. # in this cell!</v>
          </cell>
          <cell r="F3154" t="str">
            <v>OK</v>
          </cell>
        </row>
        <row r="3155">
          <cell r="C3155" t="str">
            <v>&lt;-- enter valid PB./Acc. # in this cell!</v>
          </cell>
          <cell r="F3155" t="str">
            <v>OK</v>
          </cell>
        </row>
        <row r="3156">
          <cell r="C3156" t="str">
            <v>&lt;-- enter valid PB./Acc. # in this cell!</v>
          </cell>
          <cell r="F3156" t="str">
            <v>OK</v>
          </cell>
        </row>
        <row r="3157">
          <cell r="C3157" t="str">
            <v>&lt;-- enter valid PB./Acc. # in this cell!</v>
          </cell>
          <cell r="F3157" t="str">
            <v>OK</v>
          </cell>
        </row>
        <row r="3158">
          <cell r="C3158" t="str">
            <v>&lt;-- enter valid PB./Acc. # in this cell!</v>
          </cell>
          <cell r="F3158" t="str">
            <v>OK</v>
          </cell>
        </row>
        <row r="3159">
          <cell r="C3159" t="str">
            <v>&lt;-- enter valid PB./Acc. # in this cell!</v>
          </cell>
          <cell r="F3159" t="str">
            <v>OK</v>
          </cell>
        </row>
        <row r="3160">
          <cell r="C3160" t="str">
            <v>&lt;-- enter valid PB./Acc. # in this cell!</v>
          </cell>
          <cell r="F3160" t="str">
            <v>OK</v>
          </cell>
        </row>
        <row r="3161">
          <cell r="C3161" t="str">
            <v>&lt;-- enter valid PB./Acc. # in this cell!</v>
          </cell>
          <cell r="F3161" t="str">
            <v>OK</v>
          </cell>
        </row>
        <row r="3162">
          <cell r="C3162" t="str">
            <v>&lt;-- enter valid PB./Acc. # in this cell!</v>
          </cell>
          <cell r="F3162" t="str">
            <v>OK</v>
          </cell>
        </row>
        <row r="3163">
          <cell r="C3163" t="str">
            <v>&lt;-- enter valid PB./Acc. # in this cell!</v>
          </cell>
          <cell r="F3163" t="str">
            <v>OK</v>
          </cell>
        </row>
        <row r="3164">
          <cell r="C3164" t="str">
            <v>&lt;-- enter valid PB./Acc. # in this cell!</v>
          </cell>
          <cell r="F3164" t="str">
            <v>OK</v>
          </cell>
        </row>
        <row r="3165">
          <cell r="C3165" t="str">
            <v>&lt;-- enter valid PB./Acc. # in this cell!</v>
          </cell>
          <cell r="F3165" t="str">
            <v>OK</v>
          </cell>
        </row>
        <row r="3166">
          <cell r="C3166" t="str">
            <v>&lt;-- enter valid PB./Acc. # in this cell!</v>
          </cell>
          <cell r="F3166" t="str">
            <v>OK</v>
          </cell>
        </row>
        <row r="3167">
          <cell r="C3167" t="str">
            <v>&lt;-- enter valid PB./Acc. # in this cell!</v>
          </cell>
          <cell r="F3167" t="str">
            <v>OK</v>
          </cell>
        </row>
        <row r="3168">
          <cell r="C3168" t="str">
            <v>&lt;-- enter valid PB./Acc. # in this cell!</v>
          </cell>
          <cell r="F3168" t="str">
            <v>OK</v>
          </cell>
        </row>
        <row r="3169">
          <cell r="C3169" t="str">
            <v>&lt;-- enter valid PB./Acc. # in this cell!</v>
          </cell>
          <cell r="F3169" t="str">
            <v>OK</v>
          </cell>
        </row>
        <row r="3170">
          <cell r="C3170" t="str">
            <v>&lt;-- enter valid PB./Acc. # in this cell!</v>
          </cell>
          <cell r="F3170" t="str">
            <v>OK</v>
          </cell>
        </row>
        <row r="3171">
          <cell r="C3171" t="str">
            <v>&lt;-- enter valid PB./Acc. # in this cell!</v>
          </cell>
          <cell r="F3171" t="str">
            <v>OK</v>
          </cell>
        </row>
        <row r="3172">
          <cell r="C3172" t="str">
            <v>&lt;-- enter valid PB./Acc. # in this cell!</v>
          </cell>
          <cell r="F3172" t="str">
            <v>OK</v>
          </cell>
        </row>
        <row r="3173">
          <cell r="C3173" t="str">
            <v>&lt;-- enter valid PB./Acc. # in this cell!</v>
          </cell>
          <cell r="F3173" t="str">
            <v>OK</v>
          </cell>
        </row>
        <row r="3174">
          <cell r="C3174" t="str">
            <v>&lt;-- enter valid PB./Acc. # in this cell!</v>
          </cell>
          <cell r="F3174" t="str">
            <v>OK</v>
          </cell>
        </row>
        <row r="3175">
          <cell r="C3175" t="str">
            <v>&lt;-- enter valid PB./Acc. # in this cell!</v>
          </cell>
          <cell r="F3175" t="str">
            <v>OK</v>
          </cell>
        </row>
        <row r="3176">
          <cell r="C3176" t="str">
            <v>&lt;-- enter valid PB./Acc. # in this cell!</v>
          </cell>
          <cell r="F3176" t="str">
            <v>OK</v>
          </cell>
        </row>
        <row r="3177">
          <cell r="C3177" t="str">
            <v>&lt;-- enter valid PB./Acc. # in this cell!</v>
          </cell>
          <cell r="F3177" t="str">
            <v>OK</v>
          </cell>
        </row>
        <row r="3178">
          <cell r="C3178" t="str">
            <v>&lt;-- enter valid PB./Acc. # in this cell!</v>
          </cell>
          <cell r="F3178" t="str">
            <v>OK</v>
          </cell>
        </row>
        <row r="3179">
          <cell r="C3179" t="str">
            <v>&lt;-- enter valid PB./Acc. # in this cell!</v>
          </cell>
          <cell r="F3179" t="str">
            <v>OK</v>
          </cell>
        </row>
        <row r="3180">
          <cell r="C3180" t="str">
            <v>&lt;-- enter valid PB./Acc. # in this cell!</v>
          </cell>
          <cell r="F3180" t="str">
            <v>OK</v>
          </cell>
        </row>
        <row r="3181">
          <cell r="C3181" t="str">
            <v>&lt;-- enter valid PB./Acc. # in this cell!</v>
          </cell>
          <cell r="F3181" t="str">
            <v>OK</v>
          </cell>
        </row>
        <row r="3182">
          <cell r="C3182" t="str">
            <v>&lt;-- enter valid PB./Acc. # in this cell!</v>
          </cell>
          <cell r="F3182" t="str">
            <v>OK</v>
          </cell>
        </row>
        <row r="3183">
          <cell r="C3183" t="str">
            <v>&lt;-- enter valid PB./Acc. # in this cell!</v>
          </cell>
          <cell r="F3183" t="str">
            <v>OK</v>
          </cell>
        </row>
        <row r="3184">
          <cell r="C3184" t="str">
            <v>&lt;-- enter valid PB./Acc. # in this cell!</v>
          </cell>
          <cell r="F3184" t="str">
            <v>OK</v>
          </cell>
        </row>
        <row r="3185">
          <cell r="C3185" t="str">
            <v>&lt;-- enter valid PB./Acc. # in this cell!</v>
          </cell>
          <cell r="F3185" t="str">
            <v>OK</v>
          </cell>
        </row>
        <row r="3186">
          <cell r="C3186" t="str">
            <v>&lt;-- enter valid PB./Acc. # in this cell!</v>
          </cell>
          <cell r="F3186" t="str">
            <v>OK</v>
          </cell>
        </row>
        <row r="3187">
          <cell r="C3187" t="str">
            <v>&lt;-- enter valid PB./Acc. # in this cell!</v>
          </cell>
          <cell r="F3187" t="str">
            <v>OK</v>
          </cell>
        </row>
        <row r="3188">
          <cell r="C3188" t="str">
            <v>&lt;-- enter valid PB./Acc. # in this cell!</v>
          </cell>
          <cell r="F3188" t="str">
            <v>OK</v>
          </cell>
        </row>
        <row r="3189">
          <cell r="C3189" t="str">
            <v>&lt;-- enter valid PB./Acc. # in this cell!</v>
          </cell>
          <cell r="F3189" t="str">
            <v>OK</v>
          </cell>
        </row>
        <row r="3190">
          <cell r="C3190" t="str">
            <v>&lt;-- enter valid PB./Acc. # in this cell!</v>
          </cell>
          <cell r="F3190" t="str">
            <v>OK</v>
          </cell>
        </row>
        <row r="3191">
          <cell r="C3191" t="str">
            <v>&lt;-- enter valid PB./Acc. # in this cell!</v>
          </cell>
          <cell r="F3191" t="str">
            <v>OK</v>
          </cell>
        </row>
        <row r="3192">
          <cell r="C3192" t="str">
            <v>&lt;-- enter valid PB./Acc. # in this cell!</v>
          </cell>
          <cell r="F3192" t="str">
            <v>OK</v>
          </cell>
        </row>
        <row r="3193">
          <cell r="C3193" t="str">
            <v>&lt;-- enter valid PB./Acc. # in this cell!</v>
          </cell>
          <cell r="F3193" t="str">
            <v>OK</v>
          </cell>
        </row>
        <row r="3194">
          <cell r="C3194" t="str">
            <v>&lt;-- enter valid PB./Acc. # in this cell!</v>
          </cell>
          <cell r="F3194" t="str">
            <v>OK</v>
          </cell>
        </row>
        <row r="3195">
          <cell r="C3195" t="str">
            <v>&lt;-- enter valid PB./Acc. # in this cell!</v>
          </cell>
          <cell r="F3195" t="str">
            <v>OK</v>
          </cell>
        </row>
        <row r="3196">
          <cell r="C3196" t="str">
            <v>&lt;-- enter valid PB./Acc. # in this cell!</v>
          </cell>
          <cell r="F3196" t="str">
            <v>OK</v>
          </cell>
        </row>
        <row r="3197">
          <cell r="C3197" t="str">
            <v>&lt;-- enter valid PB./Acc. # in this cell!</v>
          </cell>
          <cell r="F3197" t="str">
            <v>OK</v>
          </cell>
        </row>
        <row r="3198">
          <cell r="C3198" t="str">
            <v>&lt;-- enter valid PB./Acc. # in this cell!</v>
          </cell>
          <cell r="F3198" t="str">
            <v>OK</v>
          </cell>
        </row>
        <row r="3199">
          <cell r="C3199" t="str">
            <v>&lt;-- enter valid PB./Acc. # in this cell!</v>
          </cell>
          <cell r="F3199" t="str">
            <v>OK</v>
          </cell>
        </row>
        <row r="3200">
          <cell r="C3200" t="str">
            <v>&lt;-- enter valid PB./Acc. # in this cell!</v>
          </cell>
          <cell r="F3200" t="str">
            <v>OK</v>
          </cell>
        </row>
        <row r="3201">
          <cell r="C3201" t="str">
            <v>&lt;-- enter valid PB./Acc. # in this cell!</v>
          </cell>
          <cell r="F3201" t="str">
            <v>OK</v>
          </cell>
        </row>
        <row r="3202">
          <cell r="C3202" t="str">
            <v>&lt;-- enter valid PB./Acc. # in this cell!</v>
          </cell>
          <cell r="F3202" t="str">
            <v>OK</v>
          </cell>
        </row>
        <row r="3203">
          <cell r="C3203" t="str">
            <v>&lt;-- enter valid PB./Acc. # in this cell!</v>
          </cell>
          <cell r="F3203" t="str">
            <v>OK</v>
          </cell>
        </row>
        <row r="3204">
          <cell r="C3204" t="str">
            <v>&lt;-- enter valid PB./Acc. # in this cell!</v>
          </cell>
          <cell r="F3204" t="str">
            <v>OK</v>
          </cell>
        </row>
        <row r="3205">
          <cell r="C3205" t="str">
            <v>&lt;-- enter valid PB./Acc. # in this cell!</v>
          </cell>
          <cell r="F3205" t="str">
            <v>OK</v>
          </cell>
        </row>
        <row r="3206">
          <cell r="C3206" t="str">
            <v>&lt;-- enter valid PB./Acc. # in this cell!</v>
          </cell>
          <cell r="F3206" t="str">
            <v>OK</v>
          </cell>
        </row>
        <row r="3207">
          <cell r="C3207" t="str">
            <v>&lt;-- enter valid PB./Acc. # in this cell!</v>
          </cell>
          <cell r="F3207" t="str">
            <v>OK</v>
          </cell>
        </row>
        <row r="3208">
          <cell r="C3208" t="str">
            <v>&lt;-- enter valid PB./Acc. # in this cell!</v>
          </cell>
          <cell r="F3208" t="str">
            <v>OK</v>
          </cell>
        </row>
        <row r="3209">
          <cell r="C3209" t="str">
            <v>&lt;-- enter valid PB./Acc. # in this cell!</v>
          </cell>
          <cell r="F3209" t="str">
            <v>OK</v>
          </cell>
        </row>
        <row r="3210">
          <cell r="C3210" t="str">
            <v>&lt;-- enter valid PB./Acc. # in this cell!</v>
          </cell>
          <cell r="F3210" t="str">
            <v>OK</v>
          </cell>
        </row>
        <row r="3211">
          <cell r="C3211" t="str">
            <v>&lt;-- enter valid PB./Acc. # in this cell!</v>
          </cell>
          <cell r="F3211" t="str">
            <v>OK</v>
          </cell>
        </row>
        <row r="3212">
          <cell r="C3212" t="str">
            <v>&lt;-- enter valid PB./Acc. # in this cell!</v>
          </cell>
          <cell r="F3212" t="str">
            <v>OK</v>
          </cell>
        </row>
        <row r="3213">
          <cell r="C3213" t="str">
            <v>&lt;-- enter valid PB./Acc. # in this cell!</v>
          </cell>
          <cell r="F3213" t="str">
            <v>OK</v>
          </cell>
        </row>
        <row r="3214">
          <cell r="C3214" t="str">
            <v>&lt;-- enter valid PB./Acc. # in this cell!</v>
          </cell>
          <cell r="F3214" t="str">
            <v>OK</v>
          </cell>
        </row>
        <row r="3215">
          <cell r="C3215" t="str">
            <v>&lt;-- enter valid PB./Acc. # in this cell!</v>
          </cell>
          <cell r="F3215" t="str">
            <v>OK</v>
          </cell>
        </row>
        <row r="3216">
          <cell r="C3216" t="str">
            <v>&lt;-- enter valid PB./Acc. # in this cell!</v>
          </cell>
          <cell r="F3216" t="str">
            <v>OK</v>
          </cell>
        </row>
        <row r="3217">
          <cell r="C3217" t="str">
            <v>&lt;-- enter valid PB./Acc. # in this cell!</v>
          </cell>
          <cell r="F3217" t="str">
            <v>OK</v>
          </cell>
        </row>
        <row r="3218">
          <cell r="C3218" t="str">
            <v>&lt;-- enter valid PB./Acc. # in this cell!</v>
          </cell>
          <cell r="F3218" t="str">
            <v>OK</v>
          </cell>
        </row>
        <row r="3219">
          <cell r="C3219" t="str">
            <v>&lt;-- enter valid PB./Acc. # in this cell!</v>
          </cell>
          <cell r="F3219" t="str">
            <v>OK</v>
          </cell>
        </row>
        <row r="3220">
          <cell r="C3220" t="str">
            <v>&lt;-- enter valid PB./Acc. # in this cell!</v>
          </cell>
          <cell r="F3220" t="str">
            <v>OK</v>
          </cell>
        </row>
        <row r="3221">
          <cell r="C3221" t="str">
            <v>&lt;-- enter valid PB./Acc. # in this cell!</v>
          </cell>
          <cell r="F3221" t="str">
            <v>OK</v>
          </cell>
        </row>
        <row r="3222">
          <cell r="C3222" t="str">
            <v>&lt;-- enter valid PB./Acc. # in this cell!</v>
          </cell>
          <cell r="F3222" t="str">
            <v>OK</v>
          </cell>
        </row>
        <row r="3223">
          <cell r="C3223" t="str">
            <v>&lt;-- enter valid PB./Acc. # in this cell!</v>
          </cell>
          <cell r="F3223" t="str">
            <v>OK</v>
          </cell>
        </row>
        <row r="3224">
          <cell r="C3224" t="str">
            <v>&lt;-- enter valid PB./Acc. # in this cell!</v>
          </cell>
          <cell r="F3224" t="str">
            <v>OK</v>
          </cell>
        </row>
        <row r="3225">
          <cell r="C3225" t="str">
            <v>&lt;-- enter valid PB./Acc. # in this cell!</v>
          </cell>
          <cell r="F3225" t="str">
            <v>OK</v>
          </cell>
        </row>
        <row r="3226">
          <cell r="C3226" t="str">
            <v>&lt;-- enter valid PB./Acc. # in this cell!</v>
          </cell>
          <cell r="F3226" t="str">
            <v>OK</v>
          </cell>
        </row>
        <row r="3227">
          <cell r="C3227" t="str">
            <v>&lt;-- enter valid PB./Acc. # in this cell!</v>
          </cell>
          <cell r="F3227" t="str">
            <v>OK</v>
          </cell>
        </row>
        <row r="3228">
          <cell r="C3228" t="str">
            <v>&lt;-- enter valid PB./Acc. # in this cell!</v>
          </cell>
          <cell r="F3228" t="str">
            <v>OK</v>
          </cell>
        </row>
        <row r="3229">
          <cell r="C3229" t="str">
            <v>&lt;-- enter valid PB./Acc. # in this cell!</v>
          </cell>
          <cell r="F3229" t="str">
            <v>OK</v>
          </cell>
        </row>
        <row r="3230">
          <cell r="C3230" t="str">
            <v>&lt;-- enter valid PB./Acc. # in this cell!</v>
          </cell>
          <cell r="F3230" t="str">
            <v>OK</v>
          </cell>
        </row>
        <row r="3231">
          <cell r="C3231" t="str">
            <v>&lt;-- enter valid PB./Acc. # in this cell!</v>
          </cell>
          <cell r="F3231" t="str">
            <v>OK</v>
          </cell>
        </row>
        <row r="3232">
          <cell r="C3232" t="str">
            <v>&lt;-- enter valid PB./Acc. # in this cell!</v>
          </cell>
          <cell r="F3232" t="str">
            <v>OK</v>
          </cell>
        </row>
        <row r="3233">
          <cell r="C3233" t="str">
            <v>&lt;-- enter valid PB./Acc. # in this cell!</v>
          </cell>
          <cell r="F3233" t="str">
            <v>OK</v>
          </cell>
        </row>
        <row r="3234">
          <cell r="C3234" t="str">
            <v>&lt;-- enter valid PB./Acc. # in this cell!</v>
          </cell>
          <cell r="F3234" t="str">
            <v>OK</v>
          </cell>
        </row>
        <row r="3235">
          <cell r="C3235" t="str">
            <v>&lt;-- enter valid PB./Acc. # in this cell!</v>
          </cell>
          <cell r="F3235" t="str">
            <v>OK</v>
          </cell>
        </row>
        <row r="3236">
          <cell r="C3236" t="str">
            <v>&lt;-- enter valid PB./Acc. # in this cell!</v>
          </cell>
          <cell r="F3236" t="str">
            <v>OK</v>
          </cell>
        </row>
        <row r="3237">
          <cell r="C3237" t="str">
            <v>&lt;-- enter valid PB./Acc. # in this cell!</v>
          </cell>
          <cell r="F3237" t="str">
            <v>OK</v>
          </cell>
        </row>
        <row r="3238">
          <cell r="C3238" t="str">
            <v>&lt;-- enter valid PB./Acc. # in this cell!</v>
          </cell>
          <cell r="F3238" t="str">
            <v>OK</v>
          </cell>
        </row>
        <row r="3239">
          <cell r="C3239" t="str">
            <v>&lt;-- enter valid PB./Acc. # in this cell!</v>
          </cell>
          <cell r="F3239" t="str">
            <v>OK</v>
          </cell>
        </row>
        <row r="3240">
          <cell r="C3240" t="str">
            <v>&lt;-- enter valid PB./Acc. # in this cell!</v>
          </cell>
          <cell r="F3240" t="str">
            <v>OK</v>
          </cell>
        </row>
        <row r="3241">
          <cell r="C3241" t="str">
            <v>&lt;-- enter valid PB./Acc. # in this cell!</v>
          </cell>
          <cell r="F3241" t="str">
            <v>OK</v>
          </cell>
        </row>
        <row r="3242">
          <cell r="C3242" t="str">
            <v>&lt;-- enter valid PB./Acc. # in this cell!</v>
          </cell>
          <cell r="F3242" t="str">
            <v>OK</v>
          </cell>
        </row>
        <row r="3243">
          <cell r="C3243" t="str">
            <v>&lt;-- enter valid PB./Acc. # in this cell!</v>
          </cell>
          <cell r="F3243" t="str">
            <v>OK</v>
          </cell>
        </row>
        <row r="3244">
          <cell r="C3244" t="str">
            <v>&lt;-- enter valid PB./Acc. # in this cell!</v>
          </cell>
          <cell r="F3244" t="str">
            <v>OK</v>
          </cell>
        </row>
        <row r="3245">
          <cell r="C3245" t="str">
            <v>&lt;-- enter valid PB./Acc. # in this cell!</v>
          </cell>
          <cell r="F3245" t="str">
            <v>OK</v>
          </cell>
        </row>
        <row r="3246">
          <cell r="C3246" t="str">
            <v>&lt;-- enter valid PB./Acc. # in this cell!</v>
          </cell>
          <cell r="F3246" t="str">
            <v>OK</v>
          </cell>
        </row>
        <row r="3247">
          <cell r="C3247" t="str">
            <v>&lt;-- enter valid PB./Acc. # in this cell!</v>
          </cell>
          <cell r="F3247" t="str">
            <v>OK</v>
          </cell>
        </row>
        <row r="3248">
          <cell r="C3248" t="str">
            <v>&lt;-- enter valid PB./Acc. # in this cell!</v>
          </cell>
          <cell r="F3248" t="str">
            <v>OK</v>
          </cell>
        </row>
        <row r="3249">
          <cell r="C3249" t="str">
            <v>&lt;-- enter valid PB./Acc. # in this cell!</v>
          </cell>
          <cell r="F3249" t="str">
            <v>OK</v>
          </cell>
        </row>
        <row r="3250">
          <cell r="C3250" t="str">
            <v>&lt;-- enter valid PB./Acc. # in this cell!</v>
          </cell>
          <cell r="F3250" t="str">
            <v>OK</v>
          </cell>
        </row>
        <row r="3251">
          <cell r="C3251" t="str">
            <v>&lt;-- enter valid PB./Acc. # in this cell!</v>
          </cell>
          <cell r="F3251" t="str">
            <v>OK</v>
          </cell>
        </row>
        <row r="3252">
          <cell r="C3252" t="str">
            <v>&lt;-- enter valid PB./Acc. # in this cell!</v>
          </cell>
          <cell r="F3252" t="str">
            <v>OK</v>
          </cell>
        </row>
        <row r="3253">
          <cell r="C3253" t="str">
            <v>&lt;-- enter valid PB./Acc. # in this cell!</v>
          </cell>
          <cell r="F3253" t="str">
            <v>OK</v>
          </cell>
        </row>
        <row r="3254">
          <cell r="C3254" t="str">
            <v>&lt;-- enter valid PB./Acc. # in this cell!</v>
          </cell>
          <cell r="F3254" t="str">
            <v>OK</v>
          </cell>
        </row>
        <row r="3255">
          <cell r="C3255" t="str">
            <v>&lt;-- enter valid PB./Acc. # in this cell!</v>
          </cell>
          <cell r="F3255" t="str">
            <v>OK</v>
          </cell>
        </row>
        <row r="3256">
          <cell r="C3256" t="str">
            <v>&lt;-- enter valid PB./Acc. # in this cell!</v>
          </cell>
          <cell r="F3256" t="str">
            <v>OK</v>
          </cell>
        </row>
        <row r="3257">
          <cell r="C3257" t="str">
            <v>&lt;-- enter valid PB./Acc. # in this cell!</v>
          </cell>
          <cell r="F3257" t="str">
            <v>OK</v>
          </cell>
        </row>
        <row r="3258">
          <cell r="C3258" t="str">
            <v>&lt;-- enter valid PB./Acc. # in this cell!</v>
          </cell>
          <cell r="F3258" t="str">
            <v>OK</v>
          </cell>
        </row>
        <row r="3259">
          <cell r="C3259" t="str">
            <v>&lt;-- enter valid PB./Acc. # in this cell!</v>
          </cell>
          <cell r="F3259" t="str">
            <v>OK</v>
          </cell>
        </row>
        <row r="3260">
          <cell r="C3260" t="str">
            <v>&lt;-- enter valid PB./Acc. # in this cell!</v>
          </cell>
          <cell r="F3260" t="str">
            <v>OK</v>
          </cell>
        </row>
        <row r="3261">
          <cell r="C3261" t="str">
            <v>&lt;-- enter valid PB./Acc. # in this cell!</v>
          </cell>
          <cell r="F3261" t="str">
            <v>OK</v>
          </cell>
        </row>
        <row r="3262">
          <cell r="C3262" t="str">
            <v>&lt;-- enter valid PB./Acc. # in this cell!</v>
          </cell>
          <cell r="F3262" t="str">
            <v>OK</v>
          </cell>
        </row>
        <row r="3263">
          <cell r="C3263" t="str">
            <v>&lt;-- enter valid PB./Acc. # in this cell!</v>
          </cell>
          <cell r="F3263" t="str">
            <v>OK</v>
          </cell>
        </row>
        <row r="3264">
          <cell r="C3264" t="str">
            <v>&lt;-- enter valid PB./Acc. # in this cell!</v>
          </cell>
          <cell r="F3264" t="str">
            <v>OK</v>
          </cell>
        </row>
        <row r="3265">
          <cell r="C3265" t="str">
            <v>&lt;-- enter valid PB./Acc. # in this cell!</v>
          </cell>
          <cell r="F3265" t="str">
            <v>OK</v>
          </cell>
        </row>
        <row r="3266">
          <cell r="C3266" t="str">
            <v>&lt;-- enter valid PB./Acc. # in this cell!</v>
          </cell>
          <cell r="F3266" t="str">
            <v>OK</v>
          </cell>
        </row>
        <row r="3267">
          <cell r="C3267" t="str">
            <v>&lt;-- enter valid PB./Acc. # in this cell!</v>
          </cell>
          <cell r="F3267" t="str">
            <v>OK</v>
          </cell>
        </row>
        <row r="3268">
          <cell r="C3268" t="str">
            <v>&lt;-- enter valid PB./Acc. # in this cell!</v>
          </cell>
          <cell r="F3268" t="str">
            <v>OK</v>
          </cell>
        </row>
        <row r="3269">
          <cell r="C3269" t="str">
            <v>&lt;-- enter valid PB./Acc. # in this cell!</v>
          </cell>
          <cell r="F3269" t="str">
            <v>OK</v>
          </cell>
        </row>
        <row r="3270">
          <cell r="C3270" t="str">
            <v>&lt;-- enter valid PB./Acc. # in this cell!</v>
          </cell>
          <cell r="F3270" t="str">
            <v>OK</v>
          </cell>
        </row>
        <row r="3271">
          <cell r="C3271" t="str">
            <v>&lt;-- enter valid PB./Acc. # in this cell!</v>
          </cell>
          <cell r="F3271" t="str">
            <v>OK</v>
          </cell>
        </row>
        <row r="3272">
          <cell r="C3272" t="str">
            <v>&lt;-- enter valid PB./Acc. # in this cell!</v>
          </cell>
          <cell r="F3272" t="str">
            <v>OK</v>
          </cell>
        </row>
        <row r="3273">
          <cell r="C3273" t="str">
            <v>&lt;-- enter valid PB./Acc. # in this cell!</v>
          </cell>
          <cell r="F3273" t="str">
            <v>OK</v>
          </cell>
        </row>
        <row r="3274">
          <cell r="C3274" t="str">
            <v>&lt;-- enter valid PB./Acc. # in this cell!</v>
          </cell>
          <cell r="F3274" t="str">
            <v>OK</v>
          </cell>
        </row>
        <row r="3275">
          <cell r="C3275" t="str">
            <v>&lt;-- enter valid PB./Acc. # in this cell!</v>
          </cell>
          <cell r="F3275" t="str">
            <v>OK</v>
          </cell>
        </row>
        <row r="3276">
          <cell r="C3276" t="str">
            <v>&lt;-- enter valid PB./Acc. # in this cell!</v>
          </cell>
          <cell r="F3276" t="str">
            <v>OK</v>
          </cell>
        </row>
        <row r="3277">
          <cell r="C3277" t="str">
            <v>&lt;-- enter valid PB./Acc. # in this cell!</v>
          </cell>
          <cell r="F3277" t="str">
            <v>OK</v>
          </cell>
        </row>
        <row r="3278">
          <cell r="C3278" t="str">
            <v>&lt;-- enter valid PB./Acc. # in this cell!</v>
          </cell>
          <cell r="F3278" t="str">
            <v>OK</v>
          </cell>
        </row>
        <row r="3279">
          <cell r="C3279" t="str">
            <v>&lt;-- enter valid PB./Acc. # in this cell!</v>
          </cell>
          <cell r="F3279" t="str">
            <v>OK</v>
          </cell>
        </row>
        <row r="3280">
          <cell r="C3280" t="str">
            <v>&lt;-- enter valid PB./Acc. # in this cell!</v>
          </cell>
          <cell r="F3280" t="str">
            <v>OK</v>
          </cell>
        </row>
        <row r="3281">
          <cell r="C3281" t="str">
            <v>&lt;-- enter valid PB./Acc. # in this cell!</v>
          </cell>
          <cell r="F3281" t="str">
            <v>OK</v>
          </cell>
        </row>
        <row r="3282">
          <cell r="C3282" t="str">
            <v>&lt;-- enter valid PB./Acc. # in this cell!</v>
          </cell>
          <cell r="F3282" t="str">
            <v>OK</v>
          </cell>
        </row>
        <row r="3283">
          <cell r="C3283" t="str">
            <v>&lt;-- enter valid PB./Acc. # in this cell!</v>
          </cell>
          <cell r="F3283" t="str">
            <v>OK</v>
          </cell>
        </row>
        <row r="3284">
          <cell r="C3284" t="str">
            <v>&lt;-- enter valid PB./Acc. # in this cell!</v>
          </cell>
          <cell r="F3284" t="str">
            <v>OK</v>
          </cell>
        </row>
        <row r="3285">
          <cell r="C3285" t="str">
            <v>&lt;-- enter valid PB./Acc. # in this cell!</v>
          </cell>
          <cell r="F3285" t="str">
            <v>OK</v>
          </cell>
        </row>
        <row r="3286">
          <cell r="C3286" t="str">
            <v>&lt;-- enter valid PB./Acc. # in this cell!</v>
          </cell>
          <cell r="F3286" t="str">
            <v>OK</v>
          </cell>
        </row>
        <row r="3287">
          <cell r="C3287" t="str">
            <v>&lt;-- enter valid PB./Acc. # in this cell!</v>
          </cell>
          <cell r="F3287" t="str">
            <v>OK</v>
          </cell>
        </row>
        <row r="3288">
          <cell r="C3288" t="str">
            <v>&lt;-- enter valid PB./Acc. # in this cell!</v>
          </cell>
          <cell r="F3288" t="str">
            <v>OK</v>
          </cell>
        </row>
        <row r="3289">
          <cell r="C3289" t="str">
            <v>&lt;-- enter valid PB./Acc. # in this cell!</v>
          </cell>
          <cell r="F3289" t="str">
            <v>OK</v>
          </cell>
        </row>
        <row r="3290">
          <cell r="C3290" t="str">
            <v>&lt;-- enter valid PB./Acc. # in this cell!</v>
          </cell>
          <cell r="F3290" t="str">
            <v>OK</v>
          </cell>
        </row>
        <row r="3291">
          <cell r="C3291" t="str">
            <v>&lt;-- enter valid PB./Acc. # in this cell!</v>
          </cell>
          <cell r="F3291" t="str">
            <v>OK</v>
          </cell>
        </row>
        <row r="3292">
          <cell r="C3292" t="str">
            <v>&lt;-- enter valid PB./Acc. # in this cell!</v>
          </cell>
          <cell r="F3292" t="str">
            <v>OK</v>
          </cell>
        </row>
        <row r="3293">
          <cell r="C3293" t="str">
            <v>&lt;-- enter valid PB./Acc. # in this cell!</v>
          </cell>
          <cell r="F3293" t="str">
            <v>OK</v>
          </cell>
        </row>
        <row r="3294">
          <cell r="C3294" t="str">
            <v>&lt;-- enter valid PB./Acc. # in this cell!</v>
          </cell>
          <cell r="F3294" t="str">
            <v>OK</v>
          </cell>
        </row>
        <row r="3295">
          <cell r="C3295" t="str">
            <v>&lt;-- enter valid PB./Acc. # in this cell!</v>
          </cell>
          <cell r="F3295" t="str">
            <v>OK</v>
          </cell>
        </row>
        <row r="3296">
          <cell r="C3296" t="str">
            <v>&lt;-- enter valid PB./Acc. # in this cell!</v>
          </cell>
          <cell r="F3296" t="str">
            <v>OK</v>
          </cell>
        </row>
        <row r="3297">
          <cell r="C3297" t="str">
            <v>&lt;-- enter valid PB./Acc. # in this cell!</v>
          </cell>
          <cell r="F3297" t="str">
            <v>OK</v>
          </cell>
        </row>
        <row r="3298">
          <cell r="C3298" t="str">
            <v>&lt;-- enter valid PB./Acc. # in this cell!</v>
          </cell>
          <cell r="F3298" t="str">
            <v>OK</v>
          </cell>
        </row>
        <row r="3299">
          <cell r="C3299" t="str">
            <v>&lt;-- enter valid PB./Acc. # in this cell!</v>
          </cell>
          <cell r="F3299" t="str">
            <v>OK</v>
          </cell>
        </row>
        <row r="3300">
          <cell r="A3300" t="str">
            <v>Total Balances of May 2016</v>
          </cell>
          <cell r="F3300" t="str">
            <v>OK</v>
          </cell>
          <cell r="G3300">
            <v>0</v>
          </cell>
          <cell r="H3300">
            <v>0</v>
          </cell>
          <cell r="I3300">
            <v>0</v>
          </cell>
          <cell r="J3300">
            <v>0</v>
          </cell>
          <cell r="K3300">
            <v>0</v>
          </cell>
          <cell r="L3300">
            <v>0</v>
          </cell>
          <cell r="M3300">
            <v>0</v>
          </cell>
          <cell r="N3300">
            <v>0</v>
          </cell>
          <cell r="O3300">
            <v>0</v>
          </cell>
          <cell r="P3300">
            <v>0</v>
          </cell>
          <cell r="Q3300">
            <v>0</v>
          </cell>
          <cell r="R3300">
            <v>0</v>
          </cell>
          <cell r="S3300">
            <v>0</v>
          </cell>
          <cell r="T3300">
            <v>0</v>
          </cell>
          <cell r="AQ3300">
            <v>0</v>
          </cell>
        </row>
        <row r="3301">
          <cell r="A3301">
            <v>42551</v>
          </cell>
        </row>
        <row r="3302">
          <cell r="C3302" t="str">
            <v>&lt;-- enter valid PB./Acc. # in this cell!</v>
          </cell>
          <cell r="F3302" t="str">
            <v>OK</v>
          </cell>
        </row>
        <row r="3303">
          <cell r="C3303" t="str">
            <v>&lt;-- enter valid PB./Acc. # in this cell!</v>
          </cell>
          <cell r="F3303" t="str">
            <v>OK</v>
          </cell>
        </row>
        <row r="3304">
          <cell r="C3304" t="str">
            <v>&lt;-- enter valid PB./Acc. # in this cell!</v>
          </cell>
          <cell r="F3304" t="str">
            <v>OK</v>
          </cell>
        </row>
        <row r="3305">
          <cell r="C3305" t="str">
            <v>&lt;-- enter valid PB./Acc. # in this cell!</v>
          </cell>
          <cell r="F3305" t="str">
            <v>OK</v>
          </cell>
        </row>
        <row r="3306">
          <cell r="C3306" t="str">
            <v>&lt;-- enter valid PB./Acc. # in this cell!</v>
          </cell>
          <cell r="F3306" t="str">
            <v>OK</v>
          </cell>
        </row>
        <row r="3307">
          <cell r="C3307" t="str">
            <v>&lt;-- enter valid PB./Acc. # in this cell!</v>
          </cell>
          <cell r="F3307" t="str">
            <v>OK</v>
          </cell>
        </row>
        <row r="3308">
          <cell r="C3308" t="str">
            <v>&lt;-- enter valid PB./Acc. # in this cell!</v>
          </cell>
          <cell r="F3308" t="str">
            <v>OK</v>
          </cell>
        </row>
        <row r="3309">
          <cell r="C3309" t="str">
            <v>&lt;-- enter valid PB./Acc. # in this cell!</v>
          </cell>
          <cell r="F3309" t="str">
            <v>OK</v>
          </cell>
        </row>
        <row r="3310">
          <cell r="C3310" t="str">
            <v>&lt;-- enter valid PB./Acc. # in this cell!</v>
          </cell>
          <cell r="F3310" t="str">
            <v>OK</v>
          </cell>
        </row>
        <row r="3311">
          <cell r="C3311" t="str">
            <v>&lt;-- enter valid PB./Acc. # in this cell!</v>
          </cell>
          <cell r="F3311" t="str">
            <v>OK</v>
          </cell>
        </row>
        <row r="3312">
          <cell r="C3312" t="str">
            <v>&lt;-- enter valid PB./Acc. # in this cell!</v>
          </cell>
          <cell r="F3312" t="str">
            <v>OK</v>
          </cell>
        </row>
        <row r="3313">
          <cell r="C3313" t="str">
            <v>&lt;-- enter valid PB./Acc. # in this cell!</v>
          </cell>
          <cell r="F3313" t="str">
            <v>OK</v>
          </cell>
        </row>
        <row r="3314">
          <cell r="C3314" t="str">
            <v>&lt;-- enter valid PB./Acc. # in this cell!</v>
          </cell>
          <cell r="F3314" t="str">
            <v>OK</v>
          </cell>
        </row>
        <row r="3315">
          <cell r="C3315" t="str">
            <v>&lt;-- enter valid PB./Acc. # in this cell!</v>
          </cell>
          <cell r="F3315" t="str">
            <v>OK</v>
          </cell>
        </row>
        <row r="3316">
          <cell r="C3316" t="str">
            <v>&lt;-- enter valid PB./Acc. # in this cell!</v>
          </cell>
          <cell r="F3316" t="str">
            <v>OK</v>
          </cell>
        </row>
        <row r="3317">
          <cell r="C3317" t="str">
            <v>&lt;-- enter valid PB./Acc. # in this cell!</v>
          </cell>
          <cell r="F3317" t="str">
            <v>OK</v>
          </cell>
        </row>
        <row r="3318">
          <cell r="C3318" t="str">
            <v>&lt;-- enter valid PB./Acc. # in this cell!</v>
          </cell>
          <cell r="F3318" t="str">
            <v>OK</v>
          </cell>
        </row>
        <row r="3319">
          <cell r="C3319" t="str">
            <v>&lt;-- enter valid PB./Acc. # in this cell!</v>
          </cell>
          <cell r="F3319" t="str">
            <v>OK</v>
          </cell>
        </row>
        <row r="3320">
          <cell r="C3320" t="str">
            <v>&lt;-- enter valid PB./Acc. # in this cell!</v>
          </cell>
          <cell r="F3320" t="str">
            <v>OK</v>
          </cell>
        </row>
        <row r="3321">
          <cell r="C3321" t="str">
            <v>&lt;-- enter valid PB./Acc. # in this cell!</v>
          </cell>
          <cell r="F3321" t="str">
            <v>OK</v>
          </cell>
        </row>
        <row r="3322">
          <cell r="C3322" t="str">
            <v>&lt;-- enter valid PB./Acc. # in this cell!</v>
          </cell>
          <cell r="F3322" t="str">
            <v>OK</v>
          </cell>
        </row>
        <row r="3323">
          <cell r="C3323" t="str">
            <v>&lt;-- enter valid PB./Acc. # in this cell!</v>
          </cell>
          <cell r="F3323" t="str">
            <v>OK</v>
          </cell>
        </row>
        <row r="3324">
          <cell r="C3324" t="str">
            <v>&lt;-- enter valid PB./Acc. # in this cell!</v>
          </cell>
          <cell r="F3324" t="str">
            <v>OK</v>
          </cell>
        </row>
        <row r="3325">
          <cell r="C3325" t="str">
            <v>&lt;-- enter valid PB./Acc. # in this cell!</v>
          </cell>
          <cell r="F3325" t="str">
            <v>OK</v>
          </cell>
        </row>
        <row r="3326">
          <cell r="C3326" t="str">
            <v>&lt;-- enter valid PB./Acc. # in this cell!</v>
          </cell>
          <cell r="F3326" t="str">
            <v>OK</v>
          </cell>
        </row>
        <row r="3327">
          <cell r="C3327" t="str">
            <v>&lt;-- enter valid PB./Acc. # in this cell!</v>
          </cell>
          <cell r="F3327" t="str">
            <v>OK</v>
          </cell>
        </row>
        <row r="3328">
          <cell r="C3328" t="str">
            <v>&lt;-- enter valid PB./Acc. # in this cell!</v>
          </cell>
          <cell r="F3328" t="str">
            <v>OK</v>
          </cell>
        </row>
        <row r="3329">
          <cell r="C3329" t="str">
            <v>&lt;-- enter valid PB./Acc. # in this cell!</v>
          </cell>
          <cell r="F3329" t="str">
            <v>OK</v>
          </cell>
        </row>
        <row r="3330">
          <cell r="C3330" t="str">
            <v>&lt;-- enter valid PB./Acc. # in this cell!</v>
          </cell>
          <cell r="F3330" t="str">
            <v>OK</v>
          </cell>
        </row>
        <row r="3331">
          <cell r="C3331" t="str">
            <v>&lt;-- enter valid PB./Acc. # in this cell!</v>
          </cell>
          <cell r="F3331" t="str">
            <v>OK</v>
          </cell>
        </row>
        <row r="3332">
          <cell r="C3332" t="str">
            <v>&lt;-- enter valid PB./Acc. # in this cell!</v>
          </cell>
          <cell r="F3332" t="str">
            <v>OK</v>
          </cell>
        </row>
        <row r="3333">
          <cell r="C3333" t="str">
            <v>&lt;-- enter valid PB./Acc. # in this cell!</v>
          </cell>
          <cell r="F3333" t="str">
            <v>OK</v>
          </cell>
        </row>
        <row r="3334">
          <cell r="C3334" t="str">
            <v>&lt;-- enter valid PB./Acc. # in this cell!</v>
          </cell>
          <cell r="F3334" t="str">
            <v>OK</v>
          </cell>
        </row>
        <row r="3335">
          <cell r="C3335" t="str">
            <v>&lt;-- enter valid PB./Acc. # in this cell!</v>
          </cell>
          <cell r="F3335" t="str">
            <v>OK</v>
          </cell>
        </row>
        <row r="3336">
          <cell r="C3336" t="str">
            <v>&lt;-- enter valid PB./Acc. # in this cell!</v>
          </cell>
          <cell r="F3336" t="str">
            <v>OK</v>
          </cell>
        </row>
        <row r="3337">
          <cell r="C3337" t="str">
            <v>&lt;-- enter valid PB./Acc. # in this cell!</v>
          </cell>
          <cell r="F3337" t="str">
            <v>OK</v>
          </cell>
        </row>
        <row r="3338">
          <cell r="C3338" t="str">
            <v>&lt;-- enter valid PB./Acc. # in this cell!</v>
          </cell>
          <cell r="F3338" t="str">
            <v>OK</v>
          </cell>
        </row>
        <row r="3339">
          <cell r="C3339" t="str">
            <v>&lt;-- enter valid PB./Acc. # in this cell!</v>
          </cell>
          <cell r="F3339" t="str">
            <v>OK</v>
          </cell>
        </row>
        <row r="3340">
          <cell r="C3340" t="str">
            <v>&lt;-- enter valid PB./Acc. # in this cell!</v>
          </cell>
          <cell r="F3340" t="str">
            <v>OK</v>
          </cell>
        </row>
        <row r="3341">
          <cell r="C3341" t="str">
            <v>&lt;-- enter valid PB./Acc. # in this cell!</v>
          </cell>
          <cell r="F3341" t="str">
            <v>OK</v>
          </cell>
        </row>
        <row r="3342">
          <cell r="C3342" t="str">
            <v>&lt;-- enter valid PB./Acc. # in this cell!</v>
          </cell>
          <cell r="F3342" t="str">
            <v>OK</v>
          </cell>
        </row>
        <row r="3343">
          <cell r="C3343" t="str">
            <v>&lt;-- enter valid PB./Acc. # in this cell!</v>
          </cell>
          <cell r="F3343" t="str">
            <v>OK</v>
          </cell>
        </row>
        <row r="3344">
          <cell r="C3344" t="str">
            <v>&lt;-- enter valid PB./Acc. # in this cell!</v>
          </cell>
          <cell r="F3344" t="str">
            <v>OK</v>
          </cell>
        </row>
        <row r="3345">
          <cell r="C3345" t="str">
            <v>&lt;-- enter valid PB./Acc. # in this cell!</v>
          </cell>
          <cell r="F3345" t="str">
            <v>OK</v>
          </cell>
        </row>
        <row r="3346">
          <cell r="C3346" t="str">
            <v>&lt;-- enter valid PB./Acc. # in this cell!</v>
          </cell>
          <cell r="F3346" t="str">
            <v>OK</v>
          </cell>
        </row>
        <row r="3347">
          <cell r="C3347" t="str">
            <v>&lt;-- enter valid PB./Acc. # in this cell!</v>
          </cell>
          <cell r="F3347" t="str">
            <v>OK</v>
          </cell>
        </row>
        <row r="3348">
          <cell r="C3348" t="str">
            <v>&lt;-- enter valid PB./Acc. # in this cell!</v>
          </cell>
          <cell r="F3348" t="str">
            <v>OK</v>
          </cell>
        </row>
        <row r="3349">
          <cell r="C3349" t="str">
            <v>&lt;-- enter valid PB./Acc. # in this cell!</v>
          </cell>
          <cell r="F3349" t="str">
            <v>OK</v>
          </cell>
        </row>
        <row r="3350">
          <cell r="C3350" t="str">
            <v>&lt;-- enter valid PB./Acc. # in this cell!</v>
          </cell>
          <cell r="F3350" t="str">
            <v>OK</v>
          </cell>
        </row>
        <row r="3351">
          <cell r="C3351" t="str">
            <v>&lt;-- enter valid PB./Acc. # in this cell!</v>
          </cell>
          <cell r="F3351" t="str">
            <v>OK</v>
          </cell>
        </row>
        <row r="3352">
          <cell r="C3352" t="str">
            <v>&lt;-- enter valid PB./Acc. # in this cell!</v>
          </cell>
          <cell r="F3352" t="str">
            <v>OK</v>
          </cell>
        </row>
        <row r="3353">
          <cell r="C3353" t="str">
            <v>&lt;-- enter valid PB./Acc. # in this cell!</v>
          </cell>
          <cell r="F3353" t="str">
            <v>OK</v>
          </cell>
        </row>
        <row r="3354">
          <cell r="C3354" t="str">
            <v>&lt;-- enter valid PB./Acc. # in this cell!</v>
          </cell>
          <cell r="F3354" t="str">
            <v>OK</v>
          </cell>
        </row>
        <row r="3355">
          <cell r="C3355" t="str">
            <v>&lt;-- enter valid PB./Acc. # in this cell!</v>
          </cell>
          <cell r="F3355" t="str">
            <v>OK</v>
          </cell>
        </row>
        <row r="3356">
          <cell r="C3356" t="str">
            <v>&lt;-- enter valid PB./Acc. # in this cell!</v>
          </cell>
          <cell r="F3356" t="str">
            <v>OK</v>
          </cell>
        </row>
        <row r="3357">
          <cell r="C3357" t="str">
            <v>&lt;-- enter valid PB./Acc. # in this cell!</v>
          </cell>
          <cell r="F3357" t="str">
            <v>OK</v>
          </cell>
        </row>
        <row r="3358">
          <cell r="C3358" t="str">
            <v>&lt;-- enter valid PB./Acc. # in this cell!</v>
          </cell>
          <cell r="F3358" t="str">
            <v>OK</v>
          </cell>
        </row>
        <row r="3359">
          <cell r="C3359" t="str">
            <v>&lt;-- enter valid PB./Acc. # in this cell!</v>
          </cell>
          <cell r="F3359" t="str">
            <v>OK</v>
          </cell>
        </row>
        <row r="3360">
          <cell r="C3360" t="str">
            <v>&lt;-- enter valid PB./Acc. # in this cell!</v>
          </cell>
          <cell r="F3360" t="str">
            <v>OK</v>
          </cell>
        </row>
        <row r="3361">
          <cell r="C3361" t="str">
            <v>&lt;-- enter valid PB./Acc. # in this cell!</v>
          </cell>
          <cell r="F3361" t="str">
            <v>OK</v>
          </cell>
        </row>
        <row r="3362">
          <cell r="C3362" t="str">
            <v>&lt;-- enter valid PB./Acc. # in this cell!</v>
          </cell>
          <cell r="F3362" t="str">
            <v>OK</v>
          </cell>
        </row>
        <row r="3363">
          <cell r="C3363" t="str">
            <v>&lt;-- enter valid PB./Acc. # in this cell!</v>
          </cell>
          <cell r="F3363" t="str">
            <v>OK</v>
          </cell>
        </row>
        <row r="3364">
          <cell r="C3364" t="str">
            <v>&lt;-- enter valid PB./Acc. # in this cell!</v>
          </cell>
          <cell r="F3364" t="str">
            <v>OK</v>
          </cell>
        </row>
        <row r="3365">
          <cell r="C3365" t="str">
            <v>&lt;-- enter valid PB./Acc. # in this cell!</v>
          </cell>
          <cell r="F3365" t="str">
            <v>OK</v>
          </cell>
        </row>
        <row r="3366">
          <cell r="C3366" t="str">
            <v>&lt;-- enter valid PB./Acc. # in this cell!</v>
          </cell>
          <cell r="F3366" t="str">
            <v>OK</v>
          </cell>
        </row>
        <row r="3367">
          <cell r="C3367" t="str">
            <v>&lt;-- enter valid PB./Acc. # in this cell!</v>
          </cell>
          <cell r="F3367" t="str">
            <v>OK</v>
          </cell>
        </row>
        <row r="3368">
          <cell r="C3368" t="str">
            <v>&lt;-- enter valid PB./Acc. # in this cell!</v>
          </cell>
          <cell r="F3368" t="str">
            <v>OK</v>
          </cell>
        </row>
        <row r="3369">
          <cell r="C3369" t="str">
            <v>&lt;-- enter valid PB./Acc. # in this cell!</v>
          </cell>
          <cell r="F3369" t="str">
            <v>OK</v>
          </cell>
        </row>
        <row r="3370">
          <cell r="C3370" t="str">
            <v>&lt;-- enter valid PB./Acc. # in this cell!</v>
          </cell>
          <cell r="F3370" t="str">
            <v>OK</v>
          </cell>
        </row>
        <row r="3371">
          <cell r="C3371" t="str">
            <v>&lt;-- enter valid PB./Acc. # in this cell!</v>
          </cell>
          <cell r="F3371" t="str">
            <v>OK</v>
          </cell>
        </row>
        <row r="3372">
          <cell r="C3372" t="str">
            <v>&lt;-- enter valid PB./Acc. # in this cell!</v>
          </cell>
          <cell r="F3372" t="str">
            <v>OK</v>
          </cell>
        </row>
        <row r="3373">
          <cell r="C3373" t="str">
            <v>&lt;-- enter valid PB./Acc. # in this cell!</v>
          </cell>
          <cell r="F3373" t="str">
            <v>OK</v>
          </cell>
        </row>
        <row r="3374">
          <cell r="C3374" t="str">
            <v>&lt;-- enter valid PB./Acc. # in this cell!</v>
          </cell>
          <cell r="F3374" t="str">
            <v>OK</v>
          </cell>
        </row>
        <row r="3375">
          <cell r="C3375" t="str">
            <v>&lt;-- enter valid PB./Acc. # in this cell!</v>
          </cell>
          <cell r="F3375" t="str">
            <v>OK</v>
          </cell>
        </row>
        <row r="3376">
          <cell r="C3376" t="str">
            <v>&lt;-- enter valid PB./Acc. # in this cell!</v>
          </cell>
          <cell r="F3376" t="str">
            <v>OK</v>
          </cell>
        </row>
        <row r="3377">
          <cell r="C3377" t="str">
            <v>&lt;-- enter valid PB./Acc. # in this cell!</v>
          </cell>
          <cell r="F3377" t="str">
            <v>OK</v>
          </cell>
        </row>
        <row r="3378">
          <cell r="C3378" t="str">
            <v>&lt;-- enter valid PB./Acc. # in this cell!</v>
          </cell>
          <cell r="F3378" t="str">
            <v>OK</v>
          </cell>
        </row>
        <row r="3379">
          <cell r="C3379" t="str">
            <v>&lt;-- enter valid PB./Acc. # in this cell!</v>
          </cell>
          <cell r="F3379" t="str">
            <v>OK</v>
          </cell>
        </row>
        <row r="3380">
          <cell r="C3380" t="str">
            <v>&lt;-- enter valid PB./Acc. # in this cell!</v>
          </cell>
          <cell r="F3380" t="str">
            <v>OK</v>
          </cell>
        </row>
        <row r="3381">
          <cell r="C3381" t="str">
            <v>&lt;-- enter valid PB./Acc. # in this cell!</v>
          </cell>
          <cell r="F3381" t="str">
            <v>OK</v>
          </cell>
        </row>
        <row r="3382">
          <cell r="C3382" t="str">
            <v>&lt;-- enter valid PB./Acc. # in this cell!</v>
          </cell>
          <cell r="F3382" t="str">
            <v>OK</v>
          </cell>
        </row>
        <row r="3383">
          <cell r="C3383" t="str">
            <v>&lt;-- enter valid PB./Acc. # in this cell!</v>
          </cell>
          <cell r="F3383" t="str">
            <v>OK</v>
          </cell>
        </row>
        <row r="3384">
          <cell r="C3384" t="str">
            <v>&lt;-- enter valid PB./Acc. # in this cell!</v>
          </cell>
          <cell r="F3384" t="str">
            <v>OK</v>
          </cell>
        </row>
        <row r="3385">
          <cell r="C3385" t="str">
            <v>&lt;-- enter valid PB./Acc. # in this cell!</v>
          </cell>
          <cell r="F3385" t="str">
            <v>OK</v>
          </cell>
        </row>
        <row r="3386">
          <cell r="C3386" t="str">
            <v>&lt;-- enter valid PB./Acc. # in this cell!</v>
          </cell>
          <cell r="F3386" t="str">
            <v>OK</v>
          </cell>
        </row>
        <row r="3387">
          <cell r="C3387" t="str">
            <v>&lt;-- enter valid PB./Acc. # in this cell!</v>
          </cell>
          <cell r="F3387" t="str">
            <v>OK</v>
          </cell>
        </row>
        <row r="3388">
          <cell r="C3388" t="str">
            <v>&lt;-- enter valid PB./Acc. # in this cell!</v>
          </cell>
          <cell r="F3388" t="str">
            <v>OK</v>
          </cell>
        </row>
        <row r="3389">
          <cell r="C3389" t="str">
            <v>&lt;-- enter valid PB./Acc. # in this cell!</v>
          </cell>
          <cell r="F3389" t="str">
            <v>OK</v>
          </cell>
        </row>
        <row r="3390">
          <cell r="C3390" t="str">
            <v>&lt;-- enter valid PB./Acc. # in this cell!</v>
          </cell>
          <cell r="F3390" t="str">
            <v>OK</v>
          </cell>
        </row>
        <row r="3391">
          <cell r="C3391" t="str">
            <v>&lt;-- enter valid PB./Acc. # in this cell!</v>
          </cell>
          <cell r="F3391" t="str">
            <v>OK</v>
          </cell>
        </row>
        <row r="3392">
          <cell r="C3392" t="str">
            <v>&lt;-- enter valid PB./Acc. # in this cell!</v>
          </cell>
          <cell r="F3392" t="str">
            <v>OK</v>
          </cell>
        </row>
        <row r="3393">
          <cell r="C3393" t="str">
            <v>&lt;-- enter valid PB./Acc. # in this cell!</v>
          </cell>
          <cell r="F3393" t="str">
            <v>OK</v>
          </cell>
        </row>
        <row r="3394">
          <cell r="C3394" t="str">
            <v>&lt;-- enter valid PB./Acc. # in this cell!</v>
          </cell>
          <cell r="F3394" t="str">
            <v>OK</v>
          </cell>
        </row>
        <row r="3395">
          <cell r="C3395" t="str">
            <v>&lt;-- enter valid PB./Acc. # in this cell!</v>
          </cell>
          <cell r="F3395" t="str">
            <v>OK</v>
          </cell>
        </row>
        <row r="3396">
          <cell r="C3396" t="str">
            <v>&lt;-- enter valid PB./Acc. # in this cell!</v>
          </cell>
          <cell r="F3396" t="str">
            <v>OK</v>
          </cell>
        </row>
        <row r="3397">
          <cell r="C3397" t="str">
            <v>&lt;-- enter valid PB./Acc. # in this cell!</v>
          </cell>
          <cell r="F3397" t="str">
            <v>OK</v>
          </cell>
        </row>
        <row r="3398">
          <cell r="C3398" t="str">
            <v>&lt;-- enter valid PB./Acc. # in this cell!</v>
          </cell>
          <cell r="F3398" t="str">
            <v>OK</v>
          </cell>
        </row>
        <row r="3399">
          <cell r="C3399" t="str">
            <v>&lt;-- enter valid PB./Acc. # in this cell!</v>
          </cell>
          <cell r="F3399" t="str">
            <v>OK</v>
          </cell>
        </row>
        <row r="3400">
          <cell r="C3400" t="str">
            <v>&lt;-- enter valid PB./Acc. # in this cell!</v>
          </cell>
          <cell r="F3400" t="str">
            <v>OK</v>
          </cell>
        </row>
        <row r="3401">
          <cell r="C3401" t="str">
            <v>&lt;-- enter valid PB./Acc. # in this cell!</v>
          </cell>
          <cell r="F3401" t="str">
            <v>OK</v>
          </cell>
        </row>
        <row r="3402">
          <cell r="C3402" t="str">
            <v>&lt;-- enter valid PB./Acc. # in this cell!</v>
          </cell>
          <cell r="F3402" t="str">
            <v>OK</v>
          </cell>
        </row>
        <row r="3403">
          <cell r="C3403" t="str">
            <v>&lt;-- enter valid PB./Acc. # in this cell!</v>
          </cell>
          <cell r="F3403" t="str">
            <v>OK</v>
          </cell>
        </row>
        <row r="3404">
          <cell r="C3404" t="str">
            <v>&lt;-- enter valid PB./Acc. # in this cell!</v>
          </cell>
          <cell r="F3404" t="str">
            <v>OK</v>
          </cell>
        </row>
        <row r="3405">
          <cell r="C3405" t="str">
            <v>&lt;-- enter valid PB./Acc. # in this cell!</v>
          </cell>
          <cell r="F3405" t="str">
            <v>OK</v>
          </cell>
        </row>
        <row r="3406">
          <cell r="C3406" t="str">
            <v>&lt;-- enter valid PB./Acc. # in this cell!</v>
          </cell>
          <cell r="F3406" t="str">
            <v>OK</v>
          </cell>
        </row>
        <row r="3407">
          <cell r="C3407" t="str">
            <v>&lt;-- enter valid PB./Acc. # in this cell!</v>
          </cell>
          <cell r="F3407" t="str">
            <v>OK</v>
          </cell>
        </row>
        <row r="3408">
          <cell r="C3408" t="str">
            <v>&lt;-- enter valid PB./Acc. # in this cell!</v>
          </cell>
          <cell r="F3408" t="str">
            <v>OK</v>
          </cell>
        </row>
        <row r="3409">
          <cell r="C3409" t="str">
            <v>&lt;-- enter valid PB./Acc. # in this cell!</v>
          </cell>
          <cell r="F3409" t="str">
            <v>OK</v>
          </cell>
        </row>
        <row r="3410">
          <cell r="C3410" t="str">
            <v>&lt;-- enter valid PB./Acc. # in this cell!</v>
          </cell>
          <cell r="F3410" t="str">
            <v>OK</v>
          </cell>
        </row>
        <row r="3411">
          <cell r="C3411" t="str">
            <v>&lt;-- enter valid PB./Acc. # in this cell!</v>
          </cell>
          <cell r="F3411" t="str">
            <v>OK</v>
          </cell>
        </row>
        <row r="3412">
          <cell r="C3412" t="str">
            <v>&lt;-- enter valid PB./Acc. # in this cell!</v>
          </cell>
          <cell r="F3412" t="str">
            <v>OK</v>
          </cell>
        </row>
        <row r="3413">
          <cell r="C3413" t="str">
            <v>&lt;-- enter valid PB./Acc. # in this cell!</v>
          </cell>
          <cell r="F3413" t="str">
            <v>OK</v>
          </cell>
        </row>
        <row r="3414">
          <cell r="C3414" t="str">
            <v>&lt;-- enter valid PB./Acc. # in this cell!</v>
          </cell>
          <cell r="F3414" t="str">
            <v>OK</v>
          </cell>
        </row>
        <row r="3415">
          <cell r="C3415" t="str">
            <v>&lt;-- enter valid PB./Acc. # in this cell!</v>
          </cell>
          <cell r="F3415" t="str">
            <v>OK</v>
          </cell>
        </row>
        <row r="3416">
          <cell r="C3416" t="str">
            <v>&lt;-- enter valid PB./Acc. # in this cell!</v>
          </cell>
          <cell r="F3416" t="str">
            <v>OK</v>
          </cell>
        </row>
        <row r="3417">
          <cell r="C3417" t="str">
            <v>&lt;-- enter valid PB./Acc. # in this cell!</v>
          </cell>
          <cell r="F3417" t="str">
            <v>OK</v>
          </cell>
        </row>
        <row r="3418">
          <cell r="C3418" t="str">
            <v>&lt;-- enter valid PB./Acc. # in this cell!</v>
          </cell>
          <cell r="F3418" t="str">
            <v>OK</v>
          </cell>
        </row>
        <row r="3419">
          <cell r="C3419" t="str">
            <v>&lt;-- enter valid PB./Acc. # in this cell!</v>
          </cell>
          <cell r="F3419" t="str">
            <v>OK</v>
          </cell>
        </row>
        <row r="3420">
          <cell r="C3420" t="str">
            <v>&lt;-- enter valid PB./Acc. # in this cell!</v>
          </cell>
          <cell r="F3420" t="str">
            <v>OK</v>
          </cell>
        </row>
        <row r="3421">
          <cell r="C3421" t="str">
            <v>&lt;-- enter valid PB./Acc. # in this cell!</v>
          </cell>
          <cell r="F3421" t="str">
            <v>OK</v>
          </cell>
        </row>
        <row r="3422">
          <cell r="C3422" t="str">
            <v>&lt;-- enter valid PB./Acc. # in this cell!</v>
          </cell>
          <cell r="F3422" t="str">
            <v>OK</v>
          </cell>
        </row>
        <row r="3423">
          <cell r="C3423" t="str">
            <v>&lt;-- enter valid PB./Acc. # in this cell!</v>
          </cell>
          <cell r="F3423" t="str">
            <v>OK</v>
          </cell>
        </row>
        <row r="3424">
          <cell r="C3424" t="str">
            <v>&lt;-- enter valid PB./Acc. # in this cell!</v>
          </cell>
          <cell r="F3424" t="str">
            <v>OK</v>
          </cell>
        </row>
        <row r="3425">
          <cell r="C3425" t="str">
            <v>&lt;-- enter valid PB./Acc. # in this cell!</v>
          </cell>
          <cell r="F3425" t="str">
            <v>OK</v>
          </cell>
        </row>
        <row r="3426">
          <cell r="C3426" t="str">
            <v>&lt;-- enter valid PB./Acc. # in this cell!</v>
          </cell>
          <cell r="F3426" t="str">
            <v>OK</v>
          </cell>
        </row>
        <row r="3427">
          <cell r="C3427" t="str">
            <v>&lt;-- enter valid PB./Acc. # in this cell!</v>
          </cell>
          <cell r="F3427" t="str">
            <v>OK</v>
          </cell>
        </row>
        <row r="3428">
          <cell r="C3428" t="str">
            <v>&lt;-- enter valid PB./Acc. # in this cell!</v>
          </cell>
          <cell r="F3428" t="str">
            <v>OK</v>
          </cell>
        </row>
        <row r="3429">
          <cell r="C3429" t="str">
            <v>&lt;-- enter valid PB./Acc. # in this cell!</v>
          </cell>
          <cell r="F3429" t="str">
            <v>OK</v>
          </cell>
        </row>
        <row r="3430">
          <cell r="C3430" t="str">
            <v>&lt;-- enter valid PB./Acc. # in this cell!</v>
          </cell>
          <cell r="F3430" t="str">
            <v>OK</v>
          </cell>
        </row>
        <row r="3431">
          <cell r="C3431" t="str">
            <v>&lt;-- enter valid PB./Acc. # in this cell!</v>
          </cell>
          <cell r="F3431" t="str">
            <v>OK</v>
          </cell>
        </row>
        <row r="3432">
          <cell r="C3432" t="str">
            <v>&lt;-- enter valid PB./Acc. # in this cell!</v>
          </cell>
          <cell r="F3432" t="str">
            <v>OK</v>
          </cell>
        </row>
        <row r="3433">
          <cell r="C3433" t="str">
            <v>&lt;-- enter valid PB./Acc. # in this cell!</v>
          </cell>
          <cell r="F3433" t="str">
            <v>OK</v>
          </cell>
        </row>
        <row r="3434">
          <cell r="C3434" t="str">
            <v>&lt;-- enter valid PB./Acc. # in this cell!</v>
          </cell>
          <cell r="F3434" t="str">
            <v>OK</v>
          </cell>
        </row>
        <row r="3435">
          <cell r="C3435" t="str">
            <v>&lt;-- enter valid PB./Acc. # in this cell!</v>
          </cell>
          <cell r="F3435" t="str">
            <v>OK</v>
          </cell>
        </row>
        <row r="3436">
          <cell r="C3436" t="str">
            <v>&lt;-- enter valid PB./Acc. # in this cell!</v>
          </cell>
          <cell r="F3436" t="str">
            <v>OK</v>
          </cell>
        </row>
        <row r="3437">
          <cell r="C3437" t="str">
            <v>&lt;-- enter valid PB./Acc. # in this cell!</v>
          </cell>
          <cell r="F3437" t="str">
            <v>OK</v>
          </cell>
        </row>
        <row r="3438">
          <cell r="C3438" t="str">
            <v>&lt;-- enter valid PB./Acc. # in this cell!</v>
          </cell>
          <cell r="F3438" t="str">
            <v>OK</v>
          </cell>
        </row>
        <row r="3439">
          <cell r="C3439" t="str">
            <v>&lt;-- enter valid PB./Acc. # in this cell!</v>
          </cell>
          <cell r="F3439" t="str">
            <v>OK</v>
          </cell>
        </row>
        <row r="3440">
          <cell r="C3440" t="str">
            <v>&lt;-- enter valid PB./Acc. # in this cell!</v>
          </cell>
          <cell r="F3440" t="str">
            <v>OK</v>
          </cell>
        </row>
        <row r="3441">
          <cell r="C3441" t="str">
            <v>&lt;-- enter valid PB./Acc. # in this cell!</v>
          </cell>
          <cell r="F3441" t="str">
            <v>OK</v>
          </cell>
        </row>
        <row r="3442">
          <cell r="C3442" t="str">
            <v>&lt;-- enter valid PB./Acc. # in this cell!</v>
          </cell>
          <cell r="F3442" t="str">
            <v>OK</v>
          </cell>
        </row>
        <row r="3443">
          <cell r="C3443" t="str">
            <v>&lt;-- enter valid PB./Acc. # in this cell!</v>
          </cell>
          <cell r="F3443" t="str">
            <v>OK</v>
          </cell>
        </row>
        <row r="3444">
          <cell r="C3444" t="str">
            <v>&lt;-- enter valid PB./Acc. # in this cell!</v>
          </cell>
          <cell r="F3444" t="str">
            <v>OK</v>
          </cell>
        </row>
        <row r="3445">
          <cell r="C3445" t="str">
            <v>&lt;-- enter valid PB./Acc. # in this cell!</v>
          </cell>
          <cell r="F3445" t="str">
            <v>OK</v>
          </cell>
        </row>
        <row r="3446">
          <cell r="C3446" t="str">
            <v>&lt;-- enter valid PB./Acc. # in this cell!</v>
          </cell>
          <cell r="F3446" t="str">
            <v>OK</v>
          </cell>
        </row>
        <row r="3447">
          <cell r="C3447" t="str">
            <v>&lt;-- enter valid PB./Acc. # in this cell!</v>
          </cell>
          <cell r="F3447" t="str">
            <v>OK</v>
          </cell>
        </row>
        <row r="3448">
          <cell r="C3448" t="str">
            <v>&lt;-- enter valid PB./Acc. # in this cell!</v>
          </cell>
          <cell r="F3448" t="str">
            <v>OK</v>
          </cell>
        </row>
        <row r="3449">
          <cell r="C3449" t="str">
            <v>&lt;-- enter valid PB./Acc. # in this cell!</v>
          </cell>
          <cell r="F3449" t="str">
            <v>OK</v>
          </cell>
        </row>
        <row r="3450">
          <cell r="C3450" t="str">
            <v>&lt;-- enter valid PB./Acc. # in this cell!</v>
          </cell>
          <cell r="F3450" t="str">
            <v>OK</v>
          </cell>
        </row>
        <row r="3451">
          <cell r="C3451" t="str">
            <v>&lt;-- enter valid PB./Acc. # in this cell!</v>
          </cell>
          <cell r="F3451" t="str">
            <v>OK</v>
          </cell>
        </row>
        <row r="3452">
          <cell r="C3452" t="str">
            <v>&lt;-- enter valid PB./Acc. # in this cell!</v>
          </cell>
          <cell r="F3452" t="str">
            <v>OK</v>
          </cell>
        </row>
        <row r="3453">
          <cell r="C3453" t="str">
            <v>&lt;-- enter valid PB./Acc. # in this cell!</v>
          </cell>
          <cell r="F3453" t="str">
            <v>OK</v>
          </cell>
        </row>
        <row r="3454">
          <cell r="C3454" t="str">
            <v>&lt;-- enter valid PB./Acc. # in this cell!</v>
          </cell>
          <cell r="F3454" t="str">
            <v>OK</v>
          </cell>
        </row>
        <row r="3455">
          <cell r="C3455" t="str">
            <v>&lt;-- enter valid PB./Acc. # in this cell!</v>
          </cell>
          <cell r="F3455" t="str">
            <v>OK</v>
          </cell>
        </row>
        <row r="3456">
          <cell r="C3456" t="str">
            <v>&lt;-- enter valid PB./Acc. # in this cell!</v>
          </cell>
          <cell r="F3456" t="str">
            <v>OK</v>
          </cell>
        </row>
        <row r="3457">
          <cell r="C3457" t="str">
            <v>&lt;-- enter valid PB./Acc. # in this cell!</v>
          </cell>
          <cell r="F3457" t="str">
            <v>OK</v>
          </cell>
        </row>
        <row r="3458">
          <cell r="C3458" t="str">
            <v>&lt;-- enter valid PB./Acc. # in this cell!</v>
          </cell>
          <cell r="F3458" t="str">
            <v>OK</v>
          </cell>
        </row>
        <row r="3459">
          <cell r="C3459" t="str">
            <v>&lt;-- enter valid PB./Acc. # in this cell!</v>
          </cell>
          <cell r="F3459" t="str">
            <v>OK</v>
          </cell>
        </row>
        <row r="3460">
          <cell r="C3460" t="str">
            <v>&lt;-- enter valid PB./Acc. # in this cell!</v>
          </cell>
          <cell r="F3460" t="str">
            <v>OK</v>
          </cell>
        </row>
        <row r="3461">
          <cell r="C3461" t="str">
            <v>&lt;-- enter valid PB./Acc. # in this cell!</v>
          </cell>
          <cell r="F3461" t="str">
            <v>OK</v>
          </cell>
        </row>
        <row r="3462">
          <cell r="C3462" t="str">
            <v>&lt;-- enter valid PB./Acc. # in this cell!</v>
          </cell>
          <cell r="F3462" t="str">
            <v>OK</v>
          </cell>
        </row>
        <row r="3463">
          <cell r="C3463" t="str">
            <v>&lt;-- enter valid PB./Acc. # in this cell!</v>
          </cell>
          <cell r="F3463" t="str">
            <v>OK</v>
          </cell>
        </row>
        <row r="3464">
          <cell r="C3464" t="str">
            <v>&lt;-- enter valid PB./Acc. # in this cell!</v>
          </cell>
          <cell r="F3464" t="str">
            <v>OK</v>
          </cell>
        </row>
        <row r="3465">
          <cell r="C3465" t="str">
            <v>&lt;-- enter valid PB./Acc. # in this cell!</v>
          </cell>
          <cell r="F3465" t="str">
            <v>OK</v>
          </cell>
        </row>
        <row r="3466">
          <cell r="C3466" t="str">
            <v>&lt;-- enter valid PB./Acc. # in this cell!</v>
          </cell>
          <cell r="F3466" t="str">
            <v>OK</v>
          </cell>
        </row>
        <row r="3467">
          <cell r="C3467" t="str">
            <v>&lt;-- enter valid PB./Acc. # in this cell!</v>
          </cell>
          <cell r="F3467" t="str">
            <v>OK</v>
          </cell>
        </row>
        <row r="3468">
          <cell r="C3468" t="str">
            <v>&lt;-- enter valid PB./Acc. # in this cell!</v>
          </cell>
          <cell r="F3468" t="str">
            <v>OK</v>
          </cell>
        </row>
        <row r="3469">
          <cell r="C3469" t="str">
            <v>&lt;-- enter valid PB./Acc. # in this cell!</v>
          </cell>
          <cell r="F3469" t="str">
            <v>OK</v>
          </cell>
        </row>
        <row r="3470">
          <cell r="C3470" t="str">
            <v>&lt;-- enter valid PB./Acc. # in this cell!</v>
          </cell>
          <cell r="F3470" t="str">
            <v>OK</v>
          </cell>
        </row>
        <row r="3471">
          <cell r="C3471" t="str">
            <v>&lt;-- enter valid PB./Acc. # in this cell!</v>
          </cell>
          <cell r="F3471" t="str">
            <v>OK</v>
          </cell>
        </row>
        <row r="3472">
          <cell r="C3472" t="str">
            <v>&lt;-- enter valid PB./Acc. # in this cell!</v>
          </cell>
          <cell r="F3472" t="str">
            <v>OK</v>
          </cell>
        </row>
        <row r="3473">
          <cell r="C3473" t="str">
            <v>&lt;-- enter valid PB./Acc. # in this cell!</v>
          </cell>
          <cell r="F3473" t="str">
            <v>OK</v>
          </cell>
        </row>
        <row r="3474">
          <cell r="C3474" t="str">
            <v>&lt;-- enter valid PB./Acc. # in this cell!</v>
          </cell>
          <cell r="F3474" t="str">
            <v>OK</v>
          </cell>
        </row>
        <row r="3475">
          <cell r="C3475" t="str">
            <v>&lt;-- enter valid PB./Acc. # in this cell!</v>
          </cell>
          <cell r="F3475" t="str">
            <v>OK</v>
          </cell>
        </row>
        <row r="3476">
          <cell r="C3476" t="str">
            <v>&lt;-- enter valid PB./Acc. # in this cell!</v>
          </cell>
          <cell r="F3476" t="str">
            <v>OK</v>
          </cell>
        </row>
        <row r="3477">
          <cell r="C3477" t="str">
            <v>&lt;-- enter valid PB./Acc. # in this cell!</v>
          </cell>
          <cell r="F3477" t="str">
            <v>OK</v>
          </cell>
        </row>
        <row r="3478">
          <cell r="C3478" t="str">
            <v>&lt;-- enter valid PB./Acc. # in this cell!</v>
          </cell>
          <cell r="F3478" t="str">
            <v>OK</v>
          </cell>
        </row>
        <row r="3479">
          <cell r="C3479" t="str">
            <v>&lt;-- enter valid PB./Acc. # in this cell!</v>
          </cell>
          <cell r="F3479" t="str">
            <v>OK</v>
          </cell>
        </row>
        <row r="3480">
          <cell r="C3480" t="str">
            <v>&lt;-- enter valid PB./Acc. # in this cell!</v>
          </cell>
          <cell r="F3480" t="str">
            <v>OK</v>
          </cell>
        </row>
        <row r="3481">
          <cell r="C3481" t="str">
            <v>&lt;-- enter valid PB./Acc. # in this cell!</v>
          </cell>
          <cell r="F3481" t="str">
            <v>OK</v>
          </cell>
        </row>
        <row r="3482">
          <cell r="C3482" t="str">
            <v>&lt;-- enter valid PB./Acc. # in this cell!</v>
          </cell>
          <cell r="F3482" t="str">
            <v>OK</v>
          </cell>
        </row>
        <row r="3483">
          <cell r="C3483" t="str">
            <v>&lt;-- enter valid PB./Acc. # in this cell!</v>
          </cell>
          <cell r="F3483" t="str">
            <v>OK</v>
          </cell>
        </row>
        <row r="3484">
          <cell r="C3484" t="str">
            <v>&lt;-- enter valid PB./Acc. # in this cell!</v>
          </cell>
          <cell r="F3484" t="str">
            <v>OK</v>
          </cell>
        </row>
        <row r="3485">
          <cell r="C3485" t="str">
            <v>&lt;-- enter valid PB./Acc. # in this cell!</v>
          </cell>
          <cell r="F3485" t="str">
            <v>OK</v>
          </cell>
        </row>
        <row r="3486">
          <cell r="C3486" t="str">
            <v>&lt;-- enter valid PB./Acc. # in this cell!</v>
          </cell>
          <cell r="F3486" t="str">
            <v>OK</v>
          </cell>
        </row>
        <row r="3487">
          <cell r="C3487" t="str">
            <v>&lt;-- enter valid PB./Acc. # in this cell!</v>
          </cell>
          <cell r="F3487" t="str">
            <v>OK</v>
          </cell>
        </row>
        <row r="3488">
          <cell r="C3488" t="str">
            <v>&lt;-- enter valid PB./Acc. # in this cell!</v>
          </cell>
          <cell r="F3488" t="str">
            <v>OK</v>
          </cell>
        </row>
        <row r="3489">
          <cell r="C3489" t="str">
            <v>&lt;-- enter valid PB./Acc. # in this cell!</v>
          </cell>
          <cell r="F3489" t="str">
            <v>OK</v>
          </cell>
        </row>
        <row r="3490">
          <cell r="C3490" t="str">
            <v>&lt;-- enter valid PB./Acc. # in this cell!</v>
          </cell>
          <cell r="F3490" t="str">
            <v>OK</v>
          </cell>
        </row>
        <row r="3491">
          <cell r="C3491" t="str">
            <v>&lt;-- enter valid PB./Acc. # in this cell!</v>
          </cell>
          <cell r="F3491" t="str">
            <v>OK</v>
          </cell>
        </row>
        <row r="3492">
          <cell r="C3492" t="str">
            <v>&lt;-- enter valid PB./Acc. # in this cell!</v>
          </cell>
          <cell r="F3492" t="str">
            <v>OK</v>
          </cell>
        </row>
        <row r="3493">
          <cell r="C3493" t="str">
            <v>&lt;-- enter valid PB./Acc. # in this cell!</v>
          </cell>
          <cell r="F3493" t="str">
            <v>OK</v>
          </cell>
        </row>
        <row r="3494">
          <cell r="C3494" t="str">
            <v>&lt;-- enter valid PB./Acc. # in this cell!</v>
          </cell>
          <cell r="F3494" t="str">
            <v>OK</v>
          </cell>
        </row>
        <row r="3495">
          <cell r="C3495" t="str">
            <v>&lt;-- enter valid PB./Acc. # in this cell!</v>
          </cell>
          <cell r="F3495" t="str">
            <v>OK</v>
          </cell>
        </row>
        <row r="3496">
          <cell r="C3496" t="str">
            <v>&lt;-- enter valid PB./Acc. # in this cell!</v>
          </cell>
          <cell r="F3496" t="str">
            <v>OK</v>
          </cell>
        </row>
        <row r="3497">
          <cell r="C3497" t="str">
            <v>&lt;-- enter valid PB./Acc. # in this cell!</v>
          </cell>
          <cell r="F3497" t="str">
            <v>OK</v>
          </cell>
        </row>
        <row r="3498">
          <cell r="C3498" t="str">
            <v>&lt;-- enter valid PB./Acc. # in this cell!</v>
          </cell>
          <cell r="F3498" t="str">
            <v>OK</v>
          </cell>
        </row>
        <row r="3499">
          <cell r="C3499" t="str">
            <v>&lt;-- enter valid PB./Acc. # in this cell!</v>
          </cell>
          <cell r="F3499" t="str">
            <v>OK</v>
          </cell>
        </row>
        <row r="3500">
          <cell r="C3500" t="str">
            <v>&lt;-- enter valid PB./Acc. # in this cell!</v>
          </cell>
          <cell r="F3500" t="str">
            <v>OK</v>
          </cell>
        </row>
        <row r="3501">
          <cell r="C3501" t="str">
            <v>&lt;-- enter valid PB./Acc. # in this cell!</v>
          </cell>
          <cell r="F3501" t="str">
            <v>OK</v>
          </cell>
        </row>
        <row r="3502">
          <cell r="C3502" t="str">
            <v>&lt;-- enter valid PB./Acc. # in this cell!</v>
          </cell>
          <cell r="F3502" t="str">
            <v>OK</v>
          </cell>
        </row>
        <row r="3503">
          <cell r="C3503" t="str">
            <v>&lt;-- enter valid PB./Acc. # in this cell!</v>
          </cell>
          <cell r="F3503" t="str">
            <v>OK</v>
          </cell>
        </row>
        <row r="3504">
          <cell r="C3504" t="str">
            <v>&lt;-- enter valid PB./Acc. # in this cell!</v>
          </cell>
          <cell r="F3504" t="str">
            <v>OK</v>
          </cell>
        </row>
        <row r="3505">
          <cell r="C3505" t="str">
            <v>&lt;-- enter valid PB./Acc. # in this cell!</v>
          </cell>
          <cell r="F3505" t="str">
            <v>OK</v>
          </cell>
        </row>
        <row r="3506">
          <cell r="C3506" t="str">
            <v>&lt;-- enter valid PB./Acc. # in this cell!</v>
          </cell>
          <cell r="F3506" t="str">
            <v>OK</v>
          </cell>
        </row>
        <row r="3507">
          <cell r="C3507" t="str">
            <v>&lt;-- enter valid PB./Acc. # in this cell!</v>
          </cell>
          <cell r="F3507" t="str">
            <v>OK</v>
          </cell>
        </row>
        <row r="3508">
          <cell r="C3508" t="str">
            <v>&lt;-- enter valid PB./Acc. # in this cell!</v>
          </cell>
          <cell r="F3508" t="str">
            <v>OK</v>
          </cell>
        </row>
        <row r="3509">
          <cell r="C3509" t="str">
            <v>&lt;-- enter valid PB./Acc. # in this cell!</v>
          </cell>
          <cell r="F3509" t="str">
            <v>OK</v>
          </cell>
        </row>
        <row r="3510">
          <cell r="C3510" t="str">
            <v>&lt;-- enter valid PB./Acc. # in this cell!</v>
          </cell>
          <cell r="F3510" t="str">
            <v>OK</v>
          </cell>
        </row>
        <row r="3511">
          <cell r="C3511" t="str">
            <v>&lt;-- enter valid PB./Acc. # in this cell!</v>
          </cell>
          <cell r="F3511" t="str">
            <v>OK</v>
          </cell>
        </row>
        <row r="3512">
          <cell r="C3512" t="str">
            <v>&lt;-- enter valid PB./Acc. # in this cell!</v>
          </cell>
          <cell r="F3512" t="str">
            <v>OK</v>
          </cell>
        </row>
        <row r="3513">
          <cell r="C3513" t="str">
            <v>&lt;-- enter valid PB./Acc. # in this cell!</v>
          </cell>
          <cell r="F3513" t="str">
            <v>OK</v>
          </cell>
        </row>
        <row r="3514">
          <cell r="C3514" t="str">
            <v>&lt;-- enter valid PB./Acc. # in this cell!</v>
          </cell>
          <cell r="F3514" t="str">
            <v>OK</v>
          </cell>
        </row>
        <row r="3515">
          <cell r="C3515" t="str">
            <v>&lt;-- enter valid PB./Acc. # in this cell!</v>
          </cell>
          <cell r="F3515" t="str">
            <v>OK</v>
          </cell>
        </row>
        <row r="3516">
          <cell r="C3516" t="str">
            <v>&lt;-- enter valid PB./Acc. # in this cell!</v>
          </cell>
          <cell r="F3516" t="str">
            <v>OK</v>
          </cell>
        </row>
        <row r="3517">
          <cell r="C3517" t="str">
            <v>&lt;-- enter valid PB./Acc. # in this cell!</v>
          </cell>
          <cell r="F3517" t="str">
            <v>OK</v>
          </cell>
        </row>
        <row r="3518">
          <cell r="C3518" t="str">
            <v>&lt;-- enter valid PB./Acc. # in this cell!</v>
          </cell>
          <cell r="F3518" t="str">
            <v>OK</v>
          </cell>
        </row>
        <row r="3519">
          <cell r="C3519" t="str">
            <v>&lt;-- enter valid PB./Acc. # in this cell!</v>
          </cell>
          <cell r="F3519" t="str">
            <v>OK</v>
          </cell>
        </row>
        <row r="3520">
          <cell r="C3520" t="str">
            <v>&lt;-- enter valid PB./Acc. # in this cell!</v>
          </cell>
          <cell r="F3520" t="str">
            <v>OK</v>
          </cell>
        </row>
        <row r="3521">
          <cell r="C3521" t="str">
            <v>&lt;-- enter valid PB./Acc. # in this cell!</v>
          </cell>
          <cell r="F3521" t="str">
            <v>OK</v>
          </cell>
        </row>
        <row r="3522">
          <cell r="C3522" t="str">
            <v>&lt;-- enter valid PB./Acc. # in this cell!</v>
          </cell>
          <cell r="F3522" t="str">
            <v>OK</v>
          </cell>
        </row>
        <row r="3523">
          <cell r="C3523" t="str">
            <v>&lt;-- enter valid PB./Acc. # in this cell!</v>
          </cell>
          <cell r="F3523" t="str">
            <v>OK</v>
          </cell>
        </row>
        <row r="3524">
          <cell r="C3524" t="str">
            <v>&lt;-- enter valid PB./Acc. # in this cell!</v>
          </cell>
          <cell r="F3524" t="str">
            <v>OK</v>
          </cell>
        </row>
        <row r="3525">
          <cell r="C3525" t="str">
            <v>&lt;-- enter valid PB./Acc. # in this cell!</v>
          </cell>
          <cell r="F3525" t="str">
            <v>OK</v>
          </cell>
        </row>
        <row r="3526">
          <cell r="C3526" t="str">
            <v>&lt;-- enter valid PB./Acc. # in this cell!</v>
          </cell>
          <cell r="F3526" t="str">
            <v>OK</v>
          </cell>
        </row>
        <row r="3527">
          <cell r="C3527" t="str">
            <v>&lt;-- enter valid PB./Acc. # in this cell!</v>
          </cell>
          <cell r="F3527" t="str">
            <v>OK</v>
          </cell>
        </row>
        <row r="3528">
          <cell r="C3528" t="str">
            <v>&lt;-- enter valid PB./Acc. # in this cell!</v>
          </cell>
          <cell r="F3528" t="str">
            <v>OK</v>
          </cell>
        </row>
        <row r="3529">
          <cell r="C3529" t="str">
            <v>&lt;-- enter valid PB./Acc. # in this cell!</v>
          </cell>
          <cell r="F3529" t="str">
            <v>OK</v>
          </cell>
        </row>
        <row r="3530">
          <cell r="C3530" t="str">
            <v>&lt;-- enter valid PB./Acc. # in this cell!</v>
          </cell>
          <cell r="F3530" t="str">
            <v>OK</v>
          </cell>
        </row>
        <row r="3531">
          <cell r="C3531" t="str">
            <v>&lt;-- enter valid PB./Acc. # in this cell!</v>
          </cell>
          <cell r="F3531" t="str">
            <v>OK</v>
          </cell>
        </row>
        <row r="3532">
          <cell r="C3532" t="str">
            <v>&lt;-- enter valid PB./Acc. # in this cell!</v>
          </cell>
          <cell r="F3532" t="str">
            <v>OK</v>
          </cell>
        </row>
        <row r="3533">
          <cell r="C3533" t="str">
            <v>&lt;-- enter valid PB./Acc. # in this cell!</v>
          </cell>
          <cell r="F3533" t="str">
            <v>OK</v>
          </cell>
        </row>
        <row r="3534">
          <cell r="C3534" t="str">
            <v>&lt;-- enter valid PB./Acc. # in this cell!</v>
          </cell>
          <cell r="F3534" t="str">
            <v>OK</v>
          </cell>
        </row>
        <row r="3535">
          <cell r="C3535" t="str">
            <v>&lt;-- enter valid PB./Acc. # in this cell!</v>
          </cell>
          <cell r="F3535" t="str">
            <v>OK</v>
          </cell>
        </row>
        <row r="3536">
          <cell r="C3536" t="str">
            <v>&lt;-- enter valid PB./Acc. # in this cell!</v>
          </cell>
          <cell r="F3536" t="str">
            <v>OK</v>
          </cell>
        </row>
        <row r="3537">
          <cell r="C3537" t="str">
            <v>&lt;-- enter valid PB./Acc. # in this cell!</v>
          </cell>
          <cell r="F3537" t="str">
            <v>OK</v>
          </cell>
        </row>
        <row r="3538">
          <cell r="C3538" t="str">
            <v>&lt;-- enter valid PB./Acc. # in this cell!</v>
          </cell>
          <cell r="F3538" t="str">
            <v>OK</v>
          </cell>
        </row>
        <row r="3539">
          <cell r="C3539" t="str">
            <v>&lt;-- enter valid PB./Acc. # in this cell!</v>
          </cell>
          <cell r="F3539" t="str">
            <v>OK</v>
          </cell>
        </row>
        <row r="3540">
          <cell r="C3540" t="str">
            <v>&lt;-- enter valid PB./Acc. # in this cell!</v>
          </cell>
          <cell r="F3540" t="str">
            <v>OK</v>
          </cell>
        </row>
        <row r="3541">
          <cell r="C3541" t="str">
            <v>&lt;-- enter valid PB./Acc. # in this cell!</v>
          </cell>
          <cell r="F3541" t="str">
            <v>OK</v>
          </cell>
        </row>
        <row r="3542">
          <cell r="C3542" t="str">
            <v>&lt;-- enter valid PB./Acc. # in this cell!</v>
          </cell>
          <cell r="F3542" t="str">
            <v>OK</v>
          </cell>
        </row>
        <row r="3543">
          <cell r="C3543" t="str">
            <v>&lt;-- enter valid PB./Acc. # in this cell!</v>
          </cell>
          <cell r="F3543" t="str">
            <v>OK</v>
          </cell>
        </row>
        <row r="3544">
          <cell r="C3544" t="str">
            <v>&lt;-- enter valid PB./Acc. # in this cell!</v>
          </cell>
          <cell r="F3544" t="str">
            <v>OK</v>
          </cell>
        </row>
        <row r="3545">
          <cell r="C3545" t="str">
            <v>&lt;-- enter valid PB./Acc. # in this cell!</v>
          </cell>
          <cell r="F3545" t="str">
            <v>OK</v>
          </cell>
        </row>
        <row r="3546">
          <cell r="C3546" t="str">
            <v>&lt;-- enter valid PB./Acc. # in this cell!</v>
          </cell>
          <cell r="F3546" t="str">
            <v>OK</v>
          </cell>
        </row>
        <row r="3547">
          <cell r="C3547" t="str">
            <v>&lt;-- enter valid PB./Acc. # in this cell!</v>
          </cell>
          <cell r="F3547" t="str">
            <v>OK</v>
          </cell>
        </row>
        <row r="3548">
          <cell r="C3548" t="str">
            <v>&lt;-- enter valid PB./Acc. # in this cell!</v>
          </cell>
          <cell r="F3548" t="str">
            <v>OK</v>
          </cell>
        </row>
        <row r="3549">
          <cell r="C3549" t="str">
            <v>&lt;-- enter valid PB./Acc. # in this cell!</v>
          </cell>
          <cell r="F3549" t="str">
            <v>OK</v>
          </cell>
        </row>
        <row r="3550">
          <cell r="C3550" t="str">
            <v>&lt;-- enter valid PB./Acc. # in this cell!</v>
          </cell>
          <cell r="F3550" t="str">
            <v>OK</v>
          </cell>
        </row>
        <row r="3551">
          <cell r="C3551" t="str">
            <v>&lt;-- enter valid PB./Acc. # in this cell!</v>
          </cell>
          <cell r="F3551" t="str">
            <v>OK</v>
          </cell>
        </row>
        <row r="3552">
          <cell r="C3552" t="str">
            <v>&lt;-- enter valid PB./Acc. # in this cell!</v>
          </cell>
          <cell r="F3552" t="str">
            <v>OK</v>
          </cell>
        </row>
        <row r="3553">
          <cell r="C3553" t="str">
            <v>&lt;-- enter valid PB./Acc. # in this cell!</v>
          </cell>
          <cell r="F3553" t="str">
            <v>OK</v>
          </cell>
        </row>
        <row r="3554">
          <cell r="C3554" t="str">
            <v>&lt;-- enter valid PB./Acc. # in this cell!</v>
          </cell>
          <cell r="F3554" t="str">
            <v>OK</v>
          </cell>
        </row>
        <row r="3555">
          <cell r="C3555" t="str">
            <v>&lt;-- enter valid PB./Acc. # in this cell!</v>
          </cell>
          <cell r="F3555" t="str">
            <v>OK</v>
          </cell>
        </row>
        <row r="3556">
          <cell r="C3556" t="str">
            <v>&lt;-- enter valid PB./Acc. # in this cell!</v>
          </cell>
          <cell r="F3556" t="str">
            <v>OK</v>
          </cell>
        </row>
        <row r="3557">
          <cell r="C3557" t="str">
            <v>&lt;-- enter valid PB./Acc. # in this cell!</v>
          </cell>
          <cell r="F3557" t="str">
            <v>OK</v>
          </cell>
        </row>
        <row r="3558">
          <cell r="C3558" t="str">
            <v>&lt;-- enter valid PB./Acc. # in this cell!</v>
          </cell>
          <cell r="F3558" t="str">
            <v>OK</v>
          </cell>
        </row>
        <row r="3559">
          <cell r="C3559" t="str">
            <v>&lt;-- enter valid PB./Acc. # in this cell!</v>
          </cell>
          <cell r="F3559" t="str">
            <v>OK</v>
          </cell>
        </row>
        <row r="3560">
          <cell r="C3560" t="str">
            <v>&lt;-- enter valid PB./Acc. # in this cell!</v>
          </cell>
          <cell r="F3560" t="str">
            <v>OK</v>
          </cell>
        </row>
        <row r="3561">
          <cell r="C3561" t="str">
            <v>&lt;-- enter valid PB./Acc. # in this cell!</v>
          </cell>
          <cell r="F3561" t="str">
            <v>OK</v>
          </cell>
        </row>
        <row r="3562">
          <cell r="C3562" t="str">
            <v>&lt;-- enter valid PB./Acc. # in this cell!</v>
          </cell>
          <cell r="F3562" t="str">
            <v>OK</v>
          </cell>
        </row>
        <row r="3563">
          <cell r="C3563" t="str">
            <v>&lt;-- enter valid PB./Acc. # in this cell!</v>
          </cell>
          <cell r="F3563" t="str">
            <v>OK</v>
          </cell>
        </row>
        <row r="3564">
          <cell r="C3564" t="str">
            <v>&lt;-- enter valid PB./Acc. # in this cell!</v>
          </cell>
          <cell r="F3564" t="str">
            <v>OK</v>
          </cell>
        </row>
        <row r="3565">
          <cell r="C3565" t="str">
            <v>&lt;-- enter valid PB./Acc. # in this cell!</v>
          </cell>
          <cell r="F3565" t="str">
            <v>OK</v>
          </cell>
        </row>
        <row r="3566">
          <cell r="C3566" t="str">
            <v>&lt;-- enter valid PB./Acc. # in this cell!</v>
          </cell>
          <cell r="F3566" t="str">
            <v>OK</v>
          </cell>
        </row>
        <row r="3567">
          <cell r="C3567" t="str">
            <v>&lt;-- enter valid PB./Acc. # in this cell!</v>
          </cell>
          <cell r="F3567" t="str">
            <v>OK</v>
          </cell>
        </row>
        <row r="3568">
          <cell r="C3568" t="str">
            <v>&lt;-- enter valid PB./Acc. # in this cell!</v>
          </cell>
          <cell r="F3568" t="str">
            <v>OK</v>
          </cell>
        </row>
        <row r="3569">
          <cell r="C3569" t="str">
            <v>&lt;-- enter valid PB./Acc. # in this cell!</v>
          </cell>
          <cell r="F3569" t="str">
            <v>OK</v>
          </cell>
        </row>
        <row r="3570">
          <cell r="C3570" t="str">
            <v>&lt;-- enter valid PB./Acc. # in this cell!</v>
          </cell>
          <cell r="F3570" t="str">
            <v>OK</v>
          </cell>
        </row>
        <row r="3571">
          <cell r="C3571" t="str">
            <v>&lt;-- enter valid PB./Acc. # in this cell!</v>
          </cell>
          <cell r="F3571" t="str">
            <v>OK</v>
          </cell>
        </row>
        <row r="3572">
          <cell r="C3572" t="str">
            <v>&lt;-- enter valid PB./Acc. # in this cell!</v>
          </cell>
          <cell r="F3572" t="str">
            <v>OK</v>
          </cell>
        </row>
        <row r="3573">
          <cell r="C3573" t="str">
            <v>&lt;-- enter valid PB./Acc. # in this cell!</v>
          </cell>
          <cell r="F3573" t="str">
            <v>OK</v>
          </cell>
        </row>
        <row r="3574">
          <cell r="C3574" t="str">
            <v>&lt;-- enter valid PB./Acc. # in this cell!</v>
          </cell>
          <cell r="F3574" t="str">
            <v>OK</v>
          </cell>
        </row>
        <row r="3575">
          <cell r="C3575" t="str">
            <v>&lt;-- enter valid PB./Acc. # in this cell!</v>
          </cell>
          <cell r="F3575" t="str">
            <v>OK</v>
          </cell>
        </row>
        <row r="3576">
          <cell r="C3576" t="str">
            <v>&lt;-- enter valid PB./Acc. # in this cell!</v>
          </cell>
          <cell r="F3576" t="str">
            <v>OK</v>
          </cell>
        </row>
        <row r="3577">
          <cell r="C3577" t="str">
            <v>&lt;-- enter valid PB./Acc. # in this cell!</v>
          </cell>
          <cell r="F3577" t="str">
            <v>OK</v>
          </cell>
        </row>
        <row r="3578">
          <cell r="C3578" t="str">
            <v>&lt;-- enter valid PB./Acc. # in this cell!</v>
          </cell>
          <cell r="F3578" t="str">
            <v>OK</v>
          </cell>
        </row>
        <row r="3579">
          <cell r="C3579" t="str">
            <v>&lt;-- enter valid PB./Acc. # in this cell!</v>
          </cell>
          <cell r="F3579" t="str">
            <v>OK</v>
          </cell>
        </row>
        <row r="3580">
          <cell r="C3580" t="str">
            <v>&lt;-- enter valid PB./Acc. # in this cell!</v>
          </cell>
          <cell r="F3580" t="str">
            <v>OK</v>
          </cell>
        </row>
        <row r="3581">
          <cell r="C3581" t="str">
            <v>&lt;-- enter valid PB./Acc. # in this cell!</v>
          </cell>
          <cell r="F3581" t="str">
            <v>OK</v>
          </cell>
        </row>
        <row r="3582">
          <cell r="C3582" t="str">
            <v>&lt;-- enter valid PB./Acc. # in this cell!</v>
          </cell>
          <cell r="F3582" t="str">
            <v>OK</v>
          </cell>
        </row>
        <row r="3583">
          <cell r="C3583" t="str">
            <v>&lt;-- enter valid PB./Acc. # in this cell!</v>
          </cell>
          <cell r="F3583" t="str">
            <v>OK</v>
          </cell>
        </row>
        <row r="3584">
          <cell r="C3584" t="str">
            <v>&lt;-- enter valid PB./Acc. # in this cell!</v>
          </cell>
          <cell r="F3584" t="str">
            <v>OK</v>
          </cell>
        </row>
        <row r="3585">
          <cell r="C3585" t="str">
            <v>&lt;-- enter valid PB./Acc. # in this cell!</v>
          </cell>
          <cell r="F3585" t="str">
            <v>OK</v>
          </cell>
        </row>
        <row r="3586">
          <cell r="C3586" t="str">
            <v>&lt;-- enter valid PB./Acc. # in this cell!</v>
          </cell>
          <cell r="F3586" t="str">
            <v>OK</v>
          </cell>
        </row>
        <row r="3587">
          <cell r="C3587" t="str">
            <v>&lt;-- enter valid PB./Acc. # in this cell!</v>
          </cell>
          <cell r="F3587" t="str">
            <v>OK</v>
          </cell>
        </row>
        <row r="3588">
          <cell r="C3588" t="str">
            <v>&lt;-- enter valid PB./Acc. # in this cell!</v>
          </cell>
          <cell r="F3588" t="str">
            <v>OK</v>
          </cell>
        </row>
        <row r="3589">
          <cell r="C3589" t="str">
            <v>&lt;-- enter valid PB./Acc. # in this cell!</v>
          </cell>
          <cell r="F3589" t="str">
            <v>OK</v>
          </cell>
          <cell r="N3589">
            <v>0</v>
          </cell>
        </row>
        <row r="3590">
          <cell r="C3590" t="str">
            <v>&lt;-- enter valid PB./Acc. # in this cell!</v>
          </cell>
          <cell r="F3590" t="str">
            <v>OK</v>
          </cell>
        </row>
        <row r="3591">
          <cell r="C3591" t="str">
            <v>&lt;-- enter valid PB./Acc. # in this cell!</v>
          </cell>
          <cell r="F3591" t="str">
            <v>OK</v>
          </cell>
        </row>
        <row r="3592">
          <cell r="C3592" t="str">
            <v>&lt;-- enter valid PB./Acc. # in this cell!</v>
          </cell>
          <cell r="F3592" t="str">
            <v>OK</v>
          </cell>
        </row>
        <row r="3593">
          <cell r="C3593" t="str">
            <v>&lt;-- enter valid PB./Acc. # in this cell!</v>
          </cell>
          <cell r="F3593" t="str">
            <v>OK</v>
          </cell>
        </row>
        <row r="3594">
          <cell r="C3594" t="str">
            <v>&lt;-- enter valid PB./Acc. # in this cell!</v>
          </cell>
          <cell r="F3594" t="str">
            <v>OK</v>
          </cell>
        </row>
        <row r="3595">
          <cell r="C3595" t="str">
            <v>&lt;-- enter valid PB./Acc. # in this cell!</v>
          </cell>
          <cell r="F3595" t="str">
            <v>OK</v>
          </cell>
        </row>
        <row r="3596">
          <cell r="C3596" t="str">
            <v>&lt;-- enter valid PB./Acc. # in this cell!</v>
          </cell>
          <cell r="F3596" t="str">
            <v>OK</v>
          </cell>
        </row>
        <row r="3597">
          <cell r="C3597" t="str">
            <v>&lt;-- enter valid PB./Acc. # in this cell!</v>
          </cell>
          <cell r="F3597" t="str">
            <v>OK</v>
          </cell>
        </row>
        <row r="3598">
          <cell r="C3598" t="str">
            <v>&lt;-- enter valid PB./Acc. # in this cell!</v>
          </cell>
          <cell r="F3598" t="str">
            <v>OK</v>
          </cell>
        </row>
        <row r="3599">
          <cell r="C3599" t="str">
            <v>&lt;-- enter valid PB./Acc. # in this cell!</v>
          </cell>
          <cell r="F3599" t="str">
            <v>OK</v>
          </cell>
        </row>
      </sheetData>
      <sheetData sheetId="1">
        <row r="2">
          <cell r="B2" t="str">
            <v>Credit Union Name Co-operative Credit Union Ltd.</v>
          </cell>
        </row>
      </sheetData>
      <sheetData sheetId="2"/>
      <sheetData sheetId="3">
        <row r="7">
          <cell r="E7">
            <v>42216</v>
          </cell>
        </row>
      </sheetData>
      <sheetData sheetId="4">
        <row r="6">
          <cell r="C6">
            <v>21709.05</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row r="6">
          <cell r="U6">
            <v>158</v>
          </cell>
        </row>
      </sheetData>
      <sheetData sheetId="38"/>
      <sheetData sheetId="39">
        <row r="44">
          <cell r="C44">
            <v>0</v>
          </cell>
        </row>
      </sheetData>
      <sheetData sheetId="40"/>
      <sheetData sheetId="41">
        <row r="106">
          <cell r="M106">
            <v>0</v>
          </cell>
        </row>
      </sheetData>
      <sheetData sheetId="42"/>
      <sheetData sheetId="43"/>
      <sheetData sheetId="44"/>
      <sheetData sheetId="45"/>
      <sheetData sheetId="46"/>
      <sheetData sheetId="47"/>
      <sheetData sheetId="48"/>
      <sheetData sheetId="49"/>
      <sheetData sheetId="50"/>
      <sheetData sheetId="51"/>
      <sheetData sheetId="5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42"/>
  <sheetViews>
    <sheetView showGridLines="0" view="pageLayout" topLeftCell="A75" zoomScale="95" zoomScaleNormal="106" zoomScalePageLayoutView="95" workbookViewId="0">
      <selection activeCell="A35" sqref="A35:XFD35"/>
    </sheetView>
  </sheetViews>
  <sheetFormatPr defaultColWidth="10.33203125" defaultRowHeight="15"/>
  <cols>
    <col min="1" max="1" width="23.5546875" style="370" customWidth="1"/>
    <col min="2" max="2" width="17.6640625" style="370" customWidth="1"/>
    <col min="3" max="3" width="11.44140625" style="370" customWidth="1"/>
    <col min="4" max="4" width="16.77734375" style="370" customWidth="1"/>
    <col min="5" max="5" width="20" style="370" customWidth="1"/>
    <col min="6" max="6" width="19.109375" style="370" customWidth="1"/>
    <col min="7" max="7" width="16.88671875" style="370" bestFit="1" customWidth="1"/>
    <col min="8" max="8" width="6.6640625" style="370" customWidth="1"/>
    <col min="9" max="9" width="12.33203125" style="370" hidden="1" customWidth="1"/>
    <col min="10" max="10" width="10.33203125" style="370" hidden="1" customWidth="1"/>
    <col min="11" max="16384" width="10.33203125" style="370"/>
  </cols>
  <sheetData>
    <row r="1" spans="1:7" ht="11.25" customHeight="1"/>
    <row r="2" spans="1:7" ht="15" customHeight="1"/>
    <row r="3" spans="1:7" ht="15" customHeight="1">
      <c r="C3" s="619" t="str">
        <f>NOTES!D7</f>
        <v>XXXX CO-OPERATIVE CREDIT UNION LTD.</v>
      </c>
      <c r="D3" s="620"/>
      <c r="E3" s="620"/>
      <c r="F3" s="620"/>
      <c r="G3" s="620"/>
    </row>
    <row r="4" spans="1:7" ht="18.75" customHeight="1">
      <c r="C4" s="620"/>
      <c r="D4" s="620"/>
      <c r="E4" s="620"/>
      <c r="F4" s="620"/>
      <c r="G4" s="620"/>
    </row>
    <row r="5" spans="1:7" s="371" customFormat="1" ht="15" customHeight="1">
      <c r="D5" s="289"/>
      <c r="E5" s="538"/>
      <c r="F5" s="538"/>
    </row>
    <row r="6" spans="1:7" ht="15" customHeight="1"/>
    <row r="7" spans="1:7" ht="15" customHeight="1">
      <c r="A7" s="372" t="s">
        <v>1</v>
      </c>
      <c r="E7" s="539">
        <f>NOTES!F3</f>
        <v>44865</v>
      </c>
      <c r="F7" s="539"/>
    </row>
    <row r="8" spans="1:7" ht="15" customHeight="1"/>
    <row r="9" spans="1:7" ht="15" customHeight="1" thickBot="1">
      <c r="A9" s="370" t="s">
        <v>870</v>
      </c>
    </row>
    <row r="10" spans="1:7" s="371" customFormat="1" ht="15" customHeight="1">
      <c r="A10" s="543" t="s">
        <v>647</v>
      </c>
      <c r="B10" s="544"/>
      <c r="C10" s="545"/>
      <c r="D10" s="373" t="s">
        <v>2</v>
      </c>
      <c r="E10" s="374" t="s">
        <v>3</v>
      </c>
      <c r="F10" s="374" t="s">
        <v>4</v>
      </c>
      <c r="G10" s="375" t="s">
        <v>5</v>
      </c>
    </row>
    <row r="11" spans="1:7" ht="15" customHeight="1">
      <c r="A11" s="546" t="s">
        <v>650</v>
      </c>
      <c r="B11" s="547"/>
      <c r="C11" s="548"/>
      <c r="D11" s="376">
        <f>SUM(E11:G11)</f>
        <v>0</v>
      </c>
      <c r="E11" s="377">
        <f>NOTES!E17</f>
        <v>0</v>
      </c>
      <c r="F11" s="377">
        <f>NOTES!F17</f>
        <v>0</v>
      </c>
      <c r="G11" s="378">
        <f>NOTES!G17</f>
        <v>0</v>
      </c>
    </row>
    <row r="12" spans="1:7" ht="15" customHeight="1">
      <c r="A12" s="546" t="s">
        <v>651</v>
      </c>
      <c r="B12" s="547"/>
      <c r="C12" s="548"/>
      <c r="D12" s="376">
        <f t="shared" ref="D12:D13" si="0">SUM(E12:G12)</f>
        <v>0</v>
      </c>
      <c r="E12" s="379">
        <f>NOTES!E18</f>
        <v>0</v>
      </c>
      <c r="F12" s="379">
        <f>NOTES!F18</f>
        <v>0</v>
      </c>
      <c r="G12" s="380">
        <f>NOTES!G18</f>
        <v>0</v>
      </c>
    </row>
    <row r="13" spans="1:7" ht="15" customHeight="1" thickBot="1">
      <c r="A13" s="549" t="s">
        <v>652</v>
      </c>
      <c r="B13" s="550"/>
      <c r="C13" s="551"/>
      <c r="D13" s="381">
        <f t="shared" si="0"/>
        <v>0</v>
      </c>
      <c r="E13" s="382">
        <f>NOTES!E19</f>
        <v>0</v>
      </c>
      <c r="F13" s="382">
        <f>NOTES!F19</f>
        <v>0</v>
      </c>
      <c r="G13" s="383">
        <f>NOTES!G19</f>
        <v>0</v>
      </c>
    </row>
    <row r="14" spans="1:7" ht="15" customHeight="1" thickBot="1">
      <c r="A14" s="532" t="s">
        <v>655</v>
      </c>
      <c r="B14" s="533"/>
      <c r="C14" s="534"/>
      <c r="D14" s="384">
        <f>SUM(E14:G14)</f>
        <v>0</v>
      </c>
      <c r="E14" s="385">
        <f>SUM(E11:E13)</f>
        <v>0</v>
      </c>
      <c r="F14" s="385">
        <f t="shared" ref="F14:G14" si="1">SUM(F11:F13)</f>
        <v>0</v>
      </c>
      <c r="G14" s="386">
        <f t="shared" si="1"/>
        <v>0</v>
      </c>
    </row>
    <row r="15" spans="1:7" ht="15" customHeight="1">
      <c r="A15" s="627" t="s">
        <v>853</v>
      </c>
      <c r="B15" s="628"/>
      <c r="C15" s="629"/>
      <c r="D15" s="387">
        <f>SUM(E15:G15)</f>
        <v>0</v>
      </c>
      <c r="E15" s="388">
        <f>NOTES!E21</f>
        <v>0</v>
      </c>
      <c r="F15" s="388">
        <f>NOTES!F21</f>
        <v>0</v>
      </c>
      <c r="G15" s="490"/>
    </row>
    <row r="16" spans="1:7" ht="15.6">
      <c r="A16" s="630" t="s">
        <v>854</v>
      </c>
      <c r="B16" s="631"/>
      <c r="C16" s="632"/>
      <c r="D16" s="492">
        <f>SUM(E16:G16)</f>
        <v>41202435.869999997</v>
      </c>
      <c r="E16" s="493">
        <f>NOTES!E22</f>
        <v>41193189.869999997</v>
      </c>
      <c r="F16" s="493">
        <f>NOTES!F22</f>
        <v>9246</v>
      </c>
      <c r="G16" s="494"/>
    </row>
    <row r="17" spans="1:8" ht="15" customHeight="1" thickBot="1">
      <c r="A17" s="552" t="s">
        <v>855</v>
      </c>
      <c r="B17" s="553"/>
      <c r="C17" s="554"/>
      <c r="D17" s="389">
        <f>SUM(E17:G17)</f>
        <v>0</v>
      </c>
      <c r="E17" s="382">
        <f>NOTES!E23</f>
        <v>0</v>
      </c>
      <c r="F17" s="382">
        <f>NOTES!F23</f>
        <v>0</v>
      </c>
      <c r="G17" s="491"/>
    </row>
    <row r="18" spans="1:8" ht="15" customHeight="1" thickBot="1">
      <c r="A18" s="390"/>
    </row>
    <row r="19" spans="1:8" ht="15" customHeight="1">
      <c r="A19" s="535" t="s">
        <v>646</v>
      </c>
      <c r="B19" s="536"/>
      <c r="C19" s="537"/>
      <c r="D19" s="373" t="s">
        <v>2</v>
      </c>
      <c r="E19" s="374" t="s">
        <v>3</v>
      </c>
      <c r="F19" s="374" t="s">
        <v>4</v>
      </c>
      <c r="G19" s="375" t="s">
        <v>5</v>
      </c>
    </row>
    <row r="20" spans="1:8" ht="15" customHeight="1">
      <c r="A20" s="507" t="s">
        <v>766</v>
      </c>
      <c r="B20" s="508"/>
      <c r="C20" s="509"/>
      <c r="D20" s="391">
        <f>ROUND(SUM(E20:G20),2)</f>
        <v>0</v>
      </c>
      <c r="E20" s="392">
        <f>NOTES!E27</f>
        <v>0</v>
      </c>
      <c r="F20" s="392">
        <f>NOTES!F27</f>
        <v>0</v>
      </c>
      <c r="G20" s="393">
        <f>NOTES!G27</f>
        <v>0</v>
      </c>
    </row>
    <row r="21" spans="1:8" ht="15" customHeight="1">
      <c r="A21" s="394" t="s">
        <v>767</v>
      </c>
      <c r="B21" s="395"/>
      <c r="C21" s="396"/>
      <c r="D21" s="391">
        <f t="shared" ref="D21:D26" si="2">ROUND(SUM(E21:G21),2)</f>
        <v>0</v>
      </c>
      <c r="E21" s="397">
        <f>NOTES!E28</f>
        <v>0</v>
      </c>
      <c r="F21" s="397">
        <f>NOTES!F28</f>
        <v>0</v>
      </c>
      <c r="G21" s="398">
        <f>NOTES!G28</f>
        <v>0</v>
      </c>
    </row>
    <row r="22" spans="1:8" ht="15" customHeight="1" thickBot="1">
      <c r="A22" s="399" t="s">
        <v>768</v>
      </c>
      <c r="B22" s="400"/>
      <c r="C22" s="401"/>
      <c r="D22" s="402">
        <f t="shared" si="2"/>
        <v>0</v>
      </c>
      <c r="E22" s="403">
        <f>NOTES!E29</f>
        <v>0</v>
      </c>
      <c r="F22" s="403">
        <f>NOTES!F29</f>
        <v>0</v>
      </c>
      <c r="G22" s="404">
        <f>NOTES!G29</f>
        <v>0</v>
      </c>
    </row>
    <row r="23" spans="1:8" ht="15" customHeight="1" thickTop="1" thickBot="1">
      <c r="A23" s="529" t="s">
        <v>771</v>
      </c>
      <c r="B23" s="530"/>
      <c r="C23" s="531"/>
      <c r="D23" s="405">
        <f>SUM(D20:D22)</f>
        <v>0</v>
      </c>
      <c r="E23" s="406">
        <f>SUM(E20:E22)</f>
        <v>0</v>
      </c>
      <c r="F23" s="406">
        <f t="shared" ref="F23:G23" si="3">SUM(F20:F22)</f>
        <v>0</v>
      </c>
      <c r="G23" s="407">
        <f t="shared" si="3"/>
        <v>0</v>
      </c>
    </row>
    <row r="24" spans="1:8" ht="14.25" customHeight="1">
      <c r="A24" s="504" t="s">
        <v>772</v>
      </c>
      <c r="B24" s="505"/>
      <c r="C24" s="506"/>
      <c r="D24" s="408">
        <f t="shared" si="2"/>
        <v>0</v>
      </c>
      <c r="E24" s="409">
        <f>NOTES!E30</f>
        <v>0</v>
      </c>
      <c r="F24" s="409">
        <f>NOTES!F30</f>
        <v>0</v>
      </c>
      <c r="G24" s="410">
        <f>NOTES!G30</f>
        <v>0</v>
      </c>
    </row>
    <row r="25" spans="1:8" ht="14.25" customHeight="1">
      <c r="A25" s="507" t="s">
        <v>770</v>
      </c>
      <c r="B25" s="508"/>
      <c r="C25" s="509"/>
      <c r="D25" s="391">
        <f t="shared" si="2"/>
        <v>0</v>
      </c>
      <c r="E25" s="409">
        <f>NOTES!E31</f>
        <v>0</v>
      </c>
      <c r="F25" s="409">
        <f>NOTES!F31</f>
        <v>0</v>
      </c>
      <c r="G25" s="410">
        <f>NOTES!G31</f>
        <v>0</v>
      </c>
    </row>
    <row r="26" spans="1:8" ht="14.25" customHeight="1" thickBot="1">
      <c r="A26" s="624" t="s">
        <v>769</v>
      </c>
      <c r="B26" s="625"/>
      <c r="C26" s="626"/>
      <c r="D26" s="402">
        <f t="shared" si="2"/>
        <v>0</v>
      </c>
      <c r="E26" s="411">
        <f>NOTES!E32</f>
        <v>0</v>
      </c>
      <c r="F26" s="411">
        <f>NOTES!F32</f>
        <v>0</v>
      </c>
      <c r="G26" s="412">
        <f>NOTES!G32</f>
        <v>0</v>
      </c>
    </row>
    <row r="27" spans="1:8" ht="14.25" customHeight="1" thickTop="1" thickBot="1">
      <c r="A27" s="529" t="s">
        <v>773</v>
      </c>
      <c r="B27" s="530"/>
      <c r="C27" s="531"/>
      <c r="D27" s="405">
        <f>SUM(D24:D26)</f>
        <v>0</v>
      </c>
      <c r="E27" s="406">
        <f t="shared" ref="E27" si="4">SUM(E24:E26)</f>
        <v>0</v>
      </c>
      <c r="F27" s="406">
        <f t="shared" ref="F27" si="5">SUM(F24:F26)</f>
        <v>0</v>
      </c>
      <c r="G27" s="407">
        <f t="shared" ref="G27" si="6">SUM(G24:G26)</f>
        <v>0</v>
      </c>
    </row>
    <row r="28" spans="1:8" ht="14.25" customHeight="1">
      <c r="A28" s="514" t="s">
        <v>485</v>
      </c>
      <c r="B28" s="515"/>
      <c r="C28" s="516"/>
      <c r="D28" s="413">
        <f t="shared" ref="D28:D29" si="7">ROUND(SUM(E28:G28),2)</f>
        <v>0</v>
      </c>
      <c r="E28" s="414">
        <f>NOTES!E34</f>
        <v>0</v>
      </c>
      <c r="F28" s="414">
        <f>NOTES!F34</f>
        <v>0</v>
      </c>
      <c r="G28" s="415">
        <f>NOTES!G34</f>
        <v>0</v>
      </c>
    </row>
    <row r="29" spans="1:8" ht="14.25" customHeight="1">
      <c r="A29" s="514" t="s">
        <v>765</v>
      </c>
      <c r="B29" s="515"/>
      <c r="C29" s="516"/>
      <c r="D29" s="391">
        <f t="shared" si="7"/>
        <v>0</v>
      </c>
      <c r="E29" s="409">
        <f>NOTES!E35</f>
        <v>0</v>
      </c>
      <c r="F29" s="409">
        <f>NOTES!F35</f>
        <v>0</v>
      </c>
      <c r="G29" s="410">
        <f>NOTES!G35</f>
        <v>0</v>
      </c>
      <c r="H29" s="416"/>
    </row>
    <row r="30" spans="1:8" ht="15" customHeight="1">
      <c r="A30" s="507" t="s">
        <v>486</v>
      </c>
      <c r="B30" s="508"/>
      <c r="C30" s="509"/>
      <c r="D30" s="417">
        <f>SUM(E30:G30)</f>
        <v>0</v>
      </c>
      <c r="E30" s="379">
        <f>NOTES!E36</f>
        <v>0</v>
      </c>
      <c r="F30" s="379">
        <f>NOTES!F36</f>
        <v>0</v>
      </c>
      <c r="G30" s="380">
        <f>NOTES!G36</f>
        <v>0</v>
      </c>
    </row>
    <row r="31" spans="1:8" ht="15" customHeight="1">
      <c r="A31" s="507" t="s">
        <v>653</v>
      </c>
      <c r="B31" s="508"/>
      <c r="C31" s="509"/>
      <c r="D31" s="391">
        <f>ROUND(SUM(E31:G31),2)</f>
        <v>0</v>
      </c>
      <c r="E31" s="409">
        <f>NOTES!E37</f>
        <v>0</v>
      </c>
      <c r="F31" s="409">
        <f>NOTES!F37</f>
        <v>0</v>
      </c>
      <c r="G31" s="410">
        <f>NOTES!G37</f>
        <v>0</v>
      </c>
      <c r="H31" s="418"/>
    </row>
    <row r="32" spans="1:8" ht="15" customHeight="1">
      <c r="A32" s="394" t="s">
        <v>856</v>
      </c>
      <c r="B32" s="395"/>
      <c r="C32" s="396"/>
      <c r="D32" s="391">
        <f>ROUND(SUM(E32:G32),2)</f>
        <v>0</v>
      </c>
      <c r="E32" s="379">
        <f>NOTES!E38</f>
        <v>0</v>
      </c>
      <c r="F32" s="379">
        <f>NOTES!F38</f>
        <v>0</v>
      </c>
      <c r="G32" s="380">
        <f>NOTES!G38</f>
        <v>0</v>
      </c>
    </row>
    <row r="33" spans="1:9" ht="15" customHeight="1">
      <c r="A33" s="507" t="s">
        <v>654</v>
      </c>
      <c r="B33" s="508"/>
      <c r="C33" s="509"/>
      <c r="D33" s="402">
        <f>ROUND(SUM(E33:G33),2)</f>
        <v>0</v>
      </c>
      <c r="E33" s="411">
        <f>NOTES!E39</f>
        <v>0</v>
      </c>
      <c r="F33" s="411">
        <f>NOTES!F39</f>
        <v>0</v>
      </c>
      <c r="G33" s="412">
        <f>NOTES!G39</f>
        <v>0</v>
      </c>
    </row>
    <row r="34" spans="1:9" s="488" customFormat="1" ht="15" customHeight="1" thickBot="1">
      <c r="A34" s="507" t="s">
        <v>867</v>
      </c>
      <c r="B34" s="508"/>
      <c r="C34" s="509"/>
      <c r="D34" s="402">
        <f>SUM(E34:G34)</f>
        <v>162600817.66999999</v>
      </c>
      <c r="E34" s="402">
        <f>NOTES!E33</f>
        <v>41193189.869999997</v>
      </c>
      <c r="F34" s="402">
        <f>NOTES!F33</f>
        <v>9246</v>
      </c>
      <c r="G34" s="489">
        <f>NOTES!G33</f>
        <v>121398381.8</v>
      </c>
    </row>
    <row r="35" spans="1:9" ht="15" customHeight="1">
      <c r="A35" s="540" t="s">
        <v>806</v>
      </c>
      <c r="B35" s="541"/>
      <c r="C35" s="542"/>
      <c r="D35" s="419" t="str">
        <f>IF(ISERROR(D33/D31),"",(D33/D31))</f>
        <v/>
      </c>
      <c r="E35" s="419" t="str">
        <f t="shared" ref="E35:G35" si="8">IF(ISERROR(E33/E31),"",(E33/E31))</f>
        <v/>
      </c>
      <c r="F35" s="419" t="str">
        <f t="shared" si="8"/>
        <v/>
      </c>
      <c r="G35" s="495" t="str">
        <f t="shared" si="8"/>
        <v/>
      </c>
    </row>
    <row r="36" spans="1:9" ht="15" customHeight="1" thickBot="1">
      <c r="A36" s="523" t="s">
        <v>7</v>
      </c>
      <c r="B36" s="524"/>
      <c r="C36" s="525"/>
      <c r="D36" s="526" t="s">
        <v>868</v>
      </c>
      <c r="E36" s="527"/>
      <c r="F36" s="527"/>
      <c r="G36" s="528"/>
    </row>
    <row r="37" spans="1:9" ht="15" customHeight="1"/>
    <row r="38" spans="1:9" ht="15" customHeight="1">
      <c r="A38" s="421" t="s">
        <v>8</v>
      </c>
      <c r="C38" s="496">
        <f>E7</f>
        <v>44865</v>
      </c>
      <c r="D38" s="496"/>
      <c r="I38" s="420"/>
    </row>
    <row r="39" spans="1:9" ht="15" customHeight="1">
      <c r="A39" s="422"/>
      <c r="D39" s="423" t="str">
        <f>IF(B54=F54,"",B54-F54)</f>
        <v/>
      </c>
      <c r="E39" s="372" t="str">
        <f>IF(B54=F54,"","difference")</f>
        <v/>
      </c>
      <c r="I39" s="420" t="str">
        <f>IF(F41=B82,"",F41-B82)</f>
        <v/>
      </c>
    </row>
    <row r="40" spans="1:9" ht="15" customHeight="1">
      <c r="A40" s="497" t="s">
        <v>9</v>
      </c>
      <c r="B40" s="498"/>
      <c r="C40" s="424"/>
      <c r="D40" s="497" t="s">
        <v>10</v>
      </c>
      <c r="E40" s="499"/>
      <c r="F40" s="499"/>
      <c r="G40" s="498"/>
    </row>
    <row r="41" spans="1:9" ht="15" customHeight="1">
      <c r="A41" s="425" t="s">
        <v>11</v>
      </c>
      <c r="B41" s="426">
        <f>NOTES!C45</f>
        <v>0</v>
      </c>
      <c r="C41" s="427"/>
      <c r="D41" s="500" t="s">
        <v>12</v>
      </c>
      <c r="E41" s="501"/>
      <c r="F41" s="502">
        <f>NOTES!G45</f>
        <v>0</v>
      </c>
      <c r="G41" s="503"/>
    </row>
    <row r="42" spans="1:9" ht="15" customHeight="1">
      <c r="A42" s="521"/>
      <c r="B42" s="522"/>
      <c r="C42" s="427"/>
      <c r="D42" s="560"/>
      <c r="E42" s="561"/>
      <c r="F42" s="561"/>
      <c r="G42" s="562"/>
    </row>
    <row r="43" spans="1:9" ht="15" customHeight="1">
      <c r="A43" s="428" t="s">
        <v>13</v>
      </c>
      <c r="B43" s="426">
        <f>NOTES!C47</f>
        <v>0</v>
      </c>
      <c r="C43" s="427"/>
      <c r="D43" s="517" t="s">
        <v>14</v>
      </c>
      <c r="E43" s="518"/>
      <c r="F43" s="519">
        <f>NOTES!G47</f>
        <v>0</v>
      </c>
      <c r="G43" s="520"/>
    </row>
    <row r="44" spans="1:9" ht="15" customHeight="1">
      <c r="A44" s="428" t="s">
        <v>15</v>
      </c>
      <c r="B44" s="426">
        <f>NOTES!C48</f>
        <v>0</v>
      </c>
      <c r="C44" s="427"/>
      <c r="D44" s="517" t="s">
        <v>16</v>
      </c>
      <c r="E44" s="518"/>
      <c r="F44" s="519">
        <f>NOTES!G48</f>
        <v>0</v>
      </c>
      <c r="G44" s="520"/>
    </row>
    <row r="45" spans="1:9" ht="15" customHeight="1">
      <c r="A45" s="428" t="s">
        <v>17</v>
      </c>
      <c r="B45" s="426">
        <f>NOTES!C49</f>
        <v>0</v>
      </c>
      <c r="C45" s="427"/>
      <c r="D45" s="517" t="s">
        <v>18</v>
      </c>
      <c r="E45" s="518"/>
      <c r="F45" s="519">
        <f>NOTES!G49</f>
        <v>0</v>
      </c>
      <c r="G45" s="520"/>
    </row>
    <row r="46" spans="1:9" ht="15" customHeight="1">
      <c r="A46" s="428" t="s">
        <v>19</v>
      </c>
      <c r="B46" s="426">
        <f>NOTES!C50</f>
        <v>0</v>
      </c>
      <c r="C46" s="427"/>
      <c r="D46" s="517" t="s">
        <v>20</v>
      </c>
      <c r="E46" s="518"/>
      <c r="F46" s="519">
        <f>NOTES!G50</f>
        <v>0</v>
      </c>
      <c r="G46" s="520"/>
    </row>
    <row r="47" spans="1:9" ht="15" customHeight="1">
      <c r="A47" s="428" t="s">
        <v>21</v>
      </c>
      <c r="B47" s="426">
        <f>NOTES!C51</f>
        <v>0</v>
      </c>
      <c r="C47" s="427"/>
      <c r="D47" s="517" t="s">
        <v>22</v>
      </c>
      <c r="E47" s="518"/>
      <c r="F47" s="519">
        <f>NOTES!G51</f>
        <v>0</v>
      </c>
      <c r="G47" s="520"/>
    </row>
    <row r="48" spans="1:9" ht="15" customHeight="1">
      <c r="A48" s="428" t="s">
        <v>23</v>
      </c>
      <c r="B48" s="426">
        <f>NOTES!C52</f>
        <v>0</v>
      </c>
      <c r="C48" s="427"/>
      <c r="D48" s="517" t="s">
        <v>24</v>
      </c>
      <c r="E48" s="518"/>
      <c r="F48" s="519">
        <f>NOTES!G52</f>
        <v>0</v>
      </c>
      <c r="G48" s="520"/>
    </row>
    <row r="49" spans="1:8" ht="15" customHeight="1">
      <c r="A49" s="428" t="s">
        <v>25</v>
      </c>
      <c r="B49" s="426">
        <f>NOTES!C53</f>
        <v>0</v>
      </c>
      <c r="C49" s="427"/>
      <c r="D49" s="517" t="s">
        <v>26</v>
      </c>
      <c r="E49" s="518"/>
      <c r="F49" s="519">
        <f>NOTES!G53</f>
        <v>0</v>
      </c>
      <c r="G49" s="520"/>
    </row>
    <row r="50" spans="1:8" ht="15" customHeight="1">
      <c r="A50" s="428" t="s">
        <v>27</v>
      </c>
      <c r="B50" s="426">
        <f>NOTES!C54</f>
        <v>0</v>
      </c>
      <c r="C50" s="427"/>
      <c r="D50" s="517" t="s">
        <v>28</v>
      </c>
      <c r="E50" s="518"/>
      <c r="F50" s="519">
        <f>NOTES!G54</f>
        <v>0</v>
      </c>
      <c r="G50" s="520"/>
    </row>
    <row r="51" spans="1:8" ht="15" customHeight="1">
      <c r="A51" s="429" t="s">
        <v>799</v>
      </c>
      <c r="B51" s="430">
        <f>NOTES!C56</f>
        <v>0</v>
      </c>
      <c r="C51" s="427"/>
      <c r="D51" s="510" t="s">
        <v>800</v>
      </c>
      <c r="E51" s="511"/>
      <c r="F51" s="512">
        <f>NOTES!G56</f>
        <v>0</v>
      </c>
      <c r="G51" s="513"/>
    </row>
    <row r="52" spans="1:8" ht="15" customHeight="1">
      <c r="A52" s="425" t="s">
        <v>29</v>
      </c>
      <c r="B52" s="431">
        <f>C64</f>
        <v>0</v>
      </c>
      <c r="C52" s="427"/>
      <c r="D52" s="500" t="s">
        <v>30</v>
      </c>
      <c r="E52" s="501"/>
      <c r="F52" s="555">
        <f>C75</f>
        <v>0</v>
      </c>
      <c r="G52" s="556"/>
    </row>
    <row r="53" spans="1:8" ht="15" customHeight="1">
      <c r="A53" s="557" t="s">
        <v>31</v>
      </c>
      <c r="B53" s="558"/>
      <c r="C53" s="427"/>
      <c r="D53" s="557" t="s">
        <v>31</v>
      </c>
      <c r="E53" s="559"/>
      <c r="F53" s="559"/>
      <c r="G53" s="558"/>
    </row>
    <row r="54" spans="1:8" s="371" customFormat="1" ht="15" customHeight="1">
      <c r="A54" s="432" t="s">
        <v>32</v>
      </c>
      <c r="B54" s="433">
        <f>ROUND(SUM(B41:B53),2)</f>
        <v>0</v>
      </c>
      <c r="C54" s="434" t="str">
        <f>IF(B54=F54,"ok","error!")</f>
        <v>ok</v>
      </c>
      <c r="D54" s="566" t="s">
        <v>32</v>
      </c>
      <c r="E54" s="567"/>
      <c r="F54" s="568">
        <f t="shared" ref="F54:G54" si="9">ROUND(SUM(F41:F53),2)</f>
        <v>0</v>
      </c>
      <c r="G54" s="569">
        <f t="shared" si="9"/>
        <v>0</v>
      </c>
      <c r="H54" s="435"/>
    </row>
    <row r="55" spans="1:8" ht="15" customHeight="1">
      <c r="A55" s="427"/>
      <c r="B55" s="436"/>
      <c r="C55" s="437"/>
      <c r="D55" s="427"/>
      <c r="E55" s="427"/>
      <c r="F55" s="436"/>
      <c r="G55" s="436"/>
      <c r="H55" s="418"/>
    </row>
    <row r="56" spans="1:8" ht="15" customHeight="1">
      <c r="A56" s="438" t="s">
        <v>418</v>
      </c>
      <c r="F56" s="439">
        <f>E7</f>
        <v>44865</v>
      </c>
      <c r="G56" s="439"/>
    </row>
    <row r="57" spans="1:8" ht="15" customHeight="1">
      <c r="A57" s="422"/>
    </row>
    <row r="58" spans="1:8" ht="15" customHeight="1">
      <c r="A58" s="570" t="s">
        <v>33</v>
      </c>
      <c r="B58" s="571"/>
      <c r="C58" s="572">
        <f>E7</f>
        <v>44865</v>
      </c>
      <c r="D58" s="573"/>
      <c r="E58" s="573" t="s">
        <v>34</v>
      </c>
      <c r="F58" s="573"/>
    </row>
    <row r="59" spans="1:8" ht="15" customHeight="1">
      <c r="A59" s="574" t="s">
        <v>35</v>
      </c>
      <c r="B59" s="575"/>
      <c r="C59" s="576">
        <f>NOTES!E74</f>
        <v>0</v>
      </c>
      <c r="D59" s="576"/>
      <c r="E59" s="576">
        <f>NOTES!G74</f>
        <v>0</v>
      </c>
      <c r="F59" s="576"/>
    </row>
    <row r="60" spans="1:8" ht="15" customHeight="1">
      <c r="A60" s="563" t="s">
        <v>36</v>
      </c>
      <c r="B60" s="564"/>
      <c r="C60" s="565">
        <f>NOTES!E81</f>
        <v>0</v>
      </c>
      <c r="D60" s="565"/>
      <c r="E60" s="565">
        <f>NOTES!G81</f>
        <v>0</v>
      </c>
      <c r="F60" s="565"/>
    </row>
    <row r="61" spans="1:8" ht="15" customHeight="1">
      <c r="A61" s="563" t="s">
        <v>37</v>
      </c>
      <c r="B61" s="564"/>
      <c r="C61" s="565">
        <f>NOTES!E88</f>
        <v>0</v>
      </c>
      <c r="D61" s="565"/>
      <c r="E61" s="565">
        <f>NOTES!G88</f>
        <v>0</v>
      </c>
      <c r="F61" s="565"/>
    </row>
    <row r="62" spans="1:8" ht="15" customHeight="1">
      <c r="A62" s="563" t="s">
        <v>38</v>
      </c>
      <c r="B62" s="564"/>
      <c r="C62" s="565">
        <f>NOTES!E101</f>
        <v>0</v>
      </c>
      <c r="D62" s="565"/>
      <c r="E62" s="565">
        <f>NOTES!G101</f>
        <v>0</v>
      </c>
      <c r="F62" s="565"/>
    </row>
    <row r="63" spans="1:8" ht="15" customHeight="1">
      <c r="A63" s="563"/>
      <c r="B63" s="564"/>
      <c r="C63" s="583"/>
      <c r="D63" s="584"/>
      <c r="E63" s="583"/>
      <c r="F63" s="584"/>
    </row>
    <row r="64" spans="1:8" s="372" customFormat="1" ht="15" customHeight="1">
      <c r="A64" s="577" t="s">
        <v>39</v>
      </c>
      <c r="B64" s="578"/>
      <c r="C64" s="579">
        <f>SUM(C59:D63)</f>
        <v>0</v>
      </c>
      <c r="D64" s="580"/>
      <c r="E64" s="581">
        <f>SUM(E59:F63)</f>
        <v>0</v>
      </c>
      <c r="F64" s="581"/>
    </row>
    <row r="65" spans="1:7" s="372" customFormat="1" ht="15" customHeight="1">
      <c r="A65" s="440"/>
      <c r="B65" s="441"/>
      <c r="C65" s="582"/>
      <c r="D65" s="582"/>
      <c r="E65" s="582"/>
      <c r="F65" s="582"/>
    </row>
    <row r="66" spans="1:7" ht="15" customHeight="1">
      <c r="A66" s="570" t="s">
        <v>40</v>
      </c>
      <c r="B66" s="571"/>
      <c r="C66" s="572">
        <f>C58</f>
        <v>44865</v>
      </c>
      <c r="D66" s="573"/>
      <c r="E66" s="573" t="s">
        <v>34</v>
      </c>
      <c r="F66" s="573"/>
    </row>
    <row r="67" spans="1:7" ht="15" customHeight="1">
      <c r="A67" s="574" t="s">
        <v>41</v>
      </c>
      <c r="B67" s="575"/>
      <c r="C67" s="576">
        <f>NOTES!E109</f>
        <v>0</v>
      </c>
      <c r="D67" s="576"/>
      <c r="E67" s="576">
        <f>NOTES!G109</f>
        <v>0</v>
      </c>
      <c r="F67" s="576"/>
    </row>
    <row r="68" spans="1:7" ht="15" customHeight="1">
      <c r="A68" s="563" t="s">
        <v>42</v>
      </c>
      <c r="B68" s="564"/>
      <c r="C68" s="565">
        <f>NOTES!E122</f>
        <v>0</v>
      </c>
      <c r="D68" s="565"/>
      <c r="E68" s="565">
        <f>NOTES!G122</f>
        <v>0</v>
      </c>
      <c r="F68" s="565"/>
    </row>
    <row r="69" spans="1:7" ht="15" customHeight="1">
      <c r="A69" s="563" t="s">
        <v>43</v>
      </c>
      <c r="B69" s="564"/>
      <c r="C69" s="565">
        <f>NOTES!E129</f>
        <v>0</v>
      </c>
      <c r="D69" s="565"/>
      <c r="E69" s="565">
        <f>NOTES!G129</f>
        <v>0</v>
      </c>
      <c r="F69" s="565"/>
    </row>
    <row r="70" spans="1:7" ht="15" customHeight="1">
      <c r="A70" s="563" t="s">
        <v>44</v>
      </c>
      <c r="B70" s="564"/>
      <c r="C70" s="565">
        <f>NOTES!E143</f>
        <v>0</v>
      </c>
      <c r="D70" s="565"/>
      <c r="E70" s="565">
        <f>NOTES!G143</f>
        <v>0</v>
      </c>
      <c r="F70" s="565"/>
    </row>
    <row r="71" spans="1:7" ht="15" customHeight="1">
      <c r="A71" s="563" t="s">
        <v>45</v>
      </c>
      <c r="B71" s="564"/>
      <c r="C71" s="565">
        <f>NOTES!E152</f>
        <v>0</v>
      </c>
      <c r="D71" s="565"/>
      <c r="E71" s="565">
        <f>NOTES!G152</f>
        <v>0</v>
      </c>
      <c r="F71" s="565"/>
    </row>
    <row r="72" spans="1:7" ht="15" customHeight="1">
      <c r="A72" s="563" t="s">
        <v>46</v>
      </c>
      <c r="B72" s="564"/>
      <c r="C72" s="565">
        <f>NOTES!E161</f>
        <v>0</v>
      </c>
      <c r="D72" s="565"/>
      <c r="E72" s="565">
        <f>NOTES!G161</f>
        <v>0</v>
      </c>
      <c r="F72" s="565"/>
    </row>
    <row r="73" spans="1:7" ht="15" customHeight="1">
      <c r="A73" s="563" t="s">
        <v>47</v>
      </c>
      <c r="B73" s="564"/>
      <c r="C73" s="565">
        <f>NOTES!E166</f>
        <v>0</v>
      </c>
      <c r="D73" s="565"/>
      <c r="E73" s="565">
        <f>NOTES!G166</f>
        <v>0</v>
      </c>
      <c r="F73" s="565"/>
    </row>
    <row r="74" spans="1:7" ht="15" customHeight="1">
      <c r="A74" s="585"/>
      <c r="B74" s="586"/>
      <c r="C74" s="585"/>
      <c r="D74" s="587"/>
      <c r="E74" s="586"/>
      <c r="F74" s="587"/>
    </row>
    <row r="75" spans="1:7" s="372" customFormat="1" ht="15" customHeight="1">
      <c r="A75" s="593" t="s">
        <v>48</v>
      </c>
      <c r="B75" s="594"/>
      <c r="C75" s="581">
        <f>SUM(C67:D73)</f>
        <v>0</v>
      </c>
      <c r="D75" s="581"/>
      <c r="E75" s="581">
        <f>SUM(E67:F73)</f>
        <v>0</v>
      </c>
      <c r="F75" s="581"/>
    </row>
    <row r="76" spans="1:7" s="372" customFormat="1" ht="15" customHeight="1">
      <c r="A76" s="582"/>
      <c r="B76" s="582"/>
      <c r="C76" s="582"/>
      <c r="D76" s="582"/>
      <c r="E76" s="582"/>
      <c r="F76" s="582"/>
    </row>
    <row r="77" spans="1:7" s="372" customFormat="1" ht="15" customHeight="1">
      <c r="A77" s="577" t="s">
        <v>49</v>
      </c>
      <c r="B77" s="578"/>
      <c r="C77" s="581">
        <f>C64-C75</f>
        <v>0</v>
      </c>
      <c r="D77" s="581"/>
      <c r="E77" s="581">
        <f>E64-E75</f>
        <v>0</v>
      </c>
      <c r="F77" s="581"/>
    </row>
    <row r="78" spans="1:7" s="372" customFormat="1" ht="15" customHeight="1">
      <c r="A78" s="440"/>
      <c r="B78" s="440"/>
      <c r="C78" s="440"/>
      <c r="D78" s="440"/>
      <c r="E78" s="440"/>
    </row>
    <row r="79" spans="1:7" ht="15" customHeight="1">
      <c r="A79" s="438" t="s">
        <v>417</v>
      </c>
      <c r="E79" s="442">
        <f>E7</f>
        <v>44865</v>
      </c>
      <c r="G79" s="439"/>
    </row>
    <row r="80" spans="1:7" ht="15" customHeight="1">
      <c r="A80" s="422"/>
    </row>
    <row r="81" spans="1:8" ht="15" customHeight="1">
      <c r="A81" s="588" t="s">
        <v>50</v>
      </c>
      <c r="B81" s="589"/>
      <c r="C81" s="427"/>
      <c r="D81" s="588" t="s">
        <v>51</v>
      </c>
      <c r="E81" s="590"/>
      <c r="F81" s="590"/>
      <c r="G81" s="589"/>
    </row>
    <row r="82" spans="1:8" ht="15" customHeight="1">
      <c r="A82" s="425" t="s">
        <v>52</v>
      </c>
      <c r="B82" s="426">
        <f>NOTES!G178</f>
        <v>0</v>
      </c>
      <c r="C82" s="427"/>
      <c r="D82" s="500" t="s">
        <v>53</v>
      </c>
      <c r="E82" s="501"/>
      <c r="F82" s="591">
        <f>NOTES!G273</f>
        <v>0</v>
      </c>
      <c r="G82" s="592"/>
    </row>
    <row r="83" spans="1:8" ht="15" customHeight="1">
      <c r="A83" s="428" t="s">
        <v>54</v>
      </c>
      <c r="B83" s="443">
        <f>NOTES!G185</f>
        <v>0</v>
      </c>
      <c r="C83" s="427"/>
      <c r="D83" s="517" t="s">
        <v>55</v>
      </c>
      <c r="E83" s="518"/>
      <c r="F83" s="613">
        <f>NOTES!G285</f>
        <v>0</v>
      </c>
      <c r="G83" s="614"/>
    </row>
    <row r="84" spans="1:8" ht="15" customHeight="1">
      <c r="A84" s="428" t="s">
        <v>56</v>
      </c>
      <c r="B84" s="443">
        <f>NOTES!G210</f>
        <v>0</v>
      </c>
      <c r="C84" s="427"/>
      <c r="D84" s="517" t="s">
        <v>57</v>
      </c>
      <c r="E84" s="518"/>
      <c r="F84" s="613">
        <f>NOTES!G292</f>
        <v>0</v>
      </c>
      <c r="G84" s="614"/>
    </row>
    <row r="85" spans="1:8" ht="15" customHeight="1">
      <c r="A85" s="428" t="s">
        <v>58</v>
      </c>
      <c r="B85" s="443">
        <f>NOTES!G219</f>
        <v>0</v>
      </c>
      <c r="C85" s="427"/>
      <c r="D85" s="517" t="s">
        <v>59</v>
      </c>
      <c r="E85" s="518"/>
      <c r="F85" s="613">
        <f>NOTES!G298</f>
        <v>0</v>
      </c>
      <c r="G85" s="614"/>
    </row>
    <row r="86" spans="1:8" ht="15" customHeight="1">
      <c r="A86" s="428" t="s">
        <v>60</v>
      </c>
      <c r="B86" s="443">
        <f>NOTES!G233</f>
        <v>0</v>
      </c>
      <c r="C86" s="427"/>
      <c r="D86" s="517" t="s">
        <v>857</v>
      </c>
      <c r="E86" s="518"/>
      <c r="F86" s="613">
        <f>NOTES!G305</f>
        <v>0</v>
      </c>
      <c r="G86" s="614"/>
    </row>
    <row r="87" spans="1:8" ht="15" customHeight="1">
      <c r="A87" s="428" t="s">
        <v>61</v>
      </c>
      <c r="B87" s="443">
        <f>-NOTES!G234</f>
        <v>0</v>
      </c>
      <c r="C87" s="444" t="s">
        <v>62</v>
      </c>
      <c r="D87" s="639"/>
      <c r="E87" s="640"/>
      <c r="F87" s="517"/>
      <c r="G87" s="518"/>
    </row>
    <row r="88" spans="1:8" ht="15" customHeight="1">
      <c r="A88" s="428" t="s">
        <v>63</v>
      </c>
      <c r="B88" s="443">
        <f>NOTES!G246</f>
        <v>0</v>
      </c>
      <c r="C88" s="427"/>
      <c r="D88" s="517"/>
      <c r="E88" s="518"/>
      <c r="F88" s="517"/>
      <c r="G88" s="518"/>
    </row>
    <row r="89" spans="1:8" ht="15" customHeight="1">
      <c r="A89" s="428" t="s">
        <v>64</v>
      </c>
      <c r="B89" s="443">
        <f>NOTES!G257</f>
        <v>0</v>
      </c>
      <c r="C89" s="427"/>
      <c r="D89" s="517"/>
      <c r="E89" s="518"/>
      <c r="F89" s="517"/>
      <c r="G89" s="518"/>
    </row>
    <row r="90" spans="1:8" ht="15" customHeight="1">
      <c r="A90" s="428" t="s">
        <v>65</v>
      </c>
      <c r="B90" s="443">
        <f>-NOTES!G258</f>
        <v>0</v>
      </c>
      <c r="C90" s="444" t="s">
        <v>62</v>
      </c>
      <c r="D90" s="517" t="s">
        <v>66</v>
      </c>
      <c r="E90" s="518"/>
      <c r="F90" s="613">
        <f>E77</f>
        <v>0</v>
      </c>
      <c r="G90" s="614"/>
      <c r="H90" s="370" t="str">
        <f>IF(E77=F90,"","Surplus Difference  "&amp;TEXT(F90-E77,"#,##0.00")&amp;" difference; please check 39 Surplus Year To Date in line 70 and 84!")</f>
        <v/>
      </c>
    </row>
    <row r="91" spans="1:8" ht="15" customHeight="1">
      <c r="A91" s="429"/>
      <c r="B91" s="430"/>
      <c r="C91" s="427"/>
      <c r="D91" s="557" t="s">
        <v>67</v>
      </c>
      <c r="E91" s="559"/>
      <c r="F91" s="559"/>
      <c r="G91" s="558"/>
    </row>
    <row r="92" spans="1:8" s="372" customFormat="1" ht="15" customHeight="1">
      <c r="A92" s="445" t="s">
        <v>68</v>
      </c>
      <c r="B92" s="446">
        <f>ROUND(SUM(B82:B91),2)</f>
        <v>0</v>
      </c>
      <c r="C92" s="447" t="str">
        <f>IF(B92=F92,"ok","error!")</f>
        <v>ok</v>
      </c>
      <c r="D92" s="577" t="s">
        <v>69</v>
      </c>
      <c r="E92" s="578"/>
      <c r="F92" s="615">
        <f>ROUND(SUM(F82:F91),2)</f>
        <v>0</v>
      </c>
      <c r="G92" s="616">
        <f>ROUND(SUM(G82:G91),2)</f>
        <v>0</v>
      </c>
    </row>
    <row r="93" spans="1:8" s="372" customFormat="1" ht="15" customHeight="1">
      <c r="A93" s="440"/>
      <c r="B93" s="448"/>
      <c r="C93" s="437"/>
      <c r="D93" s="440"/>
      <c r="E93" s="440"/>
      <c r="F93" s="448"/>
      <c r="G93" s="448"/>
    </row>
    <row r="94" spans="1:8" s="372" customFormat="1" ht="15" customHeight="1">
      <c r="A94" s="440" t="s">
        <v>70</v>
      </c>
      <c r="B94" s="440"/>
      <c r="C94" s="437"/>
      <c r="D94" s="449" t="str">
        <f>IF(B92=F92,"",B92-F92)</f>
        <v/>
      </c>
      <c r="E94" s="449" t="str">
        <f>IF(B92=F92,"","difference")</f>
        <v/>
      </c>
      <c r="F94" s="440"/>
      <c r="G94" s="440"/>
    </row>
    <row r="95" spans="1:8" ht="15" customHeight="1">
      <c r="A95" s="427"/>
      <c r="B95" s="427"/>
      <c r="C95" s="437"/>
      <c r="D95" s="427"/>
      <c r="E95" s="427"/>
      <c r="F95" s="427"/>
      <c r="G95" s="427"/>
    </row>
    <row r="96" spans="1:8" ht="15" customHeight="1">
      <c r="A96" s="450" t="s">
        <v>71</v>
      </c>
      <c r="B96" s="451" t="str">
        <f>IF(ISERROR(SUM(B82:B84)/B92),"",(SUM(B82:B84)/B92))</f>
        <v/>
      </c>
      <c r="C96" s="452" t="str">
        <f>B96</f>
        <v/>
      </c>
      <c r="D96" s="608" t="s">
        <v>72</v>
      </c>
      <c r="E96" s="608"/>
      <c r="F96" s="608"/>
      <c r="G96" s="609"/>
    </row>
    <row r="97" spans="1:7" ht="15" customHeight="1">
      <c r="A97" s="450" t="s">
        <v>73</v>
      </c>
      <c r="B97" s="451" t="str">
        <f>(IF(ISERROR(SUM(E77)/B92),"",(SUM(E77)/B92)))</f>
        <v/>
      </c>
      <c r="C97" s="452" t="str">
        <f>B97</f>
        <v/>
      </c>
      <c r="D97" s="608" t="s">
        <v>74</v>
      </c>
      <c r="E97" s="608"/>
      <c r="F97" s="608"/>
      <c r="G97" s="609"/>
    </row>
    <row r="98" spans="1:7" ht="15" customHeight="1">
      <c r="A98" s="450" t="s">
        <v>75</v>
      </c>
      <c r="B98" s="451" t="str">
        <f>IF(ISERROR(SUM(F85:G87)/B92),"",(SUM(F85:G87,F90)/B92))</f>
        <v/>
      </c>
      <c r="C98" s="452" t="str">
        <f>B98</f>
        <v/>
      </c>
      <c r="D98" s="608" t="s">
        <v>76</v>
      </c>
      <c r="E98" s="608"/>
      <c r="F98" s="608"/>
      <c r="G98" s="609"/>
    </row>
    <row r="99" spans="1:7" ht="15" customHeight="1">
      <c r="A99" s="450" t="s">
        <v>645</v>
      </c>
      <c r="B99" s="451" t="str">
        <f>IF(ISERROR(D33/D31),"",(D33/D31))</f>
        <v/>
      </c>
      <c r="C99" s="452" t="str">
        <f>B99</f>
        <v/>
      </c>
      <c r="D99" s="608" t="s">
        <v>648</v>
      </c>
      <c r="E99" s="608"/>
      <c r="F99" s="608"/>
      <c r="G99" s="609"/>
    </row>
    <row r="100" spans="1:7" ht="15" customHeight="1">
      <c r="A100" s="450" t="s">
        <v>649</v>
      </c>
      <c r="B100" s="451" t="e">
        <f>((SUM(F82:G84))/(SUM(F85,F86,F90)))</f>
        <v>#DIV/0!</v>
      </c>
      <c r="C100" s="452" t="e">
        <f>(B100)/100</f>
        <v>#DIV/0!</v>
      </c>
      <c r="D100" s="608" t="s">
        <v>774</v>
      </c>
      <c r="E100" s="608"/>
      <c r="F100" s="608"/>
      <c r="G100" s="609"/>
    </row>
    <row r="101" spans="1:7" ht="15" customHeight="1">
      <c r="A101" s="427"/>
      <c r="B101" s="427"/>
      <c r="C101" s="453"/>
      <c r="D101" s="427"/>
      <c r="E101" s="427"/>
      <c r="F101" s="427"/>
      <c r="G101" s="427"/>
    </row>
    <row r="102" spans="1:7" ht="15" customHeight="1">
      <c r="A102" s="421" t="s">
        <v>77</v>
      </c>
    </row>
    <row r="103" spans="1:7" ht="15" customHeight="1">
      <c r="A103" s="422"/>
    </row>
    <row r="104" spans="1:7" ht="15" customHeight="1" thickBot="1">
      <c r="A104" s="370" t="s">
        <v>78</v>
      </c>
    </row>
    <row r="105" spans="1:7" ht="15" customHeight="1" thickBot="1">
      <c r="A105" s="454"/>
      <c r="B105" s="617" t="s">
        <v>550</v>
      </c>
      <c r="C105" s="617"/>
      <c r="D105" s="617" t="s">
        <v>551</v>
      </c>
      <c r="E105" s="617"/>
      <c r="F105" s="617" t="s">
        <v>713</v>
      </c>
      <c r="G105" s="618"/>
    </row>
    <row r="106" spans="1:7" ht="14.25" customHeight="1">
      <c r="A106" s="455" t="s">
        <v>79</v>
      </c>
      <c r="B106" s="610" t="str">
        <f>NOTES!C316</f>
        <v>No</v>
      </c>
      <c r="C106" s="610"/>
      <c r="D106" s="611" t="str">
        <f>NOTES!E316</f>
        <v>1st Sunday</v>
      </c>
      <c r="E106" s="611"/>
      <c r="F106" s="611">
        <f>NOTES!G316</f>
        <v>0</v>
      </c>
      <c r="G106" s="612"/>
    </row>
    <row r="107" spans="1:7" ht="15" customHeight="1">
      <c r="A107" s="456" t="s">
        <v>80</v>
      </c>
      <c r="B107" s="597" t="str">
        <f>NOTES!C317</f>
        <v>No</v>
      </c>
      <c r="C107" s="597"/>
      <c r="D107" s="598">
        <f>NOTES!E317</f>
        <v>0</v>
      </c>
      <c r="E107" s="598"/>
      <c r="F107" s="598">
        <f>NOTES!G317</f>
        <v>0</v>
      </c>
      <c r="G107" s="599"/>
    </row>
    <row r="108" spans="1:7" ht="15" customHeight="1">
      <c r="A108" s="456" t="s">
        <v>548</v>
      </c>
      <c r="B108" s="597" t="str">
        <f>NOTES!C318</f>
        <v>No</v>
      </c>
      <c r="C108" s="597"/>
      <c r="D108" s="598">
        <f>NOTES!E318</f>
        <v>0</v>
      </c>
      <c r="E108" s="598"/>
      <c r="F108" s="598">
        <f>NOTES!G318</f>
        <v>0</v>
      </c>
      <c r="G108" s="599"/>
    </row>
    <row r="109" spans="1:7" ht="15" customHeight="1" thickBot="1">
      <c r="A109" s="457" t="s">
        <v>549</v>
      </c>
      <c r="B109" s="605" t="str">
        <f>NOTES!C319</f>
        <v>Yes</v>
      </c>
      <c r="C109" s="605"/>
      <c r="D109" s="606">
        <f>NOTES!E319</f>
        <v>0</v>
      </c>
      <c r="E109" s="606"/>
      <c r="F109" s="606">
        <f>NOTES!G319</f>
        <v>0</v>
      </c>
      <c r="G109" s="607"/>
    </row>
    <row r="110" spans="1:7" ht="15" customHeight="1">
      <c r="A110" s="458"/>
      <c r="B110" s="459"/>
      <c r="C110" s="459"/>
      <c r="D110" s="460"/>
      <c r="E110" s="460"/>
      <c r="F110" s="460"/>
      <c r="G110" s="460"/>
    </row>
    <row r="111" spans="1:7" ht="15.6">
      <c r="A111" s="421" t="s">
        <v>656</v>
      </c>
      <c r="C111" s="370" t="s">
        <v>753</v>
      </c>
    </row>
    <row r="112" spans="1:7" ht="16.2" thickBot="1">
      <c r="A112" s="421"/>
    </row>
    <row r="113" spans="1:9" ht="15.6">
      <c r="A113" s="600"/>
      <c r="B113" s="601"/>
      <c r="C113" s="602"/>
      <c r="D113" s="461" t="s">
        <v>2</v>
      </c>
      <c r="E113" s="462" t="s">
        <v>3</v>
      </c>
      <c r="F113" s="463" t="s">
        <v>4</v>
      </c>
    </row>
    <row r="114" spans="1:9" ht="15.6">
      <c r="A114" s="633" t="s">
        <v>745</v>
      </c>
      <c r="B114" s="634"/>
      <c r="C114" s="634"/>
      <c r="D114" s="464">
        <f>SUM(E114:F114)</f>
        <v>0</v>
      </c>
      <c r="E114" s="465">
        <f>NOTES!G323</f>
        <v>0</v>
      </c>
      <c r="F114" s="466">
        <f>NOTES!H323</f>
        <v>0</v>
      </c>
    </row>
    <row r="115" spans="1:9" ht="15.6">
      <c r="A115" s="633" t="s">
        <v>744</v>
      </c>
      <c r="B115" s="634"/>
      <c r="C115" s="634"/>
      <c r="D115" s="464">
        <f>SUM(E115:F115)</f>
        <v>0</v>
      </c>
      <c r="E115" s="465">
        <f>NOTES!G324</f>
        <v>0</v>
      </c>
      <c r="F115" s="466">
        <f>NOTES!H324</f>
        <v>0</v>
      </c>
    </row>
    <row r="116" spans="1:9" ht="16.2" thickBot="1">
      <c r="A116" s="635" t="s">
        <v>746</v>
      </c>
      <c r="B116" s="636"/>
      <c r="C116" s="636"/>
      <c r="D116" s="467">
        <f>SUM(E116:F116)</f>
        <v>0</v>
      </c>
      <c r="E116" s="468">
        <f>NOTES!G325</f>
        <v>0</v>
      </c>
      <c r="F116" s="469">
        <f>NOTES!H325</f>
        <v>0</v>
      </c>
    </row>
    <row r="117" spans="1:9" ht="16.8" thickTop="1" thickBot="1">
      <c r="A117" s="637" t="s">
        <v>747</v>
      </c>
      <c r="B117" s="638"/>
      <c r="C117" s="638"/>
      <c r="D117" s="470">
        <f>SUM(E117:F117)</f>
        <v>0</v>
      </c>
      <c r="E117" s="471">
        <f>SUM(E114:E115)</f>
        <v>0</v>
      </c>
      <c r="F117" s="472">
        <f>SUM(F114:F115)</f>
        <v>0</v>
      </c>
    </row>
    <row r="118" spans="1:9" ht="15.6">
      <c r="A118" s="421"/>
    </row>
    <row r="119" spans="1:9" ht="15" customHeight="1">
      <c r="A119" s="473"/>
      <c r="D119" s="474"/>
      <c r="E119" s="474"/>
      <c r="F119" s="475"/>
      <c r="G119" s="474"/>
    </row>
    <row r="120" spans="1:9" ht="15" customHeight="1">
      <c r="A120" s="421" t="s">
        <v>81</v>
      </c>
      <c r="B120" s="372"/>
      <c r="C120" s="372"/>
      <c r="D120" s="421" t="s">
        <v>705</v>
      </c>
      <c r="E120" s="372"/>
      <c r="F120" s="372"/>
      <c r="G120" s="421" t="s">
        <v>638</v>
      </c>
    </row>
    <row r="121" spans="1:9" ht="15" customHeight="1">
      <c r="F121" s="372"/>
    </row>
    <row r="122" spans="1:9" ht="15" customHeight="1">
      <c r="A122" s="595" t="str">
        <f>NOTES!A332</f>
        <v>Mrs./Mr.</v>
      </c>
      <c r="B122" s="596"/>
      <c r="C122" s="372"/>
      <c r="D122" s="603" t="str">
        <f>NOTES!D332</f>
        <v>Mrs./Mr.</v>
      </c>
      <c r="E122" s="604"/>
      <c r="F122" s="622" t="str">
        <f>NOTES!H332</f>
        <v>Mrs./Mr.</v>
      </c>
      <c r="G122" s="623"/>
      <c r="H122" s="623"/>
      <c r="I122" s="476"/>
    </row>
    <row r="123" spans="1:9" ht="15" customHeight="1">
      <c r="A123" s="370" t="s">
        <v>748</v>
      </c>
      <c r="D123" s="370" t="s">
        <v>748</v>
      </c>
      <c r="F123" s="372"/>
      <c r="G123" s="370" t="s">
        <v>748</v>
      </c>
    </row>
    <row r="124" spans="1:9" ht="15" customHeight="1"/>
    <row r="125" spans="1:9" ht="15" customHeight="1">
      <c r="A125" s="370" t="s">
        <v>82</v>
      </c>
      <c r="D125" s="370" t="s">
        <v>82</v>
      </c>
      <c r="F125" s="621" t="s">
        <v>82</v>
      </c>
      <c r="G125" s="621"/>
      <c r="H125" s="621"/>
    </row>
    <row r="126" spans="1:9" s="477" customFormat="1" ht="15" customHeight="1">
      <c r="A126" s="477" t="s">
        <v>706</v>
      </c>
      <c r="B126" s="477" t="s">
        <v>791</v>
      </c>
    </row>
    <row r="127" spans="1:9" ht="15" customHeight="1">
      <c r="A127" s="372" t="s">
        <v>83</v>
      </c>
    </row>
    <row r="128" spans="1:9" ht="15" customHeight="1">
      <c r="A128" s="370" t="s">
        <v>84</v>
      </c>
    </row>
    <row r="129" spans="1:4" ht="15" customHeight="1">
      <c r="A129" s="370" t="s">
        <v>85</v>
      </c>
    </row>
    <row r="130" spans="1:4" ht="15" customHeight="1">
      <c r="A130" s="370" t="s">
        <v>786</v>
      </c>
    </row>
    <row r="131" spans="1:4" ht="15" customHeight="1">
      <c r="A131" s="478"/>
      <c r="B131" s="479"/>
    </row>
    <row r="132" spans="1:4" ht="15.6">
      <c r="A132" s="480"/>
      <c r="B132" s="479"/>
      <c r="C132" s="479"/>
      <c r="D132" s="479"/>
    </row>
    <row r="133" spans="1:4" ht="15.6">
      <c r="A133" s="480"/>
      <c r="B133" s="479"/>
      <c r="C133" s="479"/>
      <c r="D133" s="479"/>
    </row>
    <row r="134" spans="1:4" ht="15.6">
      <c r="A134" s="480"/>
      <c r="B134" s="479"/>
      <c r="C134" s="479"/>
      <c r="D134" s="479"/>
    </row>
    <row r="135" spans="1:4" ht="15.6">
      <c r="A135" s="480"/>
      <c r="B135" s="479"/>
      <c r="C135" s="479"/>
      <c r="D135" s="479"/>
    </row>
    <row r="136" spans="1:4" ht="15.6">
      <c r="A136" s="480"/>
      <c r="B136" s="479"/>
      <c r="C136" s="479"/>
      <c r="D136" s="479"/>
    </row>
    <row r="137" spans="1:4" ht="15.6">
      <c r="A137" s="480"/>
      <c r="B137" s="479"/>
      <c r="C137" s="479"/>
      <c r="D137" s="479"/>
    </row>
    <row r="138" spans="1:4" ht="15.6">
      <c r="A138" s="480"/>
      <c r="B138" s="479"/>
      <c r="C138" s="479"/>
      <c r="D138" s="479"/>
    </row>
    <row r="139" spans="1:4" ht="15.6">
      <c r="A139" s="480"/>
      <c r="B139" s="479"/>
      <c r="C139" s="479"/>
      <c r="D139" s="479"/>
    </row>
    <row r="140" spans="1:4" ht="15.6">
      <c r="A140" s="480"/>
      <c r="B140" s="479"/>
      <c r="C140" s="479"/>
      <c r="D140" s="479"/>
    </row>
    <row r="141" spans="1:4" ht="15.6">
      <c r="A141" s="480"/>
      <c r="B141" s="479"/>
      <c r="C141" s="479"/>
      <c r="D141" s="479"/>
    </row>
    <row r="142" spans="1:4" ht="15.6">
      <c r="A142" s="480"/>
      <c r="B142" s="479"/>
      <c r="C142" s="479"/>
      <c r="D142" s="479"/>
    </row>
  </sheetData>
  <sheetProtection algorithmName="SHA-512" hashValue="L644KiLT2rwYceLYeyprQKoHg2hSBMBnmfInVzKJ53R6OtymGtKL0R+zt4erLSnE2lXWJs5k0Y7Cv3eA4Nekdg==" saltValue="b6gM71r+X3Z6D+qyWo8JxA==" spinCount="100000" sheet="1" selectLockedCells="1" selectUnlockedCells="1"/>
  <mergeCells count="169">
    <mergeCell ref="C3:G4"/>
    <mergeCell ref="F125:H125"/>
    <mergeCell ref="F122:H122"/>
    <mergeCell ref="A25:C25"/>
    <mergeCell ref="A26:C26"/>
    <mergeCell ref="A15:C15"/>
    <mergeCell ref="A16:C16"/>
    <mergeCell ref="A114:C114"/>
    <mergeCell ref="A115:C115"/>
    <mergeCell ref="A116:C116"/>
    <mergeCell ref="A117:C117"/>
    <mergeCell ref="D100:G100"/>
    <mergeCell ref="D86:E86"/>
    <mergeCell ref="F86:G86"/>
    <mergeCell ref="D87:E87"/>
    <mergeCell ref="F87:G87"/>
    <mergeCell ref="D88:E88"/>
    <mergeCell ref="F88:G88"/>
    <mergeCell ref="D83:E83"/>
    <mergeCell ref="F83:G83"/>
    <mergeCell ref="D84:E84"/>
    <mergeCell ref="F84:G84"/>
    <mergeCell ref="D85:E85"/>
    <mergeCell ref="F85:G85"/>
    <mergeCell ref="D96:G96"/>
    <mergeCell ref="D97:G97"/>
    <mergeCell ref="D98:G98"/>
    <mergeCell ref="B106:C106"/>
    <mergeCell ref="D106:E106"/>
    <mergeCell ref="F106:G106"/>
    <mergeCell ref="D89:E89"/>
    <mergeCell ref="F89:G89"/>
    <mergeCell ref="D90:E90"/>
    <mergeCell ref="F90:G90"/>
    <mergeCell ref="D91:G91"/>
    <mergeCell ref="D92:E92"/>
    <mergeCell ref="F92:G92"/>
    <mergeCell ref="B105:C105"/>
    <mergeCell ref="D105:E105"/>
    <mergeCell ref="F105:G105"/>
    <mergeCell ref="D99:G99"/>
    <mergeCell ref="A122:B122"/>
    <mergeCell ref="B107:C107"/>
    <mergeCell ref="D107:E107"/>
    <mergeCell ref="F107:G107"/>
    <mergeCell ref="B108:C108"/>
    <mergeCell ref="D108:E108"/>
    <mergeCell ref="F108:G108"/>
    <mergeCell ref="A113:C113"/>
    <mergeCell ref="D122:E122"/>
    <mergeCell ref="B109:C109"/>
    <mergeCell ref="D109:E109"/>
    <mergeCell ref="F109:G109"/>
    <mergeCell ref="E77:F77"/>
    <mergeCell ref="A81:B81"/>
    <mergeCell ref="D81:G81"/>
    <mergeCell ref="D82:E82"/>
    <mergeCell ref="F82:G82"/>
    <mergeCell ref="A75:B75"/>
    <mergeCell ref="C75:D75"/>
    <mergeCell ref="E75:F75"/>
    <mergeCell ref="A76:B76"/>
    <mergeCell ref="C76:D76"/>
    <mergeCell ref="E76:F76"/>
    <mergeCell ref="A77:B77"/>
    <mergeCell ref="C77:D77"/>
    <mergeCell ref="A73:B73"/>
    <mergeCell ref="C73:D73"/>
    <mergeCell ref="E73:F73"/>
    <mergeCell ref="A74:B74"/>
    <mergeCell ref="C74:D74"/>
    <mergeCell ref="E74:F74"/>
    <mergeCell ref="A71:B71"/>
    <mergeCell ref="C71:D71"/>
    <mergeCell ref="E71:F71"/>
    <mergeCell ref="A72:B72"/>
    <mergeCell ref="C72:D72"/>
    <mergeCell ref="E72:F72"/>
    <mergeCell ref="A69:B69"/>
    <mergeCell ref="C69:D69"/>
    <mergeCell ref="E69:F69"/>
    <mergeCell ref="A70:B70"/>
    <mergeCell ref="C70:D70"/>
    <mergeCell ref="E70:F70"/>
    <mergeCell ref="A67:B67"/>
    <mergeCell ref="C67:D67"/>
    <mergeCell ref="E67:F67"/>
    <mergeCell ref="A68:B68"/>
    <mergeCell ref="C68:D68"/>
    <mergeCell ref="E68:F68"/>
    <mergeCell ref="A64:B64"/>
    <mergeCell ref="C64:D64"/>
    <mergeCell ref="E64:F64"/>
    <mergeCell ref="C65:D65"/>
    <mergeCell ref="E65:F65"/>
    <mergeCell ref="A66:B66"/>
    <mergeCell ref="C66:D66"/>
    <mergeCell ref="E66:F66"/>
    <mergeCell ref="A62:B62"/>
    <mergeCell ref="C62:D62"/>
    <mergeCell ref="E62:F62"/>
    <mergeCell ref="A63:B63"/>
    <mergeCell ref="C63:D63"/>
    <mergeCell ref="E63:F63"/>
    <mergeCell ref="A60:B60"/>
    <mergeCell ref="C60:D60"/>
    <mergeCell ref="E60:F60"/>
    <mergeCell ref="A61:B61"/>
    <mergeCell ref="C61:D61"/>
    <mergeCell ref="E61:F61"/>
    <mergeCell ref="D54:E54"/>
    <mergeCell ref="F54:G54"/>
    <mergeCell ref="A58:B58"/>
    <mergeCell ref="C58:D58"/>
    <mergeCell ref="E58:F58"/>
    <mergeCell ref="A59:B59"/>
    <mergeCell ref="C59:D59"/>
    <mergeCell ref="E59:F59"/>
    <mergeCell ref="D52:E52"/>
    <mergeCell ref="F52:G52"/>
    <mergeCell ref="A53:B53"/>
    <mergeCell ref="D53:G53"/>
    <mergeCell ref="D42:G42"/>
    <mergeCell ref="D46:E46"/>
    <mergeCell ref="F46:G46"/>
    <mergeCell ref="D48:E48"/>
    <mergeCell ref="F48:G48"/>
    <mergeCell ref="D49:E49"/>
    <mergeCell ref="F49:G49"/>
    <mergeCell ref="D50:E50"/>
    <mergeCell ref="F50:G50"/>
    <mergeCell ref="D47:E47"/>
    <mergeCell ref="F47:G47"/>
    <mergeCell ref="D43:E43"/>
    <mergeCell ref="F43:G43"/>
    <mergeCell ref="D44:E44"/>
    <mergeCell ref="F44:G44"/>
    <mergeCell ref="A23:C23"/>
    <mergeCell ref="A27:C27"/>
    <mergeCell ref="A14:C14"/>
    <mergeCell ref="A19:C19"/>
    <mergeCell ref="A20:C20"/>
    <mergeCell ref="E5:F5"/>
    <mergeCell ref="E7:F7"/>
    <mergeCell ref="A35:C35"/>
    <mergeCell ref="A10:C10"/>
    <mergeCell ref="A11:C11"/>
    <mergeCell ref="A12:C12"/>
    <mergeCell ref="A13:C13"/>
    <mergeCell ref="A17:C17"/>
    <mergeCell ref="C38:D38"/>
    <mergeCell ref="A40:B40"/>
    <mergeCell ref="D40:G40"/>
    <mergeCell ref="D41:E41"/>
    <mergeCell ref="F41:G41"/>
    <mergeCell ref="A24:C24"/>
    <mergeCell ref="A30:C30"/>
    <mergeCell ref="A31:C31"/>
    <mergeCell ref="D51:E51"/>
    <mergeCell ref="F51:G51"/>
    <mergeCell ref="A33:C33"/>
    <mergeCell ref="A34:C34"/>
    <mergeCell ref="A28:C28"/>
    <mergeCell ref="A29:C29"/>
    <mergeCell ref="D45:E45"/>
    <mergeCell ref="F45:G45"/>
    <mergeCell ref="A42:B42"/>
    <mergeCell ref="A36:C36"/>
    <mergeCell ref="D36:G36"/>
  </mergeCells>
  <conditionalFormatting sqref="A54:G55">
    <cfRule type="expression" dxfId="26" priority="42">
      <formula>$B$54&lt;&gt;$F$54</formula>
    </cfRule>
  </conditionalFormatting>
  <conditionalFormatting sqref="A92:G92 D94:E94">
    <cfRule type="expression" dxfId="25" priority="41">
      <formula>$B$92&lt;&gt;$F$92</formula>
    </cfRule>
  </conditionalFormatting>
  <conditionalFormatting sqref="C54:C55">
    <cfRule type="expression" dxfId="24" priority="43">
      <formula>$B$54&lt;&gt;$F$54</formula>
    </cfRule>
  </conditionalFormatting>
  <conditionalFormatting sqref="C96">
    <cfRule type="cellIs" dxfId="23" priority="5" operator="lessThan">
      <formula>0.15</formula>
    </cfRule>
    <cfRule type="cellIs" dxfId="22" priority="6" operator="between">
      <formula>0.15</formula>
      <formula>0.2</formula>
    </cfRule>
    <cfRule type="cellIs" dxfId="21" priority="7" operator="greaterThan">
      <formula>0.2</formula>
    </cfRule>
  </conditionalFormatting>
  <conditionalFormatting sqref="C97">
    <cfRule type="cellIs" dxfId="20" priority="8" operator="lessThan">
      <formula>0.03</formula>
    </cfRule>
    <cfRule type="cellIs" dxfId="19" priority="9" operator="between">
      <formula>0.03</formula>
      <formula>0.06</formula>
    </cfRule>
    <cfRule type="cellIs" dxfId="18" priority="10" operator="greaterThan">
      <formula>0.06</formula>
    </cfRule>
  </conditionalFormatting>
  <conditionalFormatting sqref="C98">
    <cfRule type="cellIs" dxfId="17" priority="11" operator="lessThanOrEqual">
      <formula>0.15</formula>
    </cfRule>
    <cfRule type="cellIs" dxfId="16" priority="12" operator="between">
      <formula>0.15</formula>
      <formula>0.2</formula>
    </cfRule>
    <cfRule type="cellIs" dxfId="15" priority="13" operator="greaterThan">
      <formula>0.2</formula>
    </cfRule>
  </conditionalFormatting>
  <conditionalFormatting sqref="C99">
    <cfRule type="cellIs" dxfId="14" priority="17" operator="greaterThan">
      <formula>0.05</formula>
    </cfRule>
    <cfRule type="cellIs" dxfId="13" priority="18" operator="between">
      <formula>0.03</formula>
      <formula>0.05</formula>
    </cfRule>
    <cfRule type="cellIs" dxfId="12" priority="19" operator="lessThan">
      <formula>0.03</formula>
    </cfRule>
  </conditionalFormatting>
  <conditionalFormatting sqref="C100">
    <cfRule type="cellIs" dxfId="11" priority="20" operator="lessThan">
      <formula>0.86</formula>
    </cfRule>
    <cfRule type="cellIs" dxfId="10" priority="21" operator="between">
      <formula>0.86</formula>
      <formula>0.91</formula>
    </cfRule>
    <cfRule type="cellIs" dxfId="9" priority="22" operator="greaterThan">
      <formula>0.91</formula>
    </cfRule>
  </conditionalFormatting>
  <conditionalFormatting sqref="D39:E39">
    <cfRule type="expression" dxfId="8" priority="38">
      <formula>$B$54&lt;&gt;$F$54</formula>
    </cfRule>
  </conditionalFormatting>
  <conditionalFormatting sqref="D35:G35">
    <cfRule type="cellIs" dxfId="7" priority="3" operator="greaterThan">
      <formula>3%</formula>
    </cfRule>
    <cfRule type="cellIs" dxfId="6" priority="4" operator="lessThan">
      <formula>3%</formula>
    </cfRule>
  </conditionalFormatting>
  <dataValidations xWindow="481" yWindow="544" count="19">
    <dataValidation type="decimal" operator="equal" allowBlank="1" showInputMessage="1" showErrorMessage="1" error="Please check your total cash balance! Your figure you have entered is higher or lower than the figure your have enter above under paragraph 2. (FG 35). Thanks!" prompt="Please enter a number which may be decimal like 456.78" sqref="B82" xr:uid="{00000000-0002-0000-0000-000000000000}">
      <formula1>F41</formula1>
    </dataValidation>
    <dataValidation type="decimal" errorStyle="warning" operator="equal" allowBlank="1" showInputMessage="1" showErrorMessage="1" error="Please check your total amount of savings! Your figure you have entered is higher or lower than the figure your have enter above under paragraph 1. (D23). Thanks!" prompt="Please enter a number which may be decimal like 456.78" sqref="F83:G83" xr:uid="{00000000-0002-0000-0000-000001000000}">
      <formula1>D24</formula1>
    </dataValidation>
    <dataValidation type="decimal" errorStyle="warning" operator="equal" allowBlank="1" showInputMessage="1" showErrorMessage="1" error="Please check your total amount of shares! Your figure you have entered is higher or lower than the figure your have enter above under paragraph 1. (D22). Thanks!" prompt="Please enter a number which may be decimal like 456.78" sqref="F85:G85" xr:uid="{00000000-0002-0000-0000-000002000000}">
      <formula1>D20</formula1>
    </dataValidation>
    <dataValidation type="decimal" errorStyle="warning" operator="equal" allowBlank="1" showInputMessage="1" showErrorMessage="1" error="Please check your total amount of outstanding loans! Your figure you have entered is higher or lower than the figure your have enter above under paragraph 1. (D25). Thanks!" prompt="Please enter a number which may be decimal like 456.78" sqref="B86" xr:uid="{00000000-0002-0000-0000-000003000000}">
      <formula1>D31</formula1>
    </dataValidation>
    <dataValidation type="decimal" operator="greaterThanOrEqual" allowBlank="1" showInputMessage="1" showErrorMessage="1" prompt="Please enter a number which may be decimal like 456.78" sqref="B84:B85 B88:B89 F84:G84 F82:G82 B41 B43:B50 D42 F41:G41 F43:F50 G44" xr:uid="{00000000-0002-0000-0000-000004000000}">
      <formula1>0</formula1>
    </dataValidation>
    <dataValidation type="whole" operator="greaterThanOrEqual" allowBlank="1" showInputMessage="1" showErrorMessage="1" prompt="Please enter a whole number, like 456 for instance" sqref="E17:G17 G11:G14 E11:F16" xr:uid="{00000000-0002-0000-0000-000005000000}">
      <formula1>0</formula1>
    </dataValidation>
    <dataValidation type="decimal" errorStyle="warning" operator="equal" showInputMessage="1" showErrorMessage="1" errorTitle="TOTALS" error="Are you sure that you don't have this figures separated after &quot;females&quot;, &quot;males&quot; and &quot;groups&quot;. Please be aware that by entering a figure you are deleting the automatic calculation!" promptTitle="TOTALS" prompt="Please only enter a figure here, if you don't have the figures separted by &quot;females&quot;, &quot;males&quot; and &quot;groups&quot;" sqref="D31:D33 E27:G27 E23:G23 D20:D29 D14:D17" xr:uid="{00000000-0002-0000-0000-000006000000}">
      <formula1>0</formula1>
    </dataValidation>
    <dataValidation type="whole" errorStyle="warning" operator="equal" showInputMessage="1" showErrorMessage="1" errorTitle="TOTALS" error="Are you sure that you don't have this figures separated after &quot;females&quot;, &quot;males&quot; and &quot;groups&quot;. Please be aware that by entering a figure you are deleting the automatic calculation!" promptTitle="TOTALS" prompt="Please only enter a figure here, if you don't have the figures separted by &quot;females&quot;, &quot;males&quot; and &quot;groups&quot;" sqref="D30" xr:uid="{00000000-0002-0000-0000-000007000000}">
      <formula1>0</formula1>
    </dataValidation>
    <dataValidation type="decimal" allowBlank="1" showInputMessage="1" showErrorMessage="1" errorTitle="Accumulated Depreciation" error="You have to tried to enter the &quot;Accumulated Depreciation&quot; as a positive figure, for the correct calculation it is necessary that you enter it beginning with &quot;-&quot; (for example: -1,000.00)" promptTitle="Accumulated Depreciation" prompt="Please be aware that you have to enter the Accumulated Depreciation&quot; as a negative figure, that means beginning with &quot;-&quot; (for example: -1,000.00)" sqref="B90" xr:uid="{00000000-0002-0000-0000-000008000000}">
      <formula1>-9.99999999999999E+33</formula1>
      <formula2>0</formula2>
    </dataValidation>
    <dataValidation type="decimal" allowBlank="1" showInputMessage="1" showErrorMessage="1" errorTitle="Provision for Loan Loss" error="You have to tried to enter the &quot;Provision for Loan Loss&quot; as a positive figure, for the correct calculation it is necessary that you enter it beginning with &quot;-&quot; (for example: -1,000.00)" promptTitle="Provision for Loan Loss" prompt="Please be aware that you have to enter the &quot;Provision for Loan Loss&quot; as a negative figure, that means beginning with &quot;-&quot; (for example: -1,000.00)" sqref="B87" xr:uid="{00000000-0002-0000-0000-000009000000}">
      <formula1>-9.99999999999999E+33</formula1>
      <formula2>0</formula2>
    </dataValidation>
    <dataValidation type="date" operator="greaterThanOrEqual" allowBlank="1" showInputMessage="1" showErrorMessage="1" promptTitle="Month" prompt="Please enter it as month/year (for example: 1/2011)" sqref="E7:F7" xr:uid="{00000000-0002-0000-0000-00000A000000}">
      <formula1>24838</formula1>
    </dataValidation>
    <dataValidation operator="greaterThanOrEqual" allowBlank="1" showInputMessage="1" showErrorMessage="1" prompt="Please enter a number which may be decimal like 456.78" sqref="B83" xr:uid="{00000000-0002-0000-0000-00000B000000}"/>
    <dataValidation type="decimal" operator="greaterThanOrEqual" allowBlank="1" showInputMessage="1" showErrorMessage="1" prompt="Please enter a number which may be decimal like 456.78" sqref="F86:G86" xr:uid="{00000000-0002-0000-0000-00000C000000}">
      <formula1>-999999999.99</formula1>
    </dataValidation>
    <dataValidation operator="greaterThanOrEqual" allowBlank="1" showInputMessage="1" showErrorMessage="1" promptTitle="CUA Database ID " prompt="Please enter CUA Datebase Reporting ID (for example: CUA-ACXX-0-0000)" sqref="E5:F5" xr:uid="{00000000-0002-0000-0000-00000D000000}"/>
    <dataValidation type="decimal" operator="greaterThanOrEqual" allowBlank="1" showInputMessage="1" showErrorMessage="1" prompt="Please enter a whole number or Decimals, like 456 for instance or 456.00" sqref="E20:G22 E24:G26 E28:G33" xr:uid="{00000000-0002-0000-0000-00000E000000}">
      <formula1>0</formula1>
    </dataValidation>
    <dataValidation type="decimal" operator="greaterThanOrEqual" allowBlank="1" showInputMessage="1" showErrorMessage="1" prompt="Please enter a number which may be decimal like 456.78" sqref="C67:F73" xr:uid="{00000000-0002-0000-0000-00000F000000}">
      <formula1>-999999999999999</formula1>
    </dataValidation>
    <dataValidation type="decimal" operator="greaterThanOrEqual" allowBlank="1" showInputMessage="1" showErrorMessage="1" prompt="Please enter a number which may be decimal like 456.78" sqref="C59:F62" xr:uid="{00000000-0002-0000-0000-000010000000}">
      <formula1>-9.99999999999999E+28</formula1>
    </dataValidation>
    <dataValidation operator="greaterThanOrEqual" allowBlank="1" showInputMessage="1" showErrorMessage="1" prompt="Please enter a whole number, like 456 for instance" sqref="G15" xr:uid="{00000000-0002-0000-0000-000011000000}"/>
    <dataValidation type="whole" errorStyle="warning" operator="greaterThanOrEqual" errorTitle="TOTALS" error="Are you sure that you don't have this figures separated after &quot;females&quot;, &quot;males&quot; and &quot;groups&quot;. Please be aware that by entering a figure you are deleting the automatic calculation!" sqref="D11:D13" xr:uid="{00000000-0002-0000-0000-000012000000}">
      <formula1>0</formula1>
    </dataValidation>
  </dataValidations>
  <pageMargins left="0.70866141732283472" right="0.35433070866141736" top="0.98425196850393704" bottom="0.98425196850393704" header="0.31496062992125984" footer="0.11811023622047245"/>
  <pageSetup paperSize="9" scale="71" orientation="portrait" r:id="rId1"/>
  <headerFooter differentFirst="1">
    <oddFooter>&amp;L&amp;"Myriad Pro,Regular"&amp;8&amp;F&amp;  MFSR No.  &amp;APage &amp;P of &amp;N</oddFooter>
    <firstFooter>&amp;L&amp;"Myriad Pro,Regular"&amp;8&amp;F&amp;MFSR No.  &amp;APage &amp;P of &amp;N</firstFooter>
  </headerFooter>
  <rowBreaks count="2" manualBreakCount="2">
    <brk id="55" max="16383" man="1"/>
    <brk id="101" max="16383" man="1"/>
  </rowBreaks>
  <ignoredErrors>
    <ignoredError sqref="D30:D31 B99 D23" formula="1"/>
    <ignoredError sqref="B106:G109 E114:F116" unlockedFormula="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K378"/>
  <sheetViews>
    <sheetView tabSelected="1" topLeftCell="A313" zoomScale="98" zoomScaleNormal="98" zoomScaleSheetLayoutView="100" workbookViewId="0">
      <selection activeCell="G22" sqref="G22"/>
    </sheetView>
  </sheetViews>
  <sheetFormatPr defaultRowHeight="15"/>
  <cols>
    <col min="1" max="1" width="9.109375" style="72"/>
    <col min="2" max="2" width="32" style="81" customWidth="1"/>
    <col min="3" max="3" width="9" style="81" customWidth="1"/>
    <col min="4" max="4" width="18.109375" style="81" customWidth="1"/>
    <col min="5" max="5" width="13.44140625" style="107" customWidth="1"/>
    <col min="6" max="6" width="25.44140625" style="81" customWidth="1"/>
    <col min="7" max="7" width="21.44140625" style="82" customWidth="1"/>
    <col min="8" max="9" width="9.109375" style="72"/>
    <col min="10" max="10" width="13.33203125" style="72" customWidth="1"/>
    <col min="11" max="11" width="14.88671875" style="72" bestFit="1" customWidth="1"/>
    <col min="12" max="250" width="9.109375" style="72"/>
    <col min="251" max="251" width="8.44140625" style="72" customWidth="1"/>
    <col min="252" max="252" width="21.44140625" style="72" customWidth="1"/>
    <col min="253" max="253" width="18.33203125" style="72" customWidth="1"/>
    <col min="254" max="254" width="16.88671875" style="72" customWidth="1"/>
    <col min="255" max="255" width="18.109375" style="72" customWidth="1"/>
    <col min="256" max="256" width="17.109375" style="72" customWidth="1"/>
    <col min="257" max="257" width="20.44140625" style="72" customWidth="1"/>
    <col min="258" max="258" width="21.44140625" style="72" customWidth="1"/>
    <col min="259" max="259" width="16.33203125" style="72" customWidth="1"/>
    <col min="260" max="260" width="11.5546875" style="72" bestFit="1" customWidth="1"/>
    <col min="261" max="261" width="9.109375" style="72" customWidth="1"/>
    <col min="262" max="506" width="9.109375" style="72"/>
    <col min="507" max="507" width="8.44140625" style="72" customWidth="1"/>
    <col min="508" max="508" width="21.44140625" style="72" customWidth="1"/>
    <col min="509" max="509" width="18.33203125" style="72" customWidth="1"/>
    <col min="510" max="510" width="16.88671875" style="72" customWidth="1"/>
    <col min="511" max="511" width="18.109375" style="72" customWidth="1"/>
    <col min="512" max="512" width="17.109375" style="72" customWidth="1"/>
    <col min="513" max="513" width="20.44140625" style="72" customWidth="1"/>
    <col min="514" max="514" width="21.44140625" style="72" customWidth="1"/>
    <col min="515" max="515" width="16.33203125" style="72" customWidth="1"/>
    <col min="516" max="516" width="11.5546875" style="72" bestFit="1" customWidth="1"/>
    <col min="517" max="517" width="9.109375" style="72" customWidth="1"/>
    <col min="518" max="762" width="9.109375" style="72"/>
    <col min="763" max="763" width="8.44140625" style="72" customWidth="1"/>
    <col min="764" max="764" width="21.44140625" style="72" customWidth="1"/>
    <col min="765" max="765" width="18.33203125" style="72" customWidth="1"/>
    <col min="766" max="766" width="16.88671875" style="72" customWidth="1"/>
    <col min="767" max="767" width="18.109375" style="72" customWidth="1"/>
    <col min="768" max="768" width="17.109375" style="72" customWidth="1"/>
    <col min="769" max="769" width="20.44140625" style="72" customWidth="1"/>
    <col min="770" max="770" width="21.44140625" style="72" customWidth="1"/>
    <col min="771" max="771" width="16.33203125" style="72" customWidth="1"/>
    <col min="772" max="772" width="11.5546875" style="72" bestFit="1" customWidth="1"/>
    <col min="773" max="773" width="9.109375" style="72" customWidth="1"/>
    <col min="774" max="1018" width="9.109375" style="72"/>
    <col min="1019" max="1019" width="8.44140625" style="72" customWidth="1"/>
    <col min="1020" max="1020" width="21.44140625" style="72" customWidth="1"/>
    <col min="1021" max="1021" width="18.33203125" style="72" customWidth="1"/>
    <col min="1022" max="1022" width="16.88671875" style="72" customWidth="1"/>
    <col min="1023" max="1023" width="18.109375" style="72" customWidth="1"/>
    <col min="1024" max="1024" width="17.109375" style="72" customWidth="1"/>
    <col min="1025" max="1025" width="20.44140625" style="72" customWidth="1"/>
    <col min="1026" max="1026" width="21.44140625" style="72" customWidth="1"/>
    <col min="1027" max="1027" width="16.33203125" style="72" customWidth="1"/>
    <col min="1028" max="1028" width="11.5546875" style="72" bestFit="1" customWidth="1"/>
    <col min="1029" max="1029" width="9.109375" style="72" customWidth="1"/>
    <col min="1030" max="1274" width="9.109375" style="72"/>
    <col min="1275" max="1275" width="8.44140625" style="72" customWidth="1"/>
    <col min="1276" max="1276" width="21.44140625" style="72" customWidth="1"/>
    <col min="1277" max="1277" width="18.33203125" style="72" customWidth="1"/>
    <col min="1278" max="1278" width="16.88671875" style="72" customWidth="1"/>
    <col min="1279" max="1279" width="18.109375" style="72" customWidth="1"/>
    <col min="1280" max="1280" width="17.109375" style="72" customWidth="1"/>
    <col min="1281" max="1281" width="20.44140625" style="72" customWidth="1"/>
    <col min="1282" max="1282" width="21.44140625" style="72" customWidth="1"/>
    <col min="1283" max="1283" width="16.33203125" style="72" customWidth="1"/>
    <col min="1284" max="1284" width="11.5546875" style="72" bestFit="1" customWidth="1"/>
    <col min="1285" max="1285" width="9.109375" style="72" customWidth="1"/>
    <col min="1286" max="1530" width="9.109375" style="72"/>
    <col min="1531" max="1531" width="8.44140625" style="72" customWidth="1"/>
    <col min="1532" max="1532" width="21.44140625" style="72" customWidth="1"/>
    <col min="1533" max="1533" width="18.33203125" style="72" customWidth="1"/>
    <col min="1534" max="1534" width="16.88671875" style="72" customWidth="1"/>
    <col min="1535" max="1535" width="18.109375" style="72" customWidth="1"/>
    <col min="1536" max="1536" width="17.109375" style="72" customWidth="1"/>
    <col min="1537" max="1537" width="20.44140625" style="72" customWidth="1"/>
    <col min="1538" max="1538" width="21.44140625" style="72" customWidth="1"/>
    <col min="1539" max="1539" width="16.33203125" style="72" customWidth="1"/>
    <col min="1540" max="1540" width="11.5546875" style="72" bestFit="1" customWidth="1"/>
    <col min="1541" max="1541" width="9.109375" style="72" customWidth="1"/>
    <col min="1542" max="1786" width="9.109375" style="72"/>
    <col min="1787" max="1787" width="8.44140625" style="72" customWidth="1"/>
    <col min="1788" max="1788" width="21.44140625" style="72" customWidth="1"/>
    <col min="1789" max="1789" width="18.33203125" style="72" customWidth="1"/>
    <col min="1790" max="1790" width="16.88671875" style="72" customWidth="1"/>
    <col min="1791" max="1791" width="18.109375" style="72" customWidth="1"/>
    <col min="1792" max="1792" width="17.109375" style="72" customWidth="1"/>
    <col min="1793" max="1793" width="20.44140625" style="72" customWidth="1"/>
    <col min="1794" max="1794" width="21.44140625" style="72" customWidth="1"/>
    <col min="1795" max="1795" width="16.33203125" style="72" customWidth="1"/>
    <col min="1796" max="1796" width="11.5546875" style="72" bestFit="1" customWidth="1"/>
    <col min="1797" max="1797" width="9.109375" style="72" customWidth="1"/>
    <col min="1798" max="2042" width="9.109375" style="72"/>
    <col min="2043" max="2043" width="8.44140625" style="72" customWidth="1"/>
    <col min="2044" max="2044" width="21.44140625" style="72" customWidth="1"/>
    <col min="2045" max="2045" width="18.33203125" style="72" customWidth="1"/>
    <col min="2046" max="2046" width="16.88671875" style="72" customWidth="1"/>
    <col min="2047" max="2047" width="18.109375" style="72" customWidth="1"/>
    <col min="2048" max="2048" width="17.109375" style="72" customWidth="1"/>
    <col min="2049" max="2049" width="20.44140625" style="72" customWidth="1"/>
    <col min="2050" max="2050" width="21.44140625" style="72" customWidth="1"/>
    <col min="2051" max="2051" width="16.33203125" style="72" customWidth="1"/>
    <col min="2052" max="2052" width="11.5546875" style="72" bestFit="1" customWidth="1"/>
    <col min="2053" max="2053" width="9.109375" style="72" customWidth="1"/>
    <col min="2054" max="2298" width="9.109375" style="72"/>
    <col min="2299" max="2299" width="8.44140625" style="72" customWidth="1"/>
    <col min="2300" max="2300" width="21.44140625" style="72" customWidth="1"/>
    <col min="2301" max="2301" width="18.33203125" style="72" customWidth="1"/>
    <col min="2302" max="2302" width="16.88671875" style="72" customWidth="1"/>
    <col min="2303" max="2303" width="18.109375" style="72" customWidth="1"/>
    <col min="2304" max="2304" width="17.109375" style="72" customWidth="1"/>
    <col min="2305" max="2305" width="20.44140625" style="72" customWidth="1"/>
    <col min="2306" max="2306" width="21.44140625" style="72" customWidth="1"/>
    <col min="2307" max="2307" width="16.33203125" style="72" customWidth="1"/>
    <col min="2308" max="2308" width="11.5546875" style="72" bestFit="1" customWidth="1"/>
    <col min="2309" max="2309" width="9.109375" style="72" customWidth="1"/>
    <col min="2310" max="2554" width="9.109375" style="72"/>
    <col min="2555" max="2555" width="8.44140625" style="72" customWidth="1"/>
    <col min="2556" max="2556" width="21.44140625" style="72" customWidth="1"/>
    <col min="2557" max="2557" width="18.33203125" style="72" customWidth="1"/>
    <col min="2558" max="2558" width="16.88671875" style="72" customWidth="1"/>
    <col min="2559" max="2559" width="18.109375" style="72" customWidth="1"/>
    <col min="2560" max="2560" width="17.109375" style="72" customWidth="1"/>
    <col min="2561" max="2561" width="20.44140625" style="72" customWidth="1"/>
    <col min="2562" max="2562" width="21.44140625" style="72" customWidth="1"/>
    <col min="2563" max="2563" width="16.33203125" style="72" customWidth="1"/>
    <col min="2564" max="2564" width="11.5546875" style="72" bestFit="1" customWidth="1"/>
    <col min="2565" max="2565" width="9.109375" style="72" customWidth="1"/>
    <col min="2566" max="2810" width="9.109375" style="72"/>
    <col min="2811" max="2811" width="8.44140625" style="72" customWidth="1"/>
    <col min="2812" max="2812" width="21.44140625" style="72" customWidth="1"/>
    <col min="2813" max="2813" width="18.33203125" style="72" customWidth="1"/>
    <col min="2814" max="2814" width="16.88671875" style="72" customWidth="1"/>
    <col min="2815" max="2815" width="18.109375" style="72" customWidth="1"/>
    <col min="2816" max="2816" width="17.109375" style="72" customWidth="1"/>
    <col min="2817" max="2817" width="20.44140625" style="72" customWidth="1"/>
    <col min="2818" max="2818" width="21.44140625" style="72" customWidth="1"/>
    <col min="2819" max="2819" width="16.33203125" style="72" customWidth="1"/>
    <col min="2820" max="2820" width="11.5546875" style="72" bestFit="1" customWidth="1"/>
    <col min="2821" max="2821" width="9.109375" style="72" customWidth="1"/>
    <col min="2822" max="3066" width="9.109375" style="72"/>
    <col min="3067" max="3067" width="8.44140625" style="72" customWidth="1"/>
    <col min="3068" max="3068" width="21.44140625" style="72" customWidth="1"/>
    <col min="3069" max="3069" width="18.33203125" style="72" customWidth="1"/>
    <col min="3070" max="3070" width="16.88671875" style="72" customWidth="1"/>
    <col min="3071" max="3071" width="18.109375" style="72" customWidth="1"/>
    <col min="3072" max="3072" width="17.109375" style="72" customWidth="1"/>
    <col min="3073" max="3073" width="20.44140625" style="72" customWidth="1"/>
    <col min="3074" max="3074" width="21.44140625" style="72" customWidth="1"/>
    <col min="3075" max="3075" width="16.33203125" style="72" customWidth="1"/>
    <col min="3076" max="3076" width="11.5546875" style="72" bestFit="1" customWidth="1"/>
    <col min="3077" max="3077" width="9.109375" style="72" customWidth="1"/>
    <col min="3078" max="3322" width="9.109375" style="72"/>
    <col min="3323" max="3323" width="8.44140625" style="72" customWidth="1"/>
    <col min="3324" max="3324" width="21.44140625" style="72" customWidth="1"/>
    <col min="3325" max="3325" width="18.33203125" style="72" customWidth="1"/>
    <col min="3326" max="3326" width="16.88671875" style="72" customWidth="1"/>
    <col min="3327" max="3327" width="18.109375" style="72" customWidth="1"/>
    <col min="3328" max="3328" width="17.109375" style="72" customWidth="1"/>
    <col min="3329" max="3329" width="20.44140625" style="72" customWidth="1"/>
    <col min="3330" max="3330" width="21.44140625" style="72" customWidth="1"/>
    <col min="3331" max="3331" width="16.33203125" style="72" customWidth="1"/>
    <col min="3332" max="3332" width="11.5546875" style="72" bestFit="1" customWidth="1"/>
    <col min="3333" max="3333" width="9.109375" style="72" customWidth="1"/>
    <col min="3334" max="3578" width="9.109375" style="72"/>
    <col min="3579" max="3579" width="8.44140625" style="72" customWidth="1"/>
    <col min="3580" max="3580" width="21.44140625" style="72" customWidth="1"/>
    <col min="3581" max="3581" width="18.33203125" style="72" customWidth="1"/>
    <col min="3582" max="3582" width="16.88671875" style="72" customWidth="1"/>
    <col min="3583" max="3583" width="18.109375" style="72" customWidth="1"/>
    <col min="3584" max="3584" width="17.109375" style="72" customWidth="1"/>
    <col min="3585" max="3585" width="20.44140625" style="72" customWidth="1"/>
    <col min="3586" max="3586" width="21.44140625" style="72" customWidth="1"/>
    <col min="3587" max="3587" width="16.33203125" style="72" customWidth="1"/>
    <col min="3588" max="3588" width="11.5546875" style="72" bestFit="1" customWidth="1"/>
    <col min="3589" max="3589" width="9.109375" style="72" customWidth="1"/>
    <col min="3590" max="3834" width="9.109375" style="72"/>
    <col min="3835" max="3835" width="8.44140625" style="72" customWidth="1"/>
    <col min="3836" max="3836" width="21.44140625" style="72" customWidth="1"/>
    <col min="3837" max="3837" width="18.33203125" style="72" customWidth="1"/>
    <col min="3838" max="3838" width="16.88671875" style="72" customWidth="1"/>
    <col min="3839" max="3839" width="18.109375" style="72" customWidth="1"/>
    <col min="3840" max="3840" width="17.109375" style="72" customWidth="1"/>
    <col min="3841" max="3841" width="20.44140625" style="72" customWidth="1"/>
    <col min="3842" max="3842" width="21.44140625" style="72" customWidth="1"/>
    <col min="3843" max="3843" width="16.33203125" style="72" customWidth="1"/>
    <col min="3844" max="3844" width="11.5546875" style="72" bestFit="1" customWidth="1"/>
    <col min="3845" max="3845" width="9.109375" style="72" customWidth="1"/>
    <col min="3846" max="4090" width="9.109375" style="72"/>
    <col min="4091" max="4091" width="8.44140625" style="72" customWidth="1"/>
    <col min="4092" max="4092" width="21.44140625" style="72" customWidth="1"/>
    <col min="4093" max="4093" width="18.33203125" style="72" customWidth="1"/>
    <col min="4094" max="4094" width="16.88671875" style="72" customWidth="1"/>
    <col min="4095" max="4095" width="18.109375" style="72" customWidth="1"/>
    <col min="4096" max="4096" width="17.109375" style="72" customWidth="1"/>
    <col min="4097" max="4097" width="20.44140625" style="72" customWidth="1"/>
    <col min="4098" max="4098" width="21.44140625" style="72" customWidth="1"/>
    <col min="4099" max="4099" width="16.33203125" style="72" customWidth="1"/>
    <col min="4100" max="4100" width="11.5546875" style="72" bestFit="1" customWidth="1"/>
    <col min="4101" max="4101" width="9.109375" style="72" customWidth="1"/>
    <col min="4102" max="4346" width="9.109375" style="72"/>
    <col min="4347" max="4347" width="8.44140625" style="72" customWidth="1"/>
    <col min="4348" max="4348" width="21.44140625" style="72" customWidth="1"/>
    <col min="4349" max="4349" width="18.33203125" style="72" customWidth="1"/>
    <col min="4350" max="4350" width="16.88671875" style="72" customWidth="1"/>
    <col min="4351" max="4351" width="18.109375" style="72" customWidth="1"/>
    <col min="4352" max="4352" width="17.109375" style="72" customWidth="1"/>
    <col min="4353" max="4353" width="20.44140625" style="72" customWidth="1"/>
    <col min="4354" max="4354" width="21.44140625" style="72" customWidth="1"/>
    <col min="4355" max="4355" width="16.33203125" style="72" customWidth="1"/>
    <col min="4356" max="4356" width="11.5546875" style="72" bestFit="1" customWidth="1"/>
    <col min="4357" max="4357" width="9.109375" style="72" customWidth="1"/>
    <col min="4358" max="4602" width="9.109375" style="72"/>
    <col min="4603" max="4603" width="8.44140625" style="72" customWidth="1"/>
    <col min="4604" max="4604" width="21.44140625" style="72" customWidth="1"/>
    <col min="4605" max="4605" width="18.33203125" style="72" customWidth="1"/>
    <col min="4606" max="4606" width="16.88671875" style="72" customWidth="1"/>
    <col min="4607" max="4607" width="18.109375" style="72" customWidth="1"/>
    <col min="4608" max="4608" width="17.109375" style="72" customWidth="1"/>
    <col min="4609" max="4609" width="20.44140625" style="72" customWidth="1"/>
    <col min="4610" max="4610" width="21.44140625" style="72" customWidth="1"/>
    <col min="4611" max="4611" width="16.33203125" style="72" customWidth="1"/>
    <col min="4612" max="4612" width="11.5546875" style="72" bestFit="1" customWidth="1"/>
    <col min="4613" max="4613" width="9.109375" style="72" customWidth="1"/>
    <col min="4614" max="4858" width="9.109375" style="72"/>
    <col min="4859" max="4859" width="8.44140625" style="72" customWidth="1"/>
    <col min="4860" max="4860" width="21.44140625" style="72" customWidth="1"/>
    <col min="4861" max="4861" width="18.33203125" style="72" customWidth="1"/>
    <col min="4862" max="4862" width="16.88671875" style="72" customWidth="1"/>
    <col min="4863" max="4863" width="18.109375" style="72" customWidth="1"/>
    <col min="4864" max="4864" width="17.109375" style="72" customWidth="1"/>
    <col min="4865" max="4865" width="20.44140625" style="72" customWidth="1"/>
    <col min="4866" max="4866" width="21.44140625" style="72" customWidth="1"/>
    <col min="4867" max="4867" width="16.33203125" style="72" customWidth="1"/>
    <col min="4868" max="4868" width="11.5546875" style="72" bestFit="1" customWidth="1"/>
    <col min="4869" max="4869" width="9.109375" style="72" customWidth="1"/>
    <col min="4870" max="5114" width="9.109375" style="72"/>
    <col min="5115" max="5115" width="8.44140625" style="72" customWidth="1"/>
    <col min="5116" max="5116" width="21.44140625" style="72" customWidth="1"/>
    <col min="5117" max="5117" width="18.33203125" style="72" customWidth="1"/>
    <col min="5118" max="5118" width="16.88671875" style="72" customWidth="1"/>
    <col min="5119" max="5119" width="18.109375" style="72" customWidth="1"/>
    <col min="5120" max="5120" width="17.109375" style="72" customWidth="1"/>
    <col min="5121" max="5121" width="20.44140625" style="72" customWidth="1"/>
    <col min="5122" max="5122" width="21.44140625" style="72" customWidth="1"/>
    <col min="5123" max="5123" width="16.33203125" style="72" customWidth="1"/>
    <col min="5124" max="5124" width="11.5546875" style="72" bestFit="1" customWidth="1"/>
    <col min="5125" max="5125" width="9.109375" style="72" customWidth="1"/>
    <col min="5126" max="5370" width="9.109375" style="72"/>
    <col min="5371" max="5371" width="8.44140625" style="72" customWidth="1"/>
    <col min="5372" max="5372" width="21.44140625" style="72" customWidth="1"/>
    <col min="5373" max="5373" width="18.33203125" style="72" customWidth="1"/>
    <col min="5374" max="5374" width="16.88671875" style="72" customWidth="1"/>
    <col min="5375" max="5375" width="18.109375" style="72" customWidth="1"/>
    <col min="5376" max="5376" width="17.109375" style="72" customWidth="1"/>
    <col min="5377" max="5377" width="20.44140625" style="72" customWidth="1"/>
    <col min="5378" max="5378" width="21.44140625" style="72" customWidth="1"/>
    <col min="5379" max="5379" width="16.33203125" style="72" customWidth="1"/>
    <col min="5380" max="5380" width="11.5546875" style="72" bestFit="1" customWidth="1"/>
    <col min="5381" max="5381" width="9.109375" style="72" customWidth="1"/>
    <col min="5382" max="5626" width="9.109375" style="72"/>
    <col min="5627" max="5627" width="8.44140625" style="72" customWidth="1"/>
    <col min="5628" max="5628" width="21.44140625" style="72" customWidth="1"/>
    <col min="5629" max="5629" width="18.33203125" style="72" customWidth="1"/>
    <col min="5630" max="5630" width="16.88671875" style="72" customWidth="1"/>
    <col min="5631" max="5631" width="18.109375" style="72" customWidth="1"/>
    <col min="5632" max="5632" width="17.109375" style="72" customWidth="1"/>
    <col min="5633" max="5633" width="20.44140625" style="72" customWidth="1"/>
    <col min="5634" max="5634" width="21.44140625" style="72" customWidth="1"/>
    <col min="5635" max="5635" width="16.33203125" style="72" customWidth="1"/>
    <col min="5636" max="5636" width="11.5546875" style="72" bestFit="1" customWidth="1"/>
    <col min="5637" max="5637" width="9.109375" style="72" customWidth="1"/>
    <col min="5638" max="5882" width="9.109375" style="72"/>
    <col min="5883" max="5883" width="8.44140625" style="72" customWidth="1"/>
    <col min="5884" max="5884" width="21.44140625" style="72" customWidth="1"/>
    <col min="5885" max="5885" width="18.33203125" style="72" customWidth="1"/>
    <col min="5886" max="5886" width="16.88671875" style="72" customWidth="1"/>
    <col min="5887" max="5887" width="18.109375" style="72" customWidth="1"/>
    <col min="5888" max="5888" width="17.109375" style="72" customWidth="1"/>
    <col min="5889" max="5889" width="20.44140625" style="72" customWidth="1"/>
    <col min="5890" max="5890" width="21.44140625" style="72" customWidth="1"/>
    <col min="5891" max="5891" width="16.33203125" style="72" customWidth="1"/>
    <col min="5892" max="5892" width="11.5546875" style="72" bestFit="1" customWidth="1"/>
    <col min="5893" max="5893" width="9.109375" style="72" customWidth="1"/>
    <col min="5894" max="6138" width="9.109375" style="72"/>
    <col min="6139" max="6139" width="8.44140625" style="72" customWidth="1"/>
    <col min="6140" max="6140" width="21.44140625" style="72" customWidth="1"/>
    <col min="6141" max="6141" width="18.33203125" style="72" customWidth="1"/>
    <col min="6142" max="6142" width="16.88671875" style="72" customWidth="1"/>
    <col min="6143" max="6143" width="18.109375" style="72" customWidth="1"/>
    <col min="6144" max="6144" width="17.109375" style="72" customWidth="1"/>
    <col min="6145" max="6145" width="20.44140625" style="72" customWidth="1"/>
    <col min="6146" max="6146" width="21.44140625" style="72" customWidth="1"/>
    <col min="6147" max="6147" width="16.33203125" style="72" customWidth="1"/>
    <col min="6148" max="6148" width="11.5546875" style="72" bestFit="1" customWidth="1"/>
    <col min="6149" max="6149" width="9.109375" style="72" customWidth="1"/>
    <col min="6150" max="6394" width="9.109375" style="72"/>
    <col min="6395" max="6395" width="8.44140625" style="72" customWidth="1"/>
    <col min="6396" max="6396" width="21.44140625" style="72" customWidth="1"/>
    <col min="6397" max="6397" width="18.33203125" style="72" customWidth="1"/>
    <col min="6398" max="6398" width="16.88671875" style="72" customWidth="1"/>
    <col min="6399" max="6399" width="18.109375" style="72" customWidth="1"/>
    <col min="6400" max="6400" width="17.109375" style="72" customWidth="1"/>
    <col min="6401" max="6401" width="20.44140625" style="72" customWidth="1"/>
    <col min="6402" max="6402" width="21.44140625" style="72" customWidth="1"/>
    <col min="6403" max="6403" width="16.33203125" style="72" customWidth="1"/>
    <col min="6404" max="6404" width="11.5546875" style="72" bestFit="1" customWidth="1"/>
    <col min="6405" max="6405" width="9.109375" style="72" customWidth="1"/>
    <col min="6406" max="6650" width="9.109375" style="72"/>
    <col min="6651" max="6651" width="8.44140625" style="72" customWidth="1"/>
    <col min="6652" max="6652" width="21.44140625" style="72" customWidth="1"/>
    <col min="6653" max="6653" width="18.33203125" style="72" customWidth="1"/>
    <col min="6654" max="6654" width="16.88671875" style="72" customWidth="1"/>
    <col min="6655" max="6655" width="18.109375" style="72" customWidth="1"/>
    <col min="6656" max="6656" width="17.109375" style="72" customWidth="1"/>
    <col min="6657" max="6657" width="20.44140625" style="72" customWidth="1"/>
    <col min="6658" max="6658" width="21.44140625" style="72" customWidth="1"/>
    <col min="6659" max="6659" width="16.33203125" style="72" customWidth="1"/>
    <col min="6660" max="6660" width="11.5546875" style="72" bestFit="1" customWidth="1"/>
    <col min="6661" max="6661" width="9.109375" style="72" customWidth="1"/>
    <col min="6662" max="6906" width="9.109375" style="72"/>
    <col min="6907" max="6907" width="8.44140625" style="72" customWidth="1"/>
    <col min="6908" max="6908" width="21.44140625" style="72" customWidth="1"/>
    <col min="6909" max="6909" width="18.33203125" style="72" customWidth="1"/>
    <col min="6910" max="6910" width="16.88671875" style="72" customWidth="1"/>
    <col min="6911" max="6911" width="18.109375" style="72" customWidth="1"/>
    <col min="6912" max="6912" width="17.109375" style="72" customWidth="1"/>
    <col min="6913" max="6913" width="20.44140625" style="72" customWidth="1"/>
    <col min="6914" max="6914" width="21.44140625" style="72" customWidth="1"/>
    <col min="6915" max="6915" width="16.33203125" style="72" customWidth="1"/>
    <col min="6916" max="6916" width="11.5546875" style="72" bestFit="1" customWidth="1"/>
    <col min="6917" max="6917" width="9.109375" style="72" customWidth="1"/>
    <col min="6918" max="7162" width="9.109375" style="72"/>
    <col min="7163" max="7163" width="8.44140625" style="72" customWidth="1"/>
    <col min="7164" max="7164" width="21.44140625" style="72" customWidth="1"/>
    <col min="7165" max="7165" width="18.33203125" style="72" customWidth="1"/>
    <col min="7166" max="7166" width="16.88671875" style="72" customWidth="1"/>
    <col min="7167" max="7167" width="18.109375" style="72" customWidth="1"/>
    <col min="7168" max="7168" width="17.109375" style="72" customWidth="1"/>
    <col min="7169" max="7169" width="20.44140625" style="72" customWidth="1"/>
    <col min="7170" max="7170" width="21.44140625" style="72" customWidth="1"/>
    <col min="7171" max="7171" width="16.33203125" style="72" customWidth="1"/>
    <col min="7172" max="7172" width="11.5546875" style="72" bestFit="1" customWidth="1"/>
    <col min="7173" max="7173" width="9.109375" style="72" customWidth="1"/>
    <col min="7174" max="7418" width="9.109375" style="72"/>
    <col min="7419" max="7419" width="8.44140625" style="72" customWidth="1"/>
    <col min="7420" max="7420" width="21.44140625" style="72" customWidth="1"/>
    <col min="7421" max="7421" width="18.33203125" style="72" customWidth="1"/>
    <col min="7422" max="7422" width="16.88671875" style="72" customWidth="1"/>
    <col min="7423" max="7423" width="18.109375" style="72" customWidth="1"/>
    <col min="7424" max="7424" width="17.109375" style="72" customWidth="1"/>
    <col min="7425" max="7425" width="20.44140625" style="72" customWidth="1"/>
    <col min="7426" max="7426" width="21.44140625" style="72" customWidth="1"/>
    <col min="7427" max="7427" width="16.33203125" style="72" customWidth="1"/>
    <col min="7428" max="7428" width="11.5546875" style="72" bestFit="1" customWidth="1"/>
    <col min="7429" max="7429" width="9.109375" style="72" customWidth="1"/>
    <col min="7430" max="7674" width="9.109375" style="72"/>
    <col min="7675" max="7675" width="8.44140625" style="72" customWidth="1"/>
    <col min="7676" max="7676" width="21.44140625" style="72" customWidth="1"/>
    <col min="7677" max="7677" width="18.33203125" style="72" customWidth="1"/>
    <col min="7678" max="7678" width="16.88671875" style="72" customWidth="1"/>
    <col min="7679" max="7679" width="18.109375" style="72" customWidth="1"/>
    <col min="7680" max="7680" width="17.109375" style="72" customWidth="1"/>
    <col min="7681" max="7681" width="20.44140625" style="72" customWidth="1"/>
    <col min="7682" max="7682" width="21.44140625" style="72" customWidth="1"/>
    <col min="7683" max="7683" width="16.33203125" style="72" customWidth="1"/>
    <col min="7684" max="7684" width="11.5546875" style="72" bestFit="1" customWidth="1"/>
    <col min="7685" max="7685" width="9.109375" style="72" customWidth="1"/>
    <col min="7686" max="7930" width="9.109375" style="72"/>
    <col min="7931" max="7931" width="8.44140625" style="72" customWidth="1"/>
    <col min="7932" max="7932" width="21.44140625" style="72" customWidth="1"/>
    <col min="7933" max="7933" width="18.33203125" style="72" customWidth="1"/>
    <col min="7934" max="7934" width="16.88671875" style="72" customWidth="1"/>
    <col min="7935" max="7935" width="18.109375" style="72" customWidth="1"/>
    <col min="7936" max="7936" width="17.109375" style="72" customWidth="1"/>
    <col min="7937" max="7937" width="20.44140625" style="72" customWidth="1"/>
    <col min="7938" max="7938" width="21.44140625" style="72" customWidth="1"/>
    <col min="7939" max="7939" width="16.33203125" style="72" customWidth="1"/>
    <col min="7940" max="7940" width="11.5546875" style="72" bestFit="1" customWidth="1"/>
    <col min="7941" max="7941" width="9.109375" style="72" customWidth="1"/>
    <col min="7942" max="8186" width="9.109375" style="72"/>
    <col min="8187" max="8187" width="8.44140625" style="72" customWidth="1"/>
    <col min="8188" max="8188" width="21.44140625" style="72" customWidth="1"/>
    <col min="8189" max="8189" width="18.33203125" style="72" customWidth="1"/>
    <col min="8190" max="8190" width="16.88671875" style="72" customWidth="1"/>
    <col min="8191" max="8191" width="18.109375" style="72" customWidth="1"/>
    <col min="8192" max="8192" width="17.109375" style="72" customWidth="1"/>
    <col min="8193" max="8193" width="20.44140625" style="72" customWidth="1"/>
    <col min="8194" max="8194" width="21.44140625" style="72" customWidth="1"/>
    <col min="8195" max="8195" width="16.33203125" style="72" customWidth="1"/>
    <col min="8196" max="8196" width="11.5546875" style="72" bestFit="1" customWidth="1"/>
    <col min="8197" max="8197" width="9.109375" style="72" customWidth="1"/>
    <col min="8198" max="8442" width="9.109375" style="72"/>
    <col min="8443" max="8443" width="8.44140625" style="72" customWidth="1"/>
    <col min="8444" max="8444" width="21.44140625" style="72" customWidth="1"/>
    <col min="8445" max="8445" width="18.33203125" style="72" customWidth="1"/>
    <col min="8446" max="8446" width="16.88671875" style="72" customWidth="1"/>
    <col min="8447" max="8447" width="18.109375" style="72" customWidth="1"/>
    <col min="8448" max="8448" width="17.109375" style="72" customWidth="1"/>
    <col min="8449" max="8449" width="20.44140625" style="72" customWidth="1"/>
    <col min="8450" max="8450" width="21.44140625" style="72" customWidth="1"/>
    <col min="8451" max="8451" width="16.33203125" style="72" customWidth="1"/>
    <col min="8452" max="8452" width="11.5546875" style="72" bestFit="1" customWidth="1"/>
    <col min="8453" max="8453" width="9.109375" style="72" customWidth="1"/>
    <col min="8454" max="8698" width="9.109375" style="72"/>
    <col min="8699" max="8699" width="8.44140625" style="72" customWidth="1"/>
    <col min="8700" max="8700" width="21.44140625" style="72" customWidth="1"/>
    <col min="8701" max="8701" width="18.33203125" style="72" customWidth="1"/>
    <col min="8702" max="8702" width="16.88671875" style="72" customWidth="1"/>
    <col min="8703" max="8703" width="18.109375" style="72" customWidth="1"/>
    <col min="8704" max="8704" width="17.109375" style="72" customWidth="1"/>
    <col min="8705" max="8705" width="20.44140625" style="72" customWidth="1"/>
    <col min="8706" max="8706" width="21.44140625" style="72" customWidth="1"/>
    <col min="8707" max="8707" width="16.33203125" style="72" customWidth="1"/>
    <col min="8708" max="8708" width="11.5546875" style="72" bestFit="1" customWidth="1"/>
    <col min="8709" max="8709" width="9.109375" style="72" customWidth="1"/>
    <col min="8710" max="8954" width="9.109375" style="72"/>
    <col min="8955" max="8955" width="8.44140625" style="72" customWidth="1"/>
    <col min="8956" max="8956" width="21.44140625" style="72" customWidth="1"/>
    <col min="8957" max="8957" width="18.33203125" style="72" customWidth="1"/>
    <col min="8958" max="8958" width="16.88671875" style="72" customWidth="1"/>
    <col min="8959" max="8959" width="18.109375" style="72" customWidth="1"/>
    <col min="8960" max="8960" width="17.109375" style="72" customWidth="1"/>
    <col min="8961" max="8961" width="20.44140625" style="72" customWidth="1"/>
    <col min="8962" max="8962" width="21.44140625" style="72" customWidth="1"/>
    <col min="8963" max="8963" width="16.33203125" style="72" customWidth="1"/>
    <col min="8964" max="8964" width="11.5546875" style="72" bestFit="1" customWidth="1"/>
    <col min="8965" max="8965" width="9.109375" style="72" customWidth="1"/>
    <col min="8966" max="9210" width="9.109375" style="72"/>
    <col min="9211" max="9211" width="8.44140625" style="72" customWidth="1"/>
    <col min="9212" max="9212" width="21.44140625" style="72" customWidth="1"/>
    <col min="9213" max="9213" width="18.33203125" style="72" customWidth="1"/>
    <col min="9214" max="9214" width="16.88671875" style="72" customWidth="1"/>
    <col min="9215" max="9215" width="18.109375" style="72" customWidth="1"/>
    <col min="9216" max="9216" width="17.109375" style="72" customWidth="1"/>
    <col min="9217" max="9217" width="20.44140625" style="72" customWidth="1"/>
    <col min="9218" max="9218" width="21.44140625" style="72" customWidth="1"/>
    <col min="9219" max="9219" width="16.33203125" style="72" customWidth="1"/>
    <col min="9220" max="9220" width="11.5546875" style="72" bestFit="1" customWidth="1"/>
    <col min="9221" max="9221" width="9.109375" style="72" customWidth="1"/>
    <col min="9222" max="9466" width="9.109375" style="72"/>
    <col min="9467" max="9467" width="8.44140625" style="72" customWidth="1"/>
    <col min="9468" max="9468" width="21.44140625" style="72" customWidth="1"/>
    <col min="9469" max="9469" width="18.33203125" style="72" customWidth="1"/>
    <col min="9470" max="9470" width="16.88671875" style="72" customWidth="1"/>
    <col min="9471" max="9471" width="18.109375" style="72" customWidth="1"/>
    <col min="9472" max="9472" width="17.109375" style="72" customWidth="1"/>
    <col min="9473" max="9473" width="20.44140625" style="72" customWidth="1"/>
    <col min="9474" max="9474" width="21.44140625" style="72" customWidth="1"/>
    <col min="9475" max="9475" width="16.33203125" style="72" customWidth="1"/>
    <col min="9476" max="9476" width="11.5546875" style="72" bestFit="1" customWidth="1"/>
    <col min="9477" max="9477" width="9.109375" style="72" customWidth="1"/>
    <col min="9478" max="9722" width="9.109375" style="72"/>
    <col min="9723" max="9723" width="8.44140625" style="72" customWidth="1"/>
    <col min="9724" max="9724" width="21.44140625" style="72" customWidth="1"/>
    <col min="9725" max="9725" width="18.33203125" style="72" customWidth="1"/>
    <col min="9726" max="9726" width="16.88671875" style="72" customWidth="1"/>
    <col min="9727" max="9727" width="18.109375" style="72" customWidth="1"/>
    <col min="9728" max="9728" width="17.109375" style="72" customWidth="1"/>
    <col min="9729" max="9729" width="20.44140625" style="72" customWidth="1"/>
    <col min="9730" max="9730" width="21.44140625" style="72" customWidth="1"/>
    <col min="9731" max="9731" width="16.33203125" style="72" customWidth="1"/>
    <col min="9732" max="9732" width="11.5546875" style="72" bestFit="1" customWidth="1"/>
    <col min="9733" max="9733" width="9.109375" style="72" customWidth="1"/>
    <col min="9734" max="9978" width="9.109375" style="72"/>
    <col min="9979" max="9979" width="8.44140625" style="72" customWidth="1"/>
    <col min="9980" max="9980" width="21.44140625" style="72" customWidth="1"/>
    <col min="9981" max="9981" width="18.33203125" style="72" customWidth="1"/>
    <col min="9982" max="9982" width="16.88671875" style="72" customWidth="1"/>
    <col min="9983" max="9983" width="18.109375" style="72" customWidth="1"/>
    <col min="9984" max="9984" width="17.109375" style="72" customWidth="1"/>
    <col min="9985" max="9985" width="20.44140625" style="72" customWidth="1"/>
    <col min="9986" max="9986" width="21.44140625" style="72" customWidth="1"/>
    <col min="9987" max="9987" width="16.33203125" style="72" customWidth="1"/>
    <col min="9988" max="9988" width="11.5546875" style="72" bestFit="1" customWidth="1"/>
    <col min="9989" max="9989" width="9.109375" style="72" customWidth="1"/>
    <col min="9990" max="10234" width="9.109375" style="72"/>
    <col min="10235" max="10235" width="8.44140625" style="72" customWidth="1"/>
    <col min="10236" max="10236" width="21.44140625" style="72" customWidth="1"/>
    <col min="10237" max="10237" width="18.33203125" style="72" customWidth="1"/>
    <col min="10238" max="10238" width="16.88671875" style="72" customWidth="1"/>
    <col min="10239" max="10239" width="18.109375" style="72" customWidth="1"/>
    <col min="10240" max="10240" width="17.109375" style="72" customWidth="1"/>
    <col min="10241" max="10241" width="20.44140625" style="72" customWidth="1"/>
    <col min="10242" max="10242" width="21.44140625" style="72" customWidth="1"/>
    <col min="10243" max="10243" width="16.33203125" style="72" customWidth="1"/>
    <col min="10244" max="10244" width="11.5546875" style="72" bestFit="1" customWidth="1"/>
    <col min="10245" max="10245" width="9.109375" style="72" customWidth="1"/>
    <col min="10246" max="10490" width="9.109375" style="72"/>
    <col min="10491" max="10491" width="8.44140625" style="72" customWidth="1"/>
    <col min="10492" max="10492" width="21.44140625" style="72" customWidth="1"/>
    <col min="10493" max="10493" width="18.33203125" style="72" customWidth="1"/>
    <col min="10494" max="10494" width="16.88671875" style="72" customWidth="1"/>
    <col min="10495" max="10495" width="18.109375" style="72" customWidth="1"/>
    <col min="10496" max="10496" width="17.109375" style="72" customWidth="1"/>
    <col min="10497" max="10497" width="20.44140625" style="72" customWidth="1"/>
    <col min="10498" max="10498" width="21.44140625" style="72" customWidth="1"/>
    <col min="10499" max="10499" width="16.33203125" style="72" customWidth="1"/>
    <col min="10500" max="10500" width="11.5546875" style="72" bestFit="1" customWidth="1"/>
    <col min="10501" max="10501" width="9.109375" style="72" customWidth="1"/>
    <col min="10502" max="10746" width="9.109375" style="72"/>
    <col min="10747" max="10747" width="8.44140625" style="72" customWidth="1"/>
    <col min="10748" max="10748" width="21.44140625" style="72" customWidth="1"/>
    <col min="10749" max="10749" width="18.33203125" style="72" customWidth="1"/>
    <col min="10750" max="10750" width="16.88671875" style="72" customWidth="1"/>
    <col min="10751" max="10751" width="18.109375" style="72" customWidth="1"/>
    <col min="10752" max="10752" width="17.109375" style="72" customWidth="1"/>
    <col min="10753" max="10753" width="20.44140625" style="72" customWidth="1"/>
    <col min="10754" max="10754" width="21.44140625" style="72" customWidth="1"/>
    <col min="10755" max="10755" width="16.33203125" style="72" customWidth="1"/>
    <col min="10756" max="10756" width="11.5546875" style="72" bestFit="1" customWidth="1"/>
    <col min="10757" max="10757" width="9.109375" style="72" customWidth="1"/>
    <col min="10758" max="11002" width="9.109375" style="72"/>
    <col min="11003" max="11003" width="8.44140625" style="72" customWidth="1"/>
    <col min="11004" max="11004" width="21.44140625" style="72" customWidth="1"/>
    <col min="11005" max="11005" width="18.33203125" style="72" customWidth="1"/>
    <col min="11006" max="11006" width="16.88671875" style="72" customWidth="1"/>
    <col min="11007" max="11007" width="18.109375" style="72" customWidth="1"/>
    <col min="11008" max="11008" width="17.109375" style="72" customWidth="1"/>
    <col min="11009" max="11009" width="20.44140625" style="72" customWidth="1"/>
    <col min="11010" max="11010" width="21.44140625" style="72" customWidth="1"/>
    <col min="11011" max="11011" width="16.33203125" style="72" customWidth="1"/>
    <col min="11012" max="11012" width="11.5546875" style="72" bestFit="1" customWidth="1"/>
    <col min="11013" max="11013" width="9.109375" style="72" customWidth="1"/>
    <col min="11014" max="11258" width="9.109375" style="72"/>
    <col min="11259" max="11259" width="8.44140625" style="72" customWidth="1"/>
    <col min="11260" max="11260" width="21.44140625" style="72" customWidth="1"/>
    <col min="11261" max="11261" width="18.33203125" style="72" customWidth="1"/>
    <col min="11262" max="11262" width="16.88671875" style="72" customWidth="1"/>
    <col min="11263" max="11263" width="18.109375" style="72" customWidth="1"/>
    <col min="11264" max="11264" width="17.109375" style="72" customWidth="1"/>
    <col min="11265" max="11265" width="20.44140625" style="72" customWidth="1"/>
    <col min="11266" max="11266" width="21.44140625" style="72" customWidth="1"/>
    <col min="11267" max="11267" width="16.33203125" style="72" customWidth="1"/>
    <col min="11268" max="11268" width="11.5546875" style="72" bestFit="1" customWidth="1"/>
    <col min="11269" max="11269" width="9.109375" style="72" customWidth="1"/>
    <col min="11270" max="11514" width="9.109375" style="72"/>
    <col min="11515" max="11515" width="8.44140625" style="72" customWidth="1"/>
    <col min="11516" max="11516" width="21.44140625" style="72" customWidth="1"/>
    <col min="11517" max="11517" width="18.33203125" style="72" customWidth="1"/>
    <col min="11518" max="11518" width="16.88671875" style="72" customWidth="1"/>
    <col min="11519" max="11519" width="18.109375" style="72" customWidth="1"/>
    <col min="11520" max="11520" width="17.109375" style="72" customWidth="1"/>
    <col min="11521" max="11521" width="20.44140625" style="72" customWidth="1"/>
    <col min="11522" max="11522" width="21.44140625" style="72" customWidth="1"/>
    <col min="11523" max="11523" width="16.33203125" style="72" customWidth="1"/>
    <col min="11524" max="11524" width="11.5546875" style="72" bestFit="1" customWidth="1"/>
    <col min="11525" max="11525" width="9.109375" style="72" customWidth="1"/>
    <col min="11526" max="11770" width="9.109375" style="72"/>
    <col min="11771" max="11771" width="8.44140625" style="72" customWidth="1"/>
    <col min="11772" max="11772" width="21.44140625" style="72" customWidth="1"/>
    <col min="11773" max="11773" width="18.33203125" style="72" customWidth="1"/>
    <col min="11774" max="11774" width="16.88671875" style="72" customWidth="1"/>
    <col min="11775" max="11775" width="18.109375" style="72" customWidth="1"/>
    <col min="11776" max="11776" width="17.109375" style="72" customWidth="1"/>
    <col min="11777" max="11777" width="20.44140625" style="72" customWidth="1"/>
    <col min="11778" max="11778" width="21.44140625" style="72" customWidth="1"/>
    <col min="11779" max="11779" width="16.33203125" style="72" customWidth="1"/>
    <col min="11780" max="11780" width="11.5546875" style="72" bestFit="1" customWidth="1"/>
    <col min="11781" max="11781" width="9.109375" style="72" customWidth="1"/>
    <col min="11782" max="12026" width="9.109375" style="72"/>
    <col min="12027" max="12027" width="8.44140625" style="72" customWidth="1"/>
    <col min="12028" max="12028" width="21.44140625" style="72" customWidth="1"/>
    <col min="12029" max="12029" width="18.33203125" style="72" customWidth="1"/>
    <col min="12030" max="12030" width="16.88671875" style="72" customWidth="1"/>
    <col min="12031" max="12031" width="18.109375" style="72" customWidth="1"/>
    <col min="12032" max="12032" width="17.109375" style="72" customWidth="1"/>
    <col min="12033" max="12033" width="20.44140625" style="72" customWidth="1"/>
    <col min="12034" max="12034" width="21.44140625" style="72" customWidth="1"/>
    <col min="12035" max="12035" width="16.33203125" style="72" customWidth="1"/>
    <col min="12036" max="12036" width="11.5546875" style="72" bestFit="1" customWidth="1"/>
    <col min="12037" max="12037" width="9.109375" style="72" customWidth="1"/>
    <col min="12038" max="12282" width="9.109375" style="72"/>
    <col min="12283" max="12283" width="8.44140625" style="72" customWidth="1"/>
    <col min="12284" max="12284" width="21.44140625" style="72" customWidth="1"/>
    <col min="12285" max="12285" width="18.33203125" style="72" customWidth="1"/>
    <col min="12286" max="12286" width="16.88671875" style="72" customWidth="1"/>
    <col min="12287" max="12287" width="18.109375" style="72" customWidth="1"/>
    <col min="12288" max="12288" width="17.109375" style="72" customWidth="1"/>
    <col min="12289" max="12289" width="20.44140625" style="72" customWidth="1"/>
    <col min="12290" max="12290" width="21.44140625" style="72" customWidth="1"/>
    <col min="12291" max="12291" width="16.33203125" style="72" customWidth="1"/>
    <col min="12292" max="12292" width="11.5546875" style="72" bestFit="1" customWidth="1"/>
    <col min="12293" max="12293" width="9.109375" style="72" customWidth="1"/>
    <col min="12294" max="12538" width="9.109375" style="72"/>
    <col min="12539" max="12539" width="8.44140625" style="72" customWidth="1"/>
    <col min="12540" max="12540" width="21.44140625" style="72" customWidth="1"/>
    <col min="12541" max="12541" width="18.33203125" style="72" customWidth="1"/>
    <col min="12542" max="12542" width="16.88671875" style="72" customWidth="1"/>
    <col min="12543" max="12543" width="18.109375" style="72" customWidth="1"/>
    <col min="12544" max="12544" width="17.109375" style="72" customWidth="1"/>
    <col min="12545" max="12545" width="20.44140625" style="72" customWidth="1"/>
    <col min="12546" max="12546" width="21.44140625" style="72" customWidth="1"/>
    <col min="12547" max="12547" width="16.33203125" style="72" customWidth="1"/>
    <col min="12548" max="12548" width="11.5546875" style="72" bestFit="1" customWidth="1"/>
    <col min="12549" max="12549" width="9.109375" style="72" customWidth="1"/>
    <col min="12550" max="12794" width="9.109375" style="72"/>
    <col min="12795" max="12795" width="8.44140625" style="72" customWidth="1"/>
    <col min="12796" max="12796" width="21.44140625" style="72" customWidth="1"/>
    <col min="12797" max="12797" width="18.33203125" style="72" customWidth="1"/>
    <col min="12798" max="12798" width="16.88671875" style="72" customWidth="1"/>
    <col min="12799" max="12799" width="18.109375" style="72" customWidth="1"/>
    <col min="12800" max="12800" width="17.109375" style="72" customWidth="1"/>
    <col min="12801" max="12801" width="20.44140625" style="72" customWidth="1"/>
    <col min="12802" max="12802" width="21.44140625" style="72" customWidth="1"/>
    <col min="12803" max="12803" width="16.33203125" style="72" customWidth="1"/>
    <col min="12804" max="12804" width="11.5546875" style="72" bestFit="1" customWidth="1"/>
    <col min="12805" max="12805" width="9.109375" style="72" customWidth="1"/>
    <col min="12806" max="13050" width="9.109375" style="72"/>
    <col min="13051" max="13051" width="8.44140625" style="72" customWidth="1"/>
    <col min="13052" max="13052" width="21.44140625" style="72" customWidth="1"/>
    <col min="13053" max="13053" width="18.33203125" style="72" customWidth="1"/>
    <col min="13054" max="13054" width="16.88671875" style="72" customWidth="1"/>
    <col min="13055" max="13055" width="18.109375" style="72" customWidth="1"/>
    <col min="13056" max="13056" width="17.109375" style="72" customWidth="1"/>
    <col min="13057" max="13057" width="20.44140625" style="72" customWidth="1"/>
    <col min="13058" max="13058" width="21.44140625" style="72" customWidth="1"/>
    <col min="13059" max="13059" width="16.33203125" style="72" customWidth="1"/>
    <col min="13060" max="13060" width="11.5546875" style="72" bestFit="1" customWidth="1"/>
    <col min="13061" max="13061" width="9.109375" style="72" customWidth="1"/>
    <col min="13062" max="13306" width="9.109375" style="72"/>
    <col min="13307" max="13307" width="8.44140625" style="72" customWidth="1"/>
    <col min="13308" max="13308" width="21.44140625" style="72" customWidth="1"/>
    <col min="13309" max="13309" width="18.33203125" style="72" customWidth="1"/>
    <col min="13310" max="13310" width="16.88671875" style="72" customWidth="1"/>
    <col min="13311" max="13311" width="18.109375" style="72" customWidth="1"/>
    <col min="13312" max="13312" width="17.109375" style="72" customWidth="1"/>
    <col min="13313" max="13313" width="20.44140625" style="72" customWidth="1"/>
    <col min="13314" max="13314" width="21.44140625" style="72" customWidth="1"/>
    <col min="13315" max="13315" width="16.33203125" style="72" customWidth="1"/>
    <col min="13316" max="13316" width="11.5546875" style="72" bestFit="1" customWidth="1"/>
    <col min="13317" max="13317" width="9.109375" style="72" customWidth="1"/>
    <col min="13318" max="13562" width="9.109375" style="72"/>
    <col min="13563" max="13563" width="8.44140625" style="72" customWidth="1"/>
    <col min="13564" max="13564" width="21.44140625" style="72" customWidth="1"/>
    <col min="13565" max="13565" width="18.33203125" style="72" customWidth="1"/>
    <col min="13566" max="13566" width="16.88671875" style="72" customWidth="1"/>
    <col min="13567" max="13567" width="18.109375" style="72" customWidth="1"/>
    <col min="13568" max="13568" width="17.109375" style="72" customWidth="1"/>
    <col min="13569" max="13569" width="20.44140625" style="72" customWidth="1"/>
    <col min="13570" max="13570" width="21.44140625" style="72" customWidth="1"/>
    <col min="13571" max="13571" width="16.33203125" style="72" customWidth="1"/>
    <col min="13572" max="13572" width="11.5546875" style="72" bestFit="1" customWidth="1"/>
    <col min="13573" max="13573" width="9.109375" style="72" customWidth="1"/>
    <col min="13574" max="13818" width="9.109375" style="72"/>
    <col min="13819" max="13819" width="8.44140625" style="72" customWidth="1"/>
    <col min="13820" max="13820" width="21.44140625" style="72" customWidth="1"/>
    <col min="13821" max="13821" width="18.33203125" style="72" customWidth="1"/>
    <col min="13822" max="13822" width="16.88671875" style="72" customWidth="1"/>
    <col min="13823" max="13823" width="18.109375" style="72" customWidth="1"/>
    <col min="13824" max="13824" width="17.109375" style="72" customWidth="1"/>
    <col min="13825" max="13825" width="20.44140625" style="72" customWidth="1"/>
    <col min="13826" max="13826" width="21.44140625" style="72" customWidth="1"/>
    <col min="13827" max="13827" width="16.33203125" style="72" customWidth="1"/>
    <col min="13828" max="13828" width="11.5546875" style="72" bestFit="1" customWidth="1"/>
    <col min="13829" max="13829" width="9.109375" style="72" customWidth="1"/>
    <col min="13830" max="14074" width="9.109375" style="72"/>
    <col min="14075" max="14075" width="8.44140625" style="72" customWidth="1"/>
    <col min="14076" max="14076" width="21.44140625" style="72" customWidth="1"/>
    <col min="14077" max="14077" width="18.33203125" style="72" customWidth="1"/>
    <col min="14078" max="14078" width="16.88671875" style="72" customWidth="1"/>
    <col min="14079" max="14079" width="18.109375" style="72" customWidth="1"/>
    <col min="14080" max="14080" width="17.109375" style="72" customWidth="1"/>
    <col min="14081" max="14081" width="20.44140625" style="72" customWidth="1"/>
    <col min="14082" max="14082" width="21.44140625" style="72" customWidth="1"/>
    <col min="14083" max="14083" width="16.33203125" style="72" customWidth="1"/>
    <col min="14084" max="14084" width="11.5546875" style="72" bestFit="1" customWidth="1"/>
    <col min="14085" max="14085" width="9.109375" style="72" customWidth="1"/>
    <col min="14086" max="14330" width="9.109375" style="72"/>
    <col min="14331" max="14331" width="8.44140625" style="72" customWidth="1"/>
    <col min="14332" max="14332" width="21.44140625" style="72" customWidth="1"/>
    <col min="14333" max="14333" width="18.33203125" style="72" customWidth="1"/>
    <col min="14334" max="14334" width="16.88671875" style="72" customWidth="1"/>
    <col min="14335" max="14335" width="18.109375" style="72" customWidth="1"/>
    <col min="14336" max="14336" width="17.109375" style="72" customWidth="1"/>
    <col min="14337" max="14337" width="20.44140625" style="72" customWidth="1"/>
    <col min="14338" max="14338" width="21.44140625" style="72" customWidth="1"/>
    <col min="14339" max="14339" width="16.33203125" style="72" customWidth="1"/>
    <col min="14340" max="14340" width="11.5546875" style="72" bestFit="1" customWidth="1"/>
    <col min="14341" max="14341" width="9.109375" style="72" customWidth="1"/>
    <col min="14342" max="14586" width="9.109375" style="72"/>
    <col min="14587" max="14587" width="8.44140625" style="72" customWidth="1"/>
    <col min="14588" max="14588" width="21.44140625" style="72" customWidth="1"/>
    <col min="14589" max="14589" width="18.33203125" style="72" customWidth="1"/>
    <col min="14590" max="14590" width="16.88671875" style="72" customWidth="1"/>
    <col min="14591" max="14591" width="18.109375" style="72" customWidth="1"/>
    <col min="14592" max="14592" width="17.109375" style="72" customWidth="1"/>
    <col min="14593" max="14593" width="20.44140625" style="72" customWidth="1"/>
    <col min="14594" max="14594" width="21.44140625" style="72" customWidth="1"/>
    <col min="14595" max="14595" width="16.33203125" style="72" customWidth="1"/>
    <col min="14596" max="14596" width="11.5546875" style="72" bestFit="1" customWidth="1"/>
    <col min="14597" max="14597" width="9.109375" style="72" customWidth="1"/>
    <col min="14598" max="14842" width="9.109375" style="72"/>
    <col min="14843" max="14843" width="8.44140625" style="72" customWidth="1"/>
    <col min="14844" max="14844" width="21.44140625" style="72" customWidth="1"/>
    <col min="14845" max="14845" width="18.33203125" style="72" customWidth="1"/>
    <col min="14846" max="14846" width="16.88671875" style="72" customWidth="1"/>
    <col min="14847" max="14847" width="18.109375" style="72" customWidth="1"/>
    <col min="14848" max="14848" width="17.109375" style="72" customWidth="1"/>
    <col min="14849" max="14849" width="20.44140625" style="72" customWidth="1"/>
    <col min="14850" max="14850" width="21.44140625" style="72" customWidth="1"/>
    <col min="14851" max="14851" width="16.33203125" style="72" customWidth="1"/>
    <col min="14852" max="14852" width="11.5546875" style="72" bestFit="1" customWidth="1"/>
    <col min="14853" max="14853" width="9.109375" style="72" customWidth="1"/>
    <col min="14854" max="15098" width="9.109375" style="72"/>
    <col min="15099" max="15099" width="8.44140625" style="72" customWidth="1"/>
    <col min="15100" max="15100" width="21.44140625" style="72" customWidth="1"/>
    <col min="15101" max="15101" width="18.33203125" style="72" customWidth="1"/>
    <col min="15102" max="15102" width="16.88671875" style="72" customWidth="1"/>
    <col min="15103" max="15103" width="18.109375" style="72" customWidth="1"/>
    <col min="15104" max="15104" width="17.109375" style="72" customWidth="1"/>
    <col min="15105" max="15105" width="20.44140625" style="72" customWidth="1"/>
    <col min="15106" max="15106" width="21.44140625" style="72" customWidth="1"/>
    <col min="15107" max="15107" width="16.33203125" style="72" customWidth="1"/>
    <col min="15108" max="15108" width="11.5546875" style="72" bestFit="1" customWidth="1"/>
    <col min="15109" max="15109" width="9.109375" style="72" customWidth="1"/>
    <col min="15110" max="15354" width="9.109375" style="72"/>
    <col min="15355" max="15355" width="8.44140625" style="72" customWidth="1"/>
    <col min="15356" max="15356" width="21.44140625" style="72" customWidth="1"/>
    <col min="15357" max="15357" width="18.33203125" style="72" customWidth="1"/>
    <col min="15358" max="15358" width="16.88671875" style="72" customWidth="1"/>
    <col min="15359" max="15359" width="18.109375" style="72" customWidth="1"/>
    <col min="15360" max="15360" width="17.109375" style="72" customWidth="1"/>
    <col min="15361" max="15361" width="20.44140625" style="72" customWidth="1"/>
    <col min="15362" max="15362" width="21.44140625" style="72" customWidth="1"/>
    <col min="15363" max="15363" width="16.33203125" style="72" customWidth="1"/>
    <col min="15364" max="15364" width="11.5546875" style="72" bestFit="1" customWidth="1"/>
    <col min="15365" max="15365" width="9.109375" style="72" customWidth="1"/>
    <col min="15366" max="15610" width="9.109375" style="72"/>
    <col min="15611" max="15611" width="8.44140625" style="72" customWidth="1"/>
    <col min="15612" max="15612" width="21.44140625" style="72" customWidth="1"/>
    <col min="15613" max="15613" width="18.33203125" style="72" customWidth="1"/>
    <col min="15614" max="15614" width="16.88671875" style="72" customWidth="1"/>
    <col min="15615" max="15615" width="18.109375" style="72" customWidth="1"/>
    <col min="15616" max="15616" width="17.109375" style="72" customWidth="1"/>
    <col min="15617" max="15617" width="20.44140625" style="72" customWidth="1"/>
    <col min="15618" max="15618" width="21.44140625" style="72" customWidth="1"/>
    <col min="15619" max="15619" width="16.33203125" style="72" customWidth="1"/>
    <col min="15620" max="15620" width="11.5546875" style="72" bestFit="1" customWidth="1"/>
    <col min="15621" max="15621" width="9.109375" style="72" customWidth="1"/>
    <col min="15622" max="15866" width="9.109375" style="72"/>
    <col min="15867" max="15867" width="8.44140625" style="72" customWidth="1"/>
    <col min="15868" max="15868" width="21.44140625" style="72" customWidth="1"/>
    <col min="15869" max="15869" width="18.33203125" style="72" customWidth="1"/>
    <col min="15870" max="15870" width="16.88671875" style="72" customWidth="1"/>
    <col min="15871" max="15871" width="18.109375" style="72" customWidth="1"/>
    <col min="15872" max="15872" width="17.109375" style="72" customWidth="1"/>
    <col min="15873" max="15873" width="20.44140625" style="72" customWidth="1"/>
    <col min="15874" max="15874" width="21.44140625" style="72" customWidth="1"/>
    <col min="15875" max="15875" width="16.33203125" style="72" customWidth="1"/>
    <col min="15876" max="15876" width="11.5546875" style="72" bestFit="1" customWidth="1"/>
    <col min="15877" max="15877" width="9.109375" style="72" customWidth="1"/>
    <col min="15878" max="16122" width="9.109375" style="72"/>
    <col min="16123" max="16123" width="8.44140625" style="72" customWidth="1"/>
    <col min="16124" max="16124" width="21.44140625" style="72" customWidth="1"/>
    <col min="16125" max="16125" width="18.33203125" style="72" customWidth="1"/>
    <col min="16126" max="16126" width="16.88671875" style="72" customWidth="1"/>
    <col min="16127" max="16127" width="18.109375" style="72" customWidth="1"/>
    <col min="16128" max="16128" width="17.109375" style="72" customWidth="1"/>
    <col min="16129" max="16129" width="20.44140625" style="72" customWidth="1"/>
    <col min="16130" max="16130" width="21.44140625" style="72" customWidth="1"/>
    <col min="16131" max="16131" width="16.33203125" style="72" customWidth="1"/>
    <col min="16132" max="16132" width="11.5546875" style="72" bestFit="1" customWidth="1"/>
    <col min="16133" max="16133" width="9.109375" style="72" customWidth="1"/>
    <col min="16134" max="16384" width="9.109375" style="72"/>
  </cols>
  <sheetData>
    <row r="2" spans="2:7" ht="15.6" thickBot="1"/>
    <row r="3" spans="2:7" s="1" customFormat="1" ht="15" customHeight="1" thickBot="1">
      <c r="B3" s="734" t="s">
        <v>1</v>
      </c>
      <c r="C3" s="734"/>
      <c r="D3" s="734"/>
      <c r="E3" s="735"/>
      <c r="F3" s="704">
        <v>44865</v>
      </c>
      <c r="G3" s="705"/>
    </row>
    <row r="4" spans="2:7" s="1" customFormat="1" ht="15" customHeight="1" thickBot="1">
      <c r="C4" s="4"/>
      <c r="F4" s="285"/>
      <c r="G4" s="285"/>
    </row>
    <row r="5" spans="2:7" ht="15.6" thickBot="1">
      <c r="C5" s="708" t="s">
        <v>0</v>
      </c>
      <c r="D5" s="708"/>
      <c r="E5" s="709"/>
      <c r="F5" s="706"/>
      <c r="G5" s="707"/>
    </row>
    <row r="6" spans="2:7" ht="15.6" thickBot="1">
      <c r="C6" s="286"/>
      <c r="D6" s="286"/>
      <c r="E6" s="286"/>
      <c r="F6" s="287"/>
      <c r="G6" s="287"/>
    </row>
    <row r="7" spans="2:7" ht="15.75" customHeight="1">
      <c r="B7" s="736" t="s">
        <v>666</v>
      </c>
      <c r="C7" s="737"/>
      <c r="D7" s="710" t="s">
        <v>795</v>
      </c>
      <c r="E7" s="711"/>
      <c r="F7" s="711"/>
      <c r="G7" s="712"/>
    </row>
    <row r="8" spans="2:7" ht="15.6" thickBot="1">
      <c r="B8" s="736"/>
      <c r="C8" s="737"/>
      <c r="D8" s="713"/>
      <c r="E8" s="714"/>
      <c r="F8" s="714"/>
      <c r="G8" s="715"/>
    </row>
    <row r="9" spans="2:7" ht="17.399999999999999">
      <c r="B9" s="482"/>
      <c r="C9" s="482"/>
      <c r="D9" s="482"/>
      <c r="E9" s="482"/>
      <c r="F9" s="482"/>
      <c r="G9" s="482"/>
    </row>
    <row r="10" spans="2:7">
      <c r="B10" s="485" t="s">
        <v>863</v>
      </c>
      <c r="E10" s="486">
        <v>8</v>
      </c>
      <c r="F10" s="483"/>
    </row>
    <row r="11" spans="2:7">
      <c r="B11" s="485" t="s">
        <v>864</v>
      </c>
      <c r="E11" s="486">
        <v>5</v>
      </c>
      <c r="F11" s="483"/>
    </row>
    <row r="12" spans="2:7">
      <c r="B12" s="485" t="s">
        <v>865</v>
      </c>
      <c r="C12" s="72"/>
      <c r="E12" s="484">
        <f>E10-E11</f>
        <v>3</v>
      </c>
      <c r="F12" s="742" t="s">
        <v>866</v>
      </c>
      <c r="G12" s="743"/>
    </row>
    <row r="14" spans="2:7" s="1" customFormat="1" ht="15" customHeight="1">
      <c r="B14" s="738" t="s">
        <v>647</v>
      </c>
      <c r="C14" s="738"/>
      <c r="D14" s="738"/>
      <c r="E14" s="738"/>
      <c r="F14" s="738"/>
      <c r="G14" s="738"/>
    </row>
    <row r="15" spans="2:7" s="1" customFormat="1" ht="15" customHeight="1" thickBot="1"/>
    <row r="16" spans="2:7" s="2" customFormat="1" ht="15" customHeight="1">
      <c r="B16" s="725" t="s">
        <v>869</v>
      </c>
      <c r="C16" s="726"/>
      <c r="D16" s="727"/>
      <c r="E16" s="235" t="s">
        <v>3</v>
      </c>
      <c r="F16" s="235" t="s">
        <v>4</v>
      </c>
      <c r="G16" s="236" t="s">
        <v>5</v>
      </c>
    </row>
    <row r="17" spans="2:8" s="2" customFormat="1" ht="15" customHeight="1">
      <c r="B17" s="728" t="s">
        <v>650</v>
      </c>
      <c r="C17" s="729"/>
      <c r="D17" s="730"/>
      <c r="E17" s="84"/>
      <c r="F17" s="84"/>
      <c r="G17" s="257"/>
    </row>
    <row r="18" spans="2:8" s="1" customFormat="1" ht="15" customHeight="1">
      <c r="B18" s="728" t="s">
        <v>651</v>
      </c>
      <c r="C18" s="729"/>
      <c r="D18" s="730"/>
      <c r="E18" s="84"/>
      <c r="F18" s="84"/>
      <c r="G18" s="257"/>
    </row>
    <row r="19" spans="2:8" s="1" customFormat="1" ht="15" customHeight="1" thickBot="1">
      <c r="B19" s="731" t="s">
        <v>652</v>
      </c>
      <c r="C19" s="732"/>
      <c r="D19" s="733"/>
      <c r="E19" s="258"/>
      <c r="F19" s="258"/>
      <c r="G19" s="259"/>
    </row>
    <row r="20" spans="2:8" ht="16.2" thickTop="1" thickBot="1">
      <c r="B20" s="783" t="s">
        <v>655</v>
      </c>
      <c r="C20" s="784"/>
      <c r="D20" s="785"/>
      <c r="E20" s="260">
        <f>SUM(E17:E19)</f>
        <v>0</v>
      </c>
      <c r="F20" s="260">
        <f>SUM(F17:F19)</f>
        <v>0</v>
      </c>
      <c r="G20" s="261">
        <f>SUM(G17:G19)</f>
        <v>0</v>
      </c>
    </row>
    <row r="21" spans="2:8" s="2" customFormat="1" ht="13.2">
      <c r="B21" s="786" t="s">
        <v>743</v>
      </c>
      <c r="C21" s="787"/>
      <c r="D21" s="788"/>
      <c r="E21" s="918"/>
      <c r="F21" s="919"/>
      <c r="G21" s="917">
        <f>E21+F21+E22+F22</f>
        <v>41202435.869999997</v>
      </c>
    </row>
    <row r="22" spans="2:8" s="2" customFormat="1" ht="15" customHeight="1" thickBot="1">
      <c r="B22" s="739" t="s">
        <v>801</v>
      </c>
      <c r="C22" s="740"/>
      <c r="D22" s="741"/>
      <c r="E22" s="920">
        <f>'Youth Savings'!E13</f>
        <v>41193189.869999997</v>
      </c>
      <c r="F22" s="921">
        <f>'Youth Savings'!E12</f>
        <v>9246</v>
      </c>
      <c r="G22" s="315">
        <f>'Youth Savings'!E14</f>
        <v>121398381.8</v>
      </c>
    </row>
    <row r="23" spans="2:8" ht="15.6" thickBot="1">
      <c r="B23" s="739" t="s">
        <v>802</v>
      </c>
      <c r="C23" s="740"/>
      <c r="D23" s="741"/>
      <c r="E23" s="334">
        <v>0</v>
      </c>
      <c r="F23" s="335">
        <v>0</v>
      </c>
      <c r="G23" s="487"/>
    </row>
    <row r="24" spans="2:8" s="1" customFormat="1" ht="15" customHeight="1">
      <c r="B24" s="5"/>
    </row>
    <row r="25" spans="2:8" s="1" customFormat="1" ht="15" customHeight="1" thickBot="1">
      <c r="B25" s="4" t="s">
        <v>646</v>
      </c>
    </row>
    <row r="26" spans="2:8" s="191" customFormat="1" ht="15" customHeight="1">
      <c r="B26" s="722"/>
      <c r="C26" s="723"/>
      <c r="D26" s="724"/>
      <c r="E26" s="235" t="s">
        <v>3</v>
      </c>
      <c r="F26" s="235" t="s">
        <v>4</v>
      </c>
      <c r="G26" s="236" t="s">
        <v>5</v>
      </c>
    </row>
    <row r="27" spans="2:8" s="2" customFormat="1" ht="15" customHeight="1">
      <c r="B27" s="719" t="s">
        <v>764</v>
      </c>
      <c r="C27" s="720"/>
      <c r="D27" s="721"/>
      <c r="E27" s="311">
        <v>0</v>
      </c>
      <c r="F27" s="311">
        <v>0</v>
      </c>
      <c r="G27" s="314">
        <v>0</v>
      </c>
      <c r="H27" s="326" t="str">
        <f>IF((SUM(E27:G29)=G298),"","Total Shares  Bal. is "&amp;TEXT(SUM(E27:G29)-G298,"#,##0.00")&amp;" difference compared to Balance Sheet; please check member shares in line 22 and 79!")</f>
        <v/>
      </c>
    </row>
    <row r="28" spans="2:8" s="2" customFormat="1" ht="15" customHeight="1">
      <c r="B28" s="719" t="s">
        <v>754</v>
      </c>
      <c r="C28" s="720"/>
      <c r="D28" s="721"/>
      <c r="E28" s="311">
        <v>0</v>
      </c>
      <c r="F28" s="311">
        <v>0</v>
      </c>
      <c r="G28" s="315">
        <v>0</v>
      </c>
    </row>
    <row r="29" spans="2:8" s="2" customFormat="1" ht="15" customHeight="1">
      <c r="B29" s="719" t="s">
        <v>755</v>
      </c>
      <c r="C29" s="720"/>
      <c r="D29" s="721"/>
      <c r="E29" s="311">
        <v>0</v>
      </c>
      <c r="F29" s="311">
        <v>0</v>
      </c>
      <c r="G29" s="315">
        <v>0</v>
      </c>
    </row>
    <row r="30" spans="2:8" s="2" customFormat="1" ht="14.25" customHeight="1">
      <c r="B30" s="719" t="s">
        <v>756</v>
      </c>
      <c r="C30" s="720"/>
      <c r="D30" s="721"/>
      <c r="E30" s="311">
        <v>0</v>
      </c>
      <c r="F30" s="311">
        <v>0</v>
      </c>
      <c r="G30" s="315">
        <v>0</v>
      </c>
      <c r="H30" s="326" t="str">
        <f>IF(SUM(E30:G32,E40:G40)=G285,"","Total Shares  Bal. is "&amp;TEXT((SUM(E30:G32,E40:G40))-G285,"#,##0.00")&amp;" difference compared to Balance Sheet; please check member shares in line 22 and 79!")</f>
        <v/>
      </c>
    </row>
    <row r="31" spans="2:8" s="2" customFormat="1" ht="14.25" customHeight="1">
      <c r="B31" s="719" t="s">
        <v>758</v>
      </c>
      <c r="C31" s="720"/>
      <c r="D31" s="721"/>
      <c r="E31" s="311">
        <v>0</v>
      </c>
      <c r="F31" s="311">
        <v>0</v>
      </c>
      <c r="G31" s="315">
        <v>0</v>
      </c>
    </row>
    <row r="32" spans="2:8" s="2" customFormat="1" ht="14.25" customHeight="1">
      <c r="B32" s="716" t="s">
        <v>757</v>
      </c>
      <c r="C32" s="717"/>
      <c r="D32" s="718"/>
      <c r="E32" s="311">
        <v>0</v>
      </c>
      <c r="F32" s="311">
        <v>0</v>
      </c>
      <c r="G32" s="315">
        <v>0</v>
      </c>
    </row>
    <row r="33" spans="2:8" s="2" customFormat="1" ht="14.25" customHeight="1">
      <c r="B33" s="716" t="s">
        <v>867</v>
      </c>
      <c r="C33" s="717"/>
      <c r="D33" s="718"/>
      <c r="E33" s="311">
        <f>'Youth Savings'!E21</f>
        <v>41193189.869999997</v>
      </c>
      <c r="F33" s="311">
        <f>'Youth Savings'!E20</f>
        <v>9246</v>
      </c>
      <c r="G33" s="315">
        <f>'Youth Savings'!E22</f>
        <v>121398381.8</v>
      </c>
    </row>
    <row r="34" spans="2:8" s="2" customFormat="1" ht="14.25" customHeight="1">
      <c r="B34" s="716" t="s">
        <v>759</v>
      </c>
      <c r="C34" s="717"/>
      <c r="D34" s="718"/>
      <c r="E34" s="311">
        <v>0</v>
      </c>
      <c r="F34" s="311">
        <v>0</v>
      </c>
      <c r="G34" s="315">
        <v>0</v>
      </c>
    </row>
    <row r="35" spans="2:8" s="2" customFormat="1" ht="14.25" customHeight="1">
      <c r="B35" s="716" t="s">
        <v>760</v>
      </c>
      <c r="C35" s="717"/>
      <c r="D35" s="718"/>
      <c r="E35" s="311">
        <v>0</v>
      </c>
      <c r="F35" s="311">
        <v>0</v>
      </c>
      <c r="G35" s="315">
        <v>0</v>
      </c>
      <c r="H35" s="190" t="str">
        <f>IF((SUM(E35:G35)=G49),"","Total Amount of Loans Disbursed for the month. is "&amp;TEXT(SUM(E35:G35)-G49,"#,##0.00")&amp;" difference compared to Loans to Members Payment (G45) in Receipt and Payment Report; please check member shares in line 31 and 45!")</f>
        <v/>
      </c>
    </row>
    <row r="36" spans="2:8" s="2" customFormat="1" ht="15" customHeight="1">
      <c r="B36" s="719" t="s">
        <v>486</v>
      </c>
      <c r="C36" s="720"/>
      <c r="D36" s="721"/>
      <c r="E36" s="338">
        <v>0</v>
      </c>
      <c r="F36" s="338">
        <v>0</v>
      </c>
      <c r="G36" s="339">
        <v>0</v>
      </c>
    </row>
    <row r="37" spans="2:8" s="2" customFormat="1" ht="15" customHeight="1">
      <c r="B37" s="719" t="s">
        <v>751</v>
      </c>
      <c r="C37" s="720"/>
      <c r="D37" s="721"/>
      <c r="E37" s="311">
        <v>0</v>
      </c>
      <c r="F37" s="311">
        <v>0</v>
      </c>
      <c r="G37" s="315">
        <v>0</v>
      </c>
      <c r="H37" s="327" t="str">
        <f>IF((SUM(E37:G37))=G233,"","Total Shares  Bal. is "&amp;TEXT((SUM(E37:G37))-G233,"#,##0.00")&amp;" difference compared to Balance Sheet; please check member shares in line 22 and 79!")</f>
        <v/>
      </c>
    </row>
    <row r="38" spans="2:8" s="2" customFormat="1" ht="15" customHeight="1">
      <c r="B38" s="265" t="s">
        <v>6</v>
      </c>
      <c r="C38" s="266"/>
      <c r="D38" s="267"/>
      <c r="E38" s="311">
        <v>0</v>
      </c>
      <c r="F38" s="311">
        <v>0</v>
      </c>
      <c r="G38" s="317">
        <v>0</v>
      </c>
    </row>
    <row r="39" spans="2:8" s="2" customFormat="1" ht="15" customHeight="1">
      <c r="B39" s="719" t="s">
        <v>752</v>
      </c>
      <c r="C39" s="720"/>
      <c r="D39" s="721"/>
      <c r="E39" s="311">
        <v>0</v>
      </c>
      <c r="F39" s="311">
        <v>0</v>
      </c>
      <c r="G39" s="315">
        <v>0</v>
      </c>
    </row>
    <row r="40" spans="2:8" ht="15.6" thickBot="1">
      <c r="B40" s="793" t="s">
        <v>803</v>
      </c>
      <c r="C40" s="732"/>
      <c r="D40" s="733"/>
      <c r="E40" s="313">
        <v>0</v>
      </c>
      <c r="F40" s="312">
        <v>0</v>
      </c>
      <c r="G40" s="316">
        <v>0</v>
      </c>
    </row>
    <row r="42" spans="2:8">
      <c r="B42" s="5" t="s">
        <v>8</v>
      </c>
      <c r="C42" s="1"/>
      <c r="D42" s="324">
        <f>F3</f>
        <v>44865</v>
      </c>
      <c r="F42" s="1"/>
      <c r="G42" s="1"/>
      <c r="H42" s="1"/>
    </row>
    <row r="43" spans="2:8">
      <c r="B43" s="8"/>
      <c r="C43" s="2"/>
      <c r="D43" s="2"/>
      <c r="E43" s="9" t="str">
        <f>IF(C59=G59,"",C59-G59)</f>
        <v/>
      </c>
      <c r="F43" s="10" t="str">
        <f>IF(C59=G59,"","difference")</f>
        <v/>
      </c>
      <c r="G43" s="2"/>
      <c r="H43" s="2"/>
    </row>
    <row r="44" spans="2:8">
      <c r="B44" s="776" t="s">
        <v>9</v>
      </c>
      <c r="C44" s="777"/>
      <c r="D44" s="777"/>
      <c r="E44" s="291"/>
      <c r="F44" s="776" t="s">
        <v>10</v>
      </c>
      <c r="G44" s="777"/>
      <c r="H44" s="778"/>
    </row>
    <row r="45" spans="2:8" ht="15" customHeight="1">
      <c r="B45" s="290" t="s">
        <v>11</v>
      </c>
      <c r="C45" s="789">
        <v>0</v>
      </c>
      <c r="D45" s="790"/>
      <c r="E45" s="292"/>
      <c r="F45" s="263" t="s">
        <v>12</v>
      </c>
      <c r="G45" s="779">
        <f>G178</f>
        <v>0</v>
      </c>
      <c r="H45" s="780"/>
    </row>
    <row r="46" spans="2:8">
      <c r="B46" s="11"/>
      <c r="C46" s="791"/>
      <c r="D46" s="792"/>
      <c r="E46" s="292"/>
      <c r="F46" s="262"/>
      <c r="G46" s="781"/>
      <c r="H46" s="782"/>
    </row>
    <row r="47" spans="2:8">
      <c r="B47" s="11" t="s">
        <v>13</v>
      </c>
      <c r="C47" s="680">
        <v>0</v>
      </c>
      <c r="D47" s="681"/>
      <c r="E47" s="292"/>
      <c r="F47" s="262" t="s">
        <v>14</v>
      </c>
      <c r="G47" s="648">
        <v>0</v>
      </c>
      <c r="H47" s="649"/>
    </row>
    <row r="48" spans="2:8">
      <c r="B48" s="11" t="s">
        <v>15</v>
      </c>
      <c r="C48" s="680">
        <v>0</v>
      </c>
      <c r="D48" s="681"/>
      <c r="E48" s="292"/>
      <c r="F48" s="262" t="s">
        <v>16</v>
      </c>
      <c r="G48" s="648">
        <v>0</v>
      </c>
      <c r="H48" s="649"/>
    </row>
    <row r="49" spans="2:8">
      <c r="B49" s="11" t="s">
        <v>17</v>
      </c>
      <c r="C49" s="680">
        <v>0</v>
      </c>
      <c r="D49" s="681"/>
      <c r="E49" s="292"/>
      <c r="F49" s="262" t="s">
        <v>18</v>
      </c>
      <c r="G49" s="648">
        <v>0</v>
      </c>
      <c r="H49" s="649"/>
    </row>
    <row r="50" spans="2:8">
      <c r="B50" s="11" t="s">
        <v>19</v>
      </c>
      <c r="C50" s="680">
        <v>0</v>
      </c>
      <c r="D50" s="681"/>
      <c r="E50" s="292"/>
      <c r="F50" s="262" t="s">
        <v>20</v>
      </c>
      <c r="G50" s="648">
        <v>0</v>
      </c>
      <c r="H50" s="649"/>
    </row>
    <row r="51" spans="2:8">
      <c r="B51" s="11" t="s">
        <v>21</v>
      </c>
      <c r="C51" s="680">
        <v>0</v>
      </c>
      <c r="D51" s="681"/>
      <c r="E51" s="292"/>
      <c r="F51" s="262" t="s">
        <v>22</v>
      </c>
      <c r="G51" s="648">
        <v>0</v>
      </c>
      <c r="H51" s="649"/>
    </row>
    <row r="52" spans="2:8">
      <c r="B52" s="11" t="s">
        <v>23</v>
      </c>
      <c r="C52" s="680">
        <v>0</v>
      </c>
      <c r="D52" s="681"/>
      <c r="E52" s="292"/>
      <c r="F52" s="262" t="s">
        <v>24</v>
      </c>
      <c r="G52" s="648">
        <v>0</v>
      </c>
      <c r="H52" s="649"/>
    </row>
    <row r="53" spans="2:8">
      <c r="B53" s="11" t="s">
        <v>25</v>
      </c>
      <c r="C53" s="680">
        <v>0</v>
      </c>
      <c r="D53" s="681"/>
      <c r="E53" s="292"/>
      <c r="F53" s="262" t="s">
        <v>26</v>
      </c>
      <c r="G53" s="648">
        <v>0</v>
      </c>
      <c r="H53" s="649"/>
    </row>
    <row r="54" spans="2:8">
      <c r="B54" s="12" t="s">
        <v>27</v>
      </c>
      <c r="C54" s="641">
        <v>0</v>
      </c>
      <c r="D54" s="642"/>
      <c r="E54" s="292"/>
      <c r="F54" s="310" t="s">
        <v>28</v>
      </c>
      <c r="G54" s="684">
        <v>0</v>
      </c>
      <c r="H54" s="685"/>
    </row>
    <row r="55" spans="2:8">
      <c r="B55" s="323" t="s">
        <v>763</v>
      </c>
      <c r="C55" s="678">
        <f>SUM(C45,C47:D54)</f>
        <v>0</v>
      </c>
      <c r="D55" s="679"/>
      <c r="E55" s="292"/>
      <c r="F55" s="322" t="s">
        <v>763</v>
      </c>
      <c r="G55" s="686">
        <f>SUM(G45,G47:H54)</f>
        <v>0</v>
      </c>
      <c r="H55" s="687"/>
    </row>
    <row r="56" spans="2:8" ht="39.6">
      <c r="B56" s="336" t="s">
        <v>804</v>
      </c>
      <c r="C56" s="641"/>
      <c r="D56" s="642"/>
      <c r="E56" s="292"/>
      <c r="F56" s="336" t="s">
        <v>805</v>
      </c>
      <c r="G56" s="641">
        <v>0</v>
      </c>
      <c r="H56" s="642"/>
    </row>
    <row r="57" spans="2:8">
      <c r="B57" s="321" t="s">
        <v>29</v>
      </c>
      <c r="C57" s="676">
        <f>SUM(E74,E81,E88,E101)</f>
        <v>0</v>
      </c>
      <c r="D57" s="677"/>
      <c r="E57" s="292"/>
      <c r="F57" s="321" t="s">
        <v>30</v>
      </c>
      <c r="G57" s="701">
        <f>SUM(E109,E122,E129,E143,E152,E161,E166)</f>
        <v>0</v>
      </c>
      <c r="H57" s="701"/>
    </row>
    <row r="58" spans="2:8" ht="15" customHeight="1">
      <c r="B58" s="699" t="s">
        <v>31</v>
      </c>
      <c r="C58" s="700"/>
      <c r="D58" s="700"/>
      <c r="E58" s="293"/>
      <c r="F58" s="691" t="s">
        <v>31</v>
      </c>
      <c r="G58" s="692"/>
      <c r="H58" s="693"/>
    </row>
    <row r="59" spans="2:8" s="320" customFormat="1" ht="17.399999999999999">
      <c r="B59" s="318" t="s">
        <v>32</v>
      </c>
      <c r="C59" s="697">
        <f>ROUND(SUM(C55,C56,C57),2)</f>
        <v>0</v>
      </c>
      <c r="D59" s="698"/>
      <c r="E59" s="337" t="str">
        <f>IF(C59=G59,"ok","error!")</f>
        <v>ok</v>
      </c>
      <c r="F59" s="319" t="str">
        <f>B59</f>
        <v>Test sum</v>
      </c>
      <c r="G59" s="682">
        <f>ROUND(SUM(G55,G56,G57),2)</f>
        <v>0</v>
      </c>
      <c r="H59" s="683">
        <f t="shared" ref="H59" si="0">ROUND(SUM(H45:H58),2)</f>
        <v>0</v>
      </c>
    </row>
    <row r="60" spans="2:8">
      <c r="B60" s="269"/>
      <c r="C60" s="270"/>
      <c r="D60" s="271"/>
      <c r="E60" s="269"/>
      <c r="F60" s="269"/>
      <c r="G60" s="270"/>
      <c r="H60" s="270"/>
    </row>
    <row r="61" spans="2:8">
      <c r="B61" s="269"/>
      <c r="C61" s="270"/>
      <c r="D61" s="271"/>
      <c r="E61" s="269"/>
      <c r="F61" s="269"/>
      <c r="G61" s="270"/>
      <c r="H61" s="270"/>
    </row>
    <row r="62" spans="2:8" ht="15.6" thickBot="1">
      <c r="B62" s="269"/>
      <c r="C62" s="270"/>
      <c r="D62" s="271"/>
      <c r="E62" s="269"/>
      <c r="F62" s="269"/>
      <c r="G62" s="270"/>
      <c r="H62" s="270"/>
    </row>
    <row r="63" spans="2:8" ht="16.2" thickBot="1">
      <c r="B63" s="44" t="s">
        <v>671</v>
      </c>
      <c r="C63" s="270"/>
      <c r="D63" s="271"/>
      <c r="E63" s="269"/>
      <c r="F63" s="269"/>
      <c r="G63" s="694">
        <f>F3</f>
        <v>44865</v>
      </c>
      <c r="H63" s="695"/>
    </row>
    <row r="64" spans="2:8">
      <c r="C64" s="270"/>
      <c r="D64" s="271"/>
      <c r="E64" s="269"/>
      <c r="F64" s="269"/>
      <c r="G64" s="270"/>
      <c r="H64" s="270"/>
    </row>
    <row r="65" spans="2:8" ht="18" thickBot="1">
      <c r="B65" s="696" t="s">
        <v>33</v>
      </c>
      <c r="C65" s="696"/>
      <c r="D65" s="696"/>
      <c r="E65" s="696"/>
      <c r="F65" s="696"/>
      <c r="G65" s="270"/>
      <c r="H65" s="270"/>
    </row>
    <row r="66" spans="2:8" ht="15.6" thickBot="1">
      <c r="B66" s="688" t="s">
        <v>584</v>
      </c>
      <c r="C66" s="689"/>
      <c r="D66" s="690"/>
      <c r="E66" s="660" t="s">
        <v>644</v>
      </c>
      <c r="F66" s="661"/>
      <c r="G66" s="652" t="s">
        <v>34</v>
      </c>
      <c r="H66" s="653"/>
    </row>
    <row r="67" spans="2:8">
      <c r="B67" s="673" t="s">
        <v>793</v>
      </c>
      <c r="C67" s="674"/>
      <c r="D67" s="675"/>
      <c r="E67" s="662">
        <v>0</v>
      </c>
      <c r="F67" s="663"/>
      <c r="G67" s="654">
        <v>0</v>
      </c>
      <c r="H67" s="655"/>
    </row>
    <row r="68" spans="2:8">
      <c r="B68" s="673" t="s">
        <v>808</v>
      </c>
      <c r="C68" s="674"/>
      <c r="D68" s="675"/>
      <c r="E68" s="664">
        <v>0</v>
      </c>
      <c r="F68" s="665"/>
      <c r="G68" s="702">
        <v>0</v>
      </c>
      <c r="H68" s="703"/>
    </row>
    <row r="69" spans="2:8">
      <c r="B69" s="673" t="s">
        <v>793</v>
      </c>
      <c r="C69" s="674"/>
      <c r="D69" s="675"/>
      <c r="E69" s="664">
        <v>0</v>
      </c>
      <c r="F69" s="665"/>
      <c r="G69" s="702">
        <v>0</v>
      </c>
      <c r="H69" s="703"/>
    </row>
    <row r="70" spans="2:8">
      <c r="B70" s="673" t="s">
        <v>741</v>
      </c>
      <c r="C70" s="674"/>
      <c r="D70" s="675"/>
      <c r="E70" s="664">
        <v>0</v>
      </c>
      <c r="F70" s="665"/>
      <c r="G70" s="702">
        <v>0</v>
      </c>
      <c r="H70" s="703"/>
    </row>
    <row r="71" spans="2:8">
      <c r="B71" s="673" t="s">
        <v>742</v>
      </c>
      <c r="C71" s="674"/>
      <c r="D71" s="675"/>
      <c r="E71" s="664">
        <v>0</v>
      </c>
      <c r="F71" s="665"/>
      <c r="G71" s="702">
        <v>0</v>
      </c>
      <c r="H71" s="703"/>
    </row>
    <row r="72" spans="2:8">
      <c r="B72" s="673" t="s">
        <v>776</v>
      </c>
      <c r="C72" s="674"/>
      <c r="D72" s="675"/>
      <c r="E72" s="664">
        <v>0</v>
      </c>
      <c r="F72" s="665"/>
      <c r="G72" s="656">
        <v>0</v>
      </c>
      <c r="H72" s="657"/>
    </row>
    <row r="73" spans="2:8" ht="15.6" thickBot="1">
      <c r="B73" s="673" t="s">
        <v>794</v>
      </c>
      <c r="C73" s="674"/>
      <c r="D73" s="675"/>
      <c r="E73" s="672">
        <v>0</v>
      </c>
      <c r="F73" s="672"/>
      <c r="G73" s="658">
        <v>0</v>
      </c>
      <c r="H73" s="659"/>
    </row>
    <row r="74" spans="2:8" ht="16.8" thickTop="1" thickBot="1">
      <c r="B74" s="748" t="s">
        <v>104</v>
      </c>
      <c r="C74" s="749"/>
      <c r="D74" s="750"/>
      <c r="E74" s="666">
        <f>SUM(E67:F73)</f>
        <v>0</v>
      </c>
      <c r="F74" s="667"/>
      <c r="G74" s="666">
        <f>SUM(G67:H73)</f>
        <v>0</v>
      </c>
      <c r="H74" s="667"/>
    </row>
    <row r="75" spans="2:8" ht="16.2" thickBot="1">
      <c r="B75" s="44"/>
      <c r="C75" s="270"/>
      <c r="D75" s="271"/>
      <c r="E75" s="288"/>
      <c r="F75" s="288"/>
      <c r="G75" s="270"/>
      <c r="H75" s="270"/>
    </row>
    <row r="76" spans="2:8" ht="15.6" thickBot="1">
      <c r="B76" s="746" t="s">
        <v>585</v>
      </c>
      <c r="C76" s="747"/>
      <c r="D76" s="747"/>
      <c r="E76" s="660" t="s">
        <v>644</v>
      </c>
      <c r="F76" s="668"/>
      <c r="G76" s="669" t="s">
        <v>34</v>
      </c>
      <c r="H76" s="653"/>
    </row>
    <row r="77" spans="2:8">
      <c r="B77" s="673" t="s">
        <v>672</v>
      </c>
      <c r="C77" s="674"/>
      <c r="D77" s="675"/>
      <c r="E77" s="744">
        <v>0</v>
      </c>
      <c r="F77" s="744"/>
      <c r="G77" s="744">
        <v>0</v>
      </c>
      <c r="H77" s="745"/>
    </row>
    <row r="78" spans="2:8">
      <c r="B78" s="673" t="s">
        <v>673</v>
      </c>
      <c r="C78" s="674"/>
      <c r="D78" s="675"/>
      <c r="E78" s="656">
        <v>0</v>
      </c>
      <c r="F78" s="656"/>
      <c r="G78" s="656">
        <v>0</v>
      </c>
      <c r="H78" s="657"/>
    </row>
    <row r="79" spans="2:8">
      <c r="B79" s="673" t="s">
        <v>674</v>
      </c>
      <c r="C79" s="674"/>
      <c r="D79" s="675"/>
      <c r="E79" s="656">
        <v>0</v>
      </c>
      <c r="F79" s="656"/>
      <c r="G79" s="656">
        <v>0</v>
      </c>
      <c r="H79" s="657"/>
    </row>
    <row r="80" spans="2:8" ht="15.6" thickBot="1">
      <c r="B80" s="673" t="s">
        <v>675</v>
      </c>
      <c r="C80" s="674"/>
      <c r="D80" s="675"/>
      <c r="E80" s="670">
        <v>0</v>
      </c>
      <c r="F80" s="670"/>
      <c r="G80" s="670">
        <v>0</v>
      </c>
      <c r="H80" s="671"/>
    </row>
    <row r="81" spans="2:8" ht="16.8" thickTop="1" thickBot="1">
      <c r="B81" s="748" t="s">
        <v>104</v>
      </c>
      <c r="C81" s="749"/>
      <c r="D81" s="750"/>
      <c r="E81" s="753">
        <f>SUM(E77:F80)</f>
        <v>0</v>
      </c>
      <c r="F81" s="754"/>
      <c r="G81" s="755">
        <f>SUM(G77:H80)</f>
        <v>0</v>
      </c>
      <c r="H81" s="667"/>
    </row>
    <row r="82" spans="2:8" ht="15.6" thickBot="1">
      <c r="B82" s="233"/>
      <c r="C82" s="270"/>
      <c r="D82" s="271"/>
      <c r="E82" s="269"/>
      <c r="F82" s="269"/>
      <c r="G82" s="270"/>
      <c r="H82" s="270"/>
    </row>
    <row r="83" spans="2:8" ht="15.6" thickBot="1">
      <c r="B83" s="746" t="s">
        <v>586</v>
      </c>
      <c r="C83" s="747"/>
      <c r="D83" s="747"/>
      <c r="E83" s="751" t="s">
        <v>644</v>
      </c>
      <c r="F83" s="751"/>
      <c r="G83" s="751" t="s">
        <v>34</v>
      </c>
      <c r="H83" s="752"/>
    </row>
    <row r="84" spans="2:8">
      <c r="B84" s="673" t="s">
        <v>737</v>
      </c>
      <c r="C84" s="674"/>
      <c r="D84" s="675"/>
      <c r="E84" s="744">
        <v>0</v>
      </c>
      <c r="F84" s="744"/>
      <c r="G84" s="744">
        <v>0</v>
      </c>
      <c r="H84" s="745"/>
    </row>
    <row r="85" spans="2:8">
      <c r="B85" s="673" t="s">
        <v>738</v>
      </c>
      <c r="C85" s="674"/>
      <c r="D85" s="675"/>
      <c r="E85" s="656">
        <v>0</v>
      </c>
      <c r="F85" s="656"/>
      <c r="G85" s="656">
        <v>0</v>
      </c>
      <c r="H85" s="657"/>
    </row>
    <row r="86" spans="2:8">
      <c r="B86" s="673" t="s">
        <v>739</v>
      </c>
      <c r="C86" s="674"/>
      <c r="D86" s="675"/>
      <c r="E86" s="656">
        <v>0</v>
      </c>
      <c r="F86" s="656"/>
      <c r="G86" s="656">
        <v>0</v>
      </c>
      <c r="H86" s="657"/>
    </row>
    <row r="87" spans="2:8" ht="15.6" thickBot="1">
      <c r="B87" s="673" t="s">
        <v>740</v>
      </c>
      <c r="C87" s="674"/>
      <c r="D87" s="675"/>
      <c r="E87" s="670">
        <v>0</v>
      </c>
      <c r="F87" s="670"/>
      <c r="G87" s="670">
        <v>0</v>
      </c>
      <c r="H87" s="671"/>
    </row>
    <row r="88" spans="2:8" ht="16.8" thickTop="1" thickBot="1">
      <c r="B88" s="748" t="s">
        <v>104</v>
      </c>
      <c r="C88" s="749"/>
      <c r="D88" s="750"/>
      <c r="E88" s="798">
        <f>SUM(E84:F87)</f>
        <v>0</v>
      </c>
      <c r="F88" s="796"/>
      <c r="G88" s="796">
        <f>SUM(G84:H87)</f>
        <v>0</v>
      </c>
      <c r="H88" s="797"/>
    </row>
    <row r="89" spans="2:8" ht="15.6" thickBot="1">
      <c r="B89" s="233"/>
      <c r="C89" s="270"/>
      <c r="D89" s="271"/>
      <c r="E89" s="269"/>
      <c r="F89" s="269"/>
      <c r="G89" s="270"/>
      <c r="H89" s="270"/>
    </row>
    <row r="90" spans="2:8" ht="15.6" thickBot="1">
      <c r="B90" s="746" t="s">
        <v>587</v>
      </c>
      <c r="C90" s="747"/>
      <c r="D90" s="747"/>
      <c r="E90" s="751" t="s">
        <v>644</v>
      </c>
      <c r="F90" s="751"/>
      <c r="G90" s="751" t="s">
        <v>34</v>
      </c>
      <c r="H90" s="752"/>
    </row>
    <row r="91" spans="2:8">
      <c r="B91" s="673" t="s">
        <v>588</v>
      </c>
      <c r="C91" s="674"/>
      <c r="D91" s="675"/>
      <c r="E91" s="744">
        <v>0</v>
      </c>
      <c r="F91" s="744"/>
      <c r="G91" s="744">
        <v>0</v>
      </c>
      <c r="H91" s="745"/>
    </row>
    <row r="92" spans="2:8">
      <c r="B92" s="673" t="s">
        <v>589</v>
      </c>
      <c r="C92" s="674"/>
      <c r="D92" s="675"/>
      <c r="E92" s="656">
        <v>0</v>
      </c>
      <c r="F92" s="656"/>
      <c r="G92" s="656">
        <v>0</v>
      </c>
      <c r="H92" s="657"/>
    </row>
    <row r="93" spans="2:8">
      <c r="B93" s="673" t="s">
        <v>590</v>
      </c>
      <c r="C93" s="674"/>
      <c r="D93" s="675"/>
      <c r="E93" s="656">
        <v>0</v>
      </c>
      <c r="F93" s="656"/>
      <c r="G93" s="656">
        <v>0</v>
      </c>
      <c r="H93" s="657"/>
    </row>
    <row r="94" spans="2:8">
      <c r="B94" s="673" t="s">
        <v>591</v>
      </c>
      <c r="C94" s="674"/>
      <c r="D94" s="675"/>
      <c r="E94" s="656">
        <v>0</v>
      </c>
      <c r="F94" s="656"/>
      <c r="G94" s="656">
        <v>0</v>
      </c>
      <c r="H94" s="657"/>
    </row>
    <row r="95" spans="2:8">
      <c r="B95" s="673" t="s">
        <v>592</v>
      </c>
      <c r="C95" s="674"/>
      <c r="D95" s="675"/>
      <c r="E95" s="656">
        <v>0</v>
      </c>
      <c r="F95" s="656"/>
      <c r="G95" s="656">
        <v>0</v>
      </c>
      <c r="H95" s="657"/>
    </row>
    <row r="96" spans="2:8">
      <c r="B96" s="673" t="s">
        <v>749</v>
      </c>
      <c r="C96" s="674"/>
      <c r="D96" s="675"/>
      <c r="E96" s="656">
        <v>0</v>
      </c>
      <c r="F96" s="656"/>
      <c r="G96" s="656">
        <v>0</v>
      </c>
      <c r="H96" s="657"/>
    </row>
    <row r="97" spans="2:8">
      <c r="B97" s="673" t="s">
        <v>733</v>
      </c>
      <c r="C97" s="674"/>
      <c r="D97" s="675"/>
      <c r="E97" s="656">
        <v>0</v>
      </c>
      <c r="F97" s="656"/>
      <c r="G97" s="656">
        <v>0</v>
      </c>
      <c r="H97" s="657"/>
    </row>
    <row r="98" spans="2:8">
      <c r="B98" s="673" t="s">
        <v>734</v>
      </c>
      <c r="C98" s="674"/>
      <c r="D98" s="675"/>
      <c r="E98" s="656">
        <v>0</v>
      </c>
      <c r="F98" s="656"/>
      <c r="G98" s="656">
        <v>0</v>
      </c>
      <c r="H98" s="657"/>
    </row>
    <row r="99" spans="2:8">
      <c r="B99" s="673" t="s">
        <v>735</v>
      </c>
      <c r="C99" s="674"/>
      <c r="D99" s="675"/>
      <c r="E99" s="656">
        <v>0</v>
      </c>
      <c r="F99" s="656"/>
      <c r="G99" s="656">
        <v>0</v>
      </c>
      <c r="H99" s="657"/>
    </row>
    <row r="100" spans="2:8" ht="15.6" thickBot="1">
      <c r="B100" s="673" t="s">
        <v>736</v>
      </c>
      <c r="C100" s="674"/>
      <c r="D100" s="675"/>
      <c r="E100" s="670">
        <v>0</v>
      </c>
      <c r="F100" s="670"/>
      <c r="G100" s="670">
        <v>0</v>
      </c>
      <c r="H100" s="671"/>
    </row>
    <row r="101" spans="2:8" ht="16.8" thickTop="1" thickBot="1">
      <c r="B101" s="748" t="s">
        <v>104</v>
      </c>
      <c r="C101" s="749"/>
      <c r="D101" s="750"/>
      <c r="E101" s="799">
        <f>SUM(E91:F100)</f>
        <v>0</v>
      </c>
      <c r="F101" s="799"/>
      <c r="G101" s="753">
        <f>SUM(G91:H100)</f>
        <v>0</v>
      </c>
      <c r="H101" s="754"/>
    </row>
    <row r="102" spans="2:8">
      <c r="B102" s="233"/>
      <c r="C102" s="270"/>
      <c r="D102" s="271"/>
      <c r="E102" s="269"/>
      <c r="F102" s="269"/>
      <c r="G102" s="270"/>
      <c r="H102" s="270"/>
    </row>
    <row r="103" spans="2:8" ht="17.399999999999999">
      <c r="B103" s="794" t="s">
        <v>40</v>
      </c>
      <c r="C103" s="794"/>
      <c r="D103" s="794"/>
      <c r="E103" s="794"/>
      <c r="F103" s="794"/>
      <c r="G103" s="270"/>
      <c r="H103" s="270"/>
    </row>
    <row r="104" spans="2:8" ht="15.6" thickBot="1">
      <c r="B104" s="232"/>
      <c r="C104" s="270"/>
      <c r="D104" s="271"/>
      <c r="E104" s="269"/>
      <c r="F104" s="269"/>
      <c r="G104" s="270"/>
      <c r="H104" s="270"/>
    </row>
    <row r="105" spans="2:8" ht="15.6" thickBot="1">
      <c r="B105" s="746" t="s">
        <v>593</v>
      </c>
      <c r="C105" s="747"/>
      <c r="D105" s="747"/>
      <c r="E105" s="751" t="s">
        <v>644</v>
      </c>
      <c r="F105" s="751"/>
      <c r="G105" s="751" t="s">
        <v>34</v>
      </c>
      <c r="H105" s="752"/>
    </row>
    <row r="106" spans="2:8">
      <c r="B106" s="673" t="s">
        <v>594</v>
      </c>
      <c r="C106" s="674"/>
      <c r="D106" s="675"/>
      <c r="E106" s="744">
        <v>0</v>
      </c>
      <c r="F106" s="744"/>
      <c r="G106" s="744">
        <v>0</v>
      </c>
      <c r="H106" s="745"/>
    </row>
    <row r="107" spans="2:8">
      <c r="B107" s="673" t="s">
        <v>732</v>
      </c>
      <c r="C107" s="674"/>
      <c r="D107" s="675"/>
      <c r="E107" s="656">
        <v>0</v>
      </c>
      <c r="F107" s="656"/>
      <c r="G107" s="656">
        <v>0</v>
      </c>
      <c r="H107" s="657"/>
    </row>
    <row r="108" spans="2:8" ht="15.6" thickBot="1">
      <c r="B108" s="673" t="s">
        <v>595</v>
      </c>
      <c r="C108" s="674"/>
      <c r="D108" s="675"/>
      <c r="E108" s="670">
        <v>0</v>
      </c>
      <c r="F108" s="670"/>
      <c r="G108" s="670">
        <v>0</v>
      </c>
      <c r="H108" s="671"/>
    </row>
    <row r="109" spans="2:8" ht="16.8" thickTop="1" thickBot="1">
      <c r="B109" s="748" t="s">
        <v>104</v>
      </c>
      <c r="C109" s="749"/>
      <c r="D109" s="750"/>
      <c r="E109" s="753">
        <f>SUM(E106:F108)</f>
        <v>0</v>
      </c>
      <c r="F109" s="754"/>
      <c r="G109" s="753">
        <f>SUM(G106:H108)</f>
        <v>0</v>
      </c>
      <c r="H109" s="754"/>
    </row>
    <row r="110" spans="2:8">
      <c r="B110" s="233"/>
      <c r="C110" s="270"/>
      <c r="D110" s="271"/>
      <c r="E110" s="269"/>
      <c r="F110" s="269"/>
      <c r="G110" s="270"/>
      <c r="H110" s="270"/>
    </row>
    <row r="111" spans="2:8">
      <c r="B111" s="294" t="s">
        <v>596</v>
      </c>
      <c r="C111" s="270"/>
      <c r="D111" s="271"/>
      <c r="E111" s="269"/>
      <c r="F111" s="269"/>
      <c r="G111" s="270"/>
      <c r="H111" s="270"/>
    </row>
    <row r="112" spans="2:8" ht="15.6" thickBot="1">
      <c r="B112" s="233"/>
      <c r="C112" s="270"/>
      <c r="D112" s="271"/>
      <c r="E112" s="269"/>
      <c r="F112" s="269"/>
      <c r="G112" s="270"/>
      <c r="H112" s="270"/>
    </row>
    <row r="113" spans="2:8" ht="15.6" thickBot="1">
      <c r="B113" s="746" t="s">
        <v>597</v>
      </c>
      <c r="C113" s="747"/>
      <c r="D113" s="747"/>
      <c r="E113" s="751" t="s">
        <v>644</v>
      </c>
      <c r="F113" s="751"/>
      <c r="G113" s="751" t="s">
        <v>34</v>
      </c>
      <c r="H113" s="752"/>
    </row>
    <row r="114" spans="2:8">
      <c r="B114" s="673" t="s">
        <v>598</v>
      </c>
      <c r="C114" s="674"/>
      <c r="D114" s="675"/>
      <c r="E114" s="744">
        <v>0</v>
      </c>
      <c r="F114" s="744"/>
      <c r="G114" s="744">
        <v>0</v>
      </c>
      <c r="H114" s="745"/>
    </row>
    <row r="115" spans="2:8">
      <c r="B115" s="673" t="s">
        <v>579</v>
      </c>
      <c r="C115" s="674"/>
      <c r="D115" s="675"/>
      <c r="E115" s="744">
        <v>0</v>
      </c>
      <c r="F115" s="744"/>
      <c r="G115" s="744">
        <v>0</v>
      </c>
      <c r="H115" s="745"/>
    </row>
    <row r="116" spans="2:8">
      <c r="B116" s="673" t="s">
        <v>599</v>
      </c>
      <c r="C116" s="674"/>
      <c r="D116" s="675"/>
      <c r="E116" s="744">
        <v>0</v>
      </c>
      <c r="F116" s="744"/>
      <c r="G116" s="744">
        <v>0</v>
      </c>
      <c r="H116" s="745"/>
    </row>
    <row r="117" spans="2:8">
      <c r="B117" s="673" t="s">
        <v>600</v>
      </c>
      <c r="C117" s="674"/>
      <c r="D117" s="675"/>
      <c r="E117" s="744">
        <v>0</v>
      </c>
      <c r="F117" s="744"/>
      <c r="G117" s="744">
        <v>0</v>
      </c>
      <c r="H117" s="745"/>
    </row>
    <row r="118" spans="2:8">
      <c r="B118" s="673" t="s">
        <v>601</v>
      </c>
      <c r="C118" s="674"/>
      <c r="D118" s="675"/>
      <c r="E118" s="744">
        <v>0</v>
      </c>
      <c r="F118" s="744"/>
      <c r="G118" s="744">
        <v>0</v>
      </c>
      <c r="H118" s="745"/>
    </row>
    <row r="119" spans="2:8">
      <c r="B119" s="673" t="s">
        <v>602</v>
      </c>
      <c r="C119" s="674"/>
      <c r="D119" s="675"/>
      <c r="E119" s="744">
        <v>0</v>
      </c>
      <c r="F119" s="744"/>
      <c r="G119" s="744">
        <v>0</v>
      </c>
      <c r="H119" s="745"/>
    </row>
    <row r="120" spans="2:8">
      <c r="B120" s="673" t="s">
        <v>581</v>
      </c>
      <c r="C120" s="674"/>
      <c r="D120" s="675"/>
      <c r="E120" s="744">
        <v>0</v>
      </c>
      <c r="F120" s="744"/>
      <c r="G120" s="744">
        <v>0</v>
      </c>
      <c r="H120" s="745"/>
    </row>
    <row r="121" spans="2:8" ht="15.6" thickBot="1">
      <c r="B121" s="673" t="s">
        <v>603</v>
      </c>
      <c r="C121" s="674"/>
      <c r="D121" s="675"/>
      <c r="E121" s="744">
        <v>0</v>
      </c>
      <c r="F121" s="744"/>
      <c r="G121" s="744">
        <v>0</v>
      </c>
      <c r="H121" s="745"/>
    </row>
    <row r="122" spans="2:8" ht="16.8" thickTop="1" thickBot="1">
      <c r="B122" s="748" t="s">
        <v>104</v>
      </c>
      <c r="C122" s="749"/>
      <c r="D122" s="750"/>
      <c r="E122" s="753">
        <f>SUM(E114:F121)</f>
        <v>0</v>
      </c>
      <c r="F122" s="754"/>
      <c r="G122" s="753">
        <f>SUM(G114:H121)</f>
        <v>0</v>
      </c>
      <c r="H122" s="754">
        <f>SUM(H114:H121)</f>
        <v>0</v>
      </c>
    </row>
    <row r="123" spans="2:8" ht="15.6" thickBot="1">
      <c r="B123" s="233"/>
      <c r="C123" s="270"/>
      <c r="D123" s="271"/>
      <c r="E123" s="269"/>
      <c r="F123" s="269"/>
      <c r="G123" s="270"/>
      <c r="H123" s="270"/>
    </row>
    <row r="124" spans="2:8" ht="15.75" customHeight="1" thickBot="1">
      <c r="B124" s="746" t="s">
        <v>604</v>
      </c>
      <c r="C124" s="747"/>
      <c r="D124" s="747"/>
      <c r="E124" s="751" t="s">
        <v>644</v>
      </c>
      <c r="F124" s="751"/>
      <c r="G124" s="751" t="s">
        <v>34</v>
      </c>
      <c r="H124" s="752"/>
    </row>
    <row r="125" spans="2:8">
      <c r="B125" s="673" t="s">
        <v>605</v>
      </c>
      <c r="C125" s="674"/>
      <c r="D125" s="675"/>
      <c r="E125" s="744">
        <v>0</v>
      </c>
      <c r="F125" s="744"/>
      <c r="G125" s="744">
        <v>0</v>
      </c>
      <c r="H125" s="745"/>
    </row>
    <row r="126" spans="2:8">
      <c r="B126" s="673" t="s">
        <v>605</v>
      </c>
      <c r="C126" s="674"/>
      <c r="D126" s="675"/>
      <c r="E126" s="744">
        <v>0</v>
      </c>
      <c r="F126" s="744"/>
      <c r="G126" s="744">
        <v>0</v>
      </c>
      <c r="H126" s="745"/>
    </row>
    <row r="127" spans="2:8">
      <c r="B127" s="673" t="s">
        <v>605</v>
      </c>
      <c r="C127" s="674"/>
      <c r="D127" s="675"/>
      <c r="E127" s="744">
        <v>0</v>
      </c>
      <c r="F127" s="744"/>
      <c r="G127" s="744">
        <v>0</v>
      </c>
      <c r="H127" s="745"/>
    </row>
    <row r="128" spans="2:8" ht="15.6" thickBot="1">
      <c r="B128" s="673" t="s">
        <v>606</v>
      </c>
      <c r="C128" s="674"/>
      <c r="D128" s="675"/>
      <c r="E128" s="744">
        <v>0</v>
      </c>
      <c r="F128" s="744"/>
      <c r="G128" s="744">
        <v>0</v>
      </c>
      <c r="H128" s="745"/>
    </row>
    <row r="129" spans="2:8" ht="16.8" thickTop="1" thickBot="1">
      <c r="B129" s="748" t="s">
        <v>104</v>
      </c>
      <c r="C129" s="749"/>
      <c r="D129" s="750"/>
      <c r="E129" s="799">
        <f>SUM(E125:F128)</f>
        <v>0</v>
      </c>
      <c r="F129" s="799"/>
      <c r="G129" s="753">
        <f>SUM(G125:H128)</f>
        <v>0</v>
      </c>
      <c r="H129" s="754">
        <f>SUM(H125:H128)</f>
        <v>0</v>
      </c>
    </row>
    <row r="130" spans="2:8" ht="15.6" thickBot="1">
      <c r="B130" s="233"/>
      <c r="C130" s="270"/>
      <c r="D130" s="271"/>
      <c r="E130" s="269"/>
      <c r="F130" s="269"/>
      <c r="G130" s="270"/>
      <c r="H130" s="270"/>
    </row>
    <row r="131" spans="2:8" ht="15.75" customHeight="1" thickBot="1">
      <c r="B131" s="746" t="s">
        <v>607</v>
      </c>
      <c r="C131" s="747"/>
      <c r="D131" s="747"/>
      <c r="E131" s="751" t="s">
        <v>644</v>
      </c>
      <c r="F131" s="751"/>
      <c r="G131" s="751" t="s">
        <v>34</v>
      </c>
      <c r="H131" s="752"/>
    </row>
    <row r="132" spans="2:8">
      <c r="B132" s="673" t="s">
        <v>608</v>
      </c>
      <c r="C132" s="674"/>
      <c r="D132" s="675"/>
      <c r="E132" s="744">
        <v>0</v>
      </c>
      <c r="F132" s="744"/>
      <c r="G132" s="744">
        <v>0</v>
      </c>
      <c r="H132" s="745"/>
    </row>
    <row r="133" spans="2:8">
      <c r="B133" s="673" t="s">
        <v>609</v>
      </c>
      <c r="C133" s="674"/>
      <c r="D133" s="675"/>
      <c r="E133" s="744">
        <v>0</v>
      </c>
      <c r="F133" s="744"/>
      <c r="G133" s="744">
        <v>0</v>
      </c>
      <c r="H133" s="745"/>
    </row>
    <row r="134" spans="2:8">
      <c r="B134" s="673" t="s">
        <v>582</v>
      </c>
      <c r="C134" s="674"/>
      <c r="D134" s="675"/>
      <c r="E134" s="744">
        <v>0</v>
      </c>
      <c r="F134" s="744"/>
      <c r="G134" s="744">
        <v>0</v>
      </c>
      <c r="H134" s="745"/>
    </row>
    <row r="135" spans="2:8">
      <c r="B135" s="673" t="s">
        <v>610</v>
      </c>
      <c r="C135" s="674"/>
      <c r="D135" s="675"/>
      <c r="E135" s="744">
        <v>0</v>
      </c>
      <c r="F135" s="744"/>
      <c r="G135" s="744">
        <v>0</v>
      </c>
      <c r="H135" s="745"/>
    </row>
    <row r="136" spans="2:8">
      <c r="B136" s="673" t="s">
        <v>611</v>
      </c>
      <c r="C136" s="674"/>
      <c r="D136" s="675"/>
      <c r="E136" s="744">
        <v>0</v>
      </c>
      <c r="F136" s="744"/>
      <c r="G136" s="744">
        <v>0</v>
      </c>
      <c r="H136" s="745"/>
    </row>
    <row r="137" spans="2:8">
      <c r="B137" s="673" t="s">
        <v>612</v>
      </c>
      <c r="C137" s="674"/>
      <c r="D137" s="675"/>
      <c r="E137" s="744">
        <v>0</v>
      </c>
      <c r="F137" s="744"/>
      <c r="G137" s="744">
        <v>0</v>
      </c>
      <c r="H137" s="745"/>
    </row>
    <row r="138" spans="2:8">
      <c r="B138" s="673" t="s">
        <v>613</v>
      </c>
      <c r="C138" s="674"/>
      <c r="D138" s="675"/>
      <c r="E138" s="744">
        <v>0</v>
      </c>
      <c r="F138" s="744"/>
      <c r="G138" s="744">
        <v>0</v>
      </c>
      <c r="H138" s="745"/>
    </row>
    <row r="139" spans="2:8">
      <c r="B139" s="673" t="s">
        <v>614</v>
      </c>
      <c r="C139" s="674"/>
      <c r="D139" s="675"/>
      <c r="E139" s="744">
        <v>0</v>
      </c>
      <c r="F139" s="744"/>
      <c r="G139" s="744">
        <v>0</v>
      </c>
      <c r="H139" s="745"/>
    </row>
    <row r="140" spans="2:8">
      <c r="B140" s="673" t="s">
        <v>615</v>
      </c>
      <c r="C140" s="674"/>
      <c r="D140" s="675"/>
      <c r="E140" s="744">
        <v>0</v>
      </c>
      <c r="F140" s="744"/>
      <c r="G140" s="744">
        <v>0</v>
      </c>
      <c r="H140" s="745"/>
    </row>
    <row r="141" spans="2:8">
      <c r="B141" s="673" t="s">
        <v>616</v>
      </c>
      <c r="C141" s="674"/>
      <c r="D141" s="675"/>
      <c r="E141" s="744">
        <v>0</v>
      </c>
      <c r="F141" s="744"/>
      <c r="G141" s="744">
        <v>0</v>
      </c>
      <c r="H141" s="745"/>
    </row>
    <row r="142" spans="2:8" ht="15.6" thickBot="1">
      <c r="B142" s="673" t="s">
        <v>617</v>
      </c>
      <c r="C142" s="674"/>
      <c r="D142" s="675"/>
      <c r="E142" s="744">
        <v>0</v>
      </c>
      <c r="F142" s="744"/>
      <c r="G142" s="744">
        <v>0</v>
      </c>
      <c r="H142" s="745"/>
    </row>
    <row r="143" spans="2:8" ht="16.8" thickTop="1" thickBot="1">
      <c r="B143" s="748" t="s">
        <v>104</v>
      </c>
      <c r="C143" s="749"/>
      <c r="D143" s="750"/>
      <c r="E143" s="753">
        <f>SUM(E132:F142)</f>
        <v>0</v>
      </c>
      <c r="F143" s="754"/>
      <c r="G143" s="753">
        <f>SUM(G132:H142)</f>
        <v>0</v>
      </c>
      <c r="H143" s="754">
        <f>SUM(H132:H142)</f>
        <v>0</v>
      </c>
    </row>
    <row r="144" spans="2:8" ht="15.6" thickBot="1">
      <c r="B144" s="233"/>
      <c r="C144" s="270"/>
      <c r="D144" s="271"/>
      <c r="E144" s="269"/>
      <c r="F144" s="269"/>
      <c r="G144" s="270"/>
      <c r="H144" s="270"/>
    </row>
    <row r="145" spans="2:8" ht="15.75" customHeight="1" thickBot="1">
      <c r="B145" s="746" t="s">
        <v>618</v>
      </c>
      <c r="C145" s="747"/>
      <c r="D145" s="747"/>
      <c r="E145" s="751" t="s">
        <v>644</v>
      </c>
      <c r="F145" s="751"/>
      <c r="G145" s="751" t="s">
        <v>34</v>
      </c>
      <c r="H145" s="752"/>
    </row>
    <row r="146" spans="2:8">
      <c r="B146" s="673" t="s">
        <v>619</v>
      </c>
      <c r="C146" s="674"/>
      <c r="D146" s="675"/>
      <c r="E146" s="744">
        <v>0</v>
      </c>
      <c r="F146" s="744"/>
      <c r="G146" s="744">
        <v>0</v>
      </c>
      <c r="H146" s="745"/>
    </row>
    <row r="147" spans="2:8">
      <c r="B147" s="673" t="s">
        <v>620</v>
      </c>
      <c r="C147" s="674"/>
      <c r="D147" s="675"/>
      <c r="E147" s="744">
        <v>0</v>
      </c>
      <c r="F147" s="744"/>
      <c r="G147" s="744">
        <v>0</v>
      </c>
      <c r="H147" s="745"/>
    </row>
    <row r="148" spans="2:8">
      <c r="B148" s="673" t="s">
        <v>643</v>
      </c>
      <c r="C148" s="674"/>
      <c r="D148" s="675"/>
      <c r="E148" s="744">
        <v>0</v>
      </c>
      <c r="F148" s="744"/>
      <c r="G148" s="744">
        <v>0</v>
      </c>
      <c r="H148" s="745"/>
    </row>
    <row r="149" spans="2:8">
      <c r="B149" s="673" t="s">
        <v>621</v>
      </c>
      <c r="C149" s="674"/>
      <c r="D149" s="675"/>
      <c r="E149" s="744">
        <v>0</v>
      </c>
      <c r="F149" s="744"/>
      <c r="G149" s="744">
        <v>0</v>
      </c>
      <c r="H149" s="745"/>
    </row>
    <row r="150" spans="2:8">
      <c r="B150" s="673" t="s">
        <v>622</v>
      </c>
      <c r="C150" s="674"/>
      <c r="D150" s="675"/>
      <c r="E150" s="744">
        <v>0</v>
      </c>
      <c r="F150" s="744"/>
      <c r="G150" s="744">
        <v>0</v>
      </c>
      <c r="H150" s="745"/>
    </row>
    <row r="151" spans="2:8" ht="15.6" thickBot="1">
      <c r="B151" s="673" t="s">
        <v>623</v>
      </c>
      <c r="C151" s="674"/>
      <c r="D151" s="675"/>
      <c r="E151" s="744">
        <v>0</v>
      </c>
      <c r="F151" s="744"/>
      <c r="G151" s="744">
        <v>0</v>
      </c>
      <c r="H151" s="745"/>
    </row>
    <row r="152" spans="2:8" ht="16.8" thickTop="1" thickBot="1">
      <c r="B152" s="748" t="s">
        <v>104</v>
      </c>
      <c r="C152" s="749"/>
      <c r="D152" s="750"/>
      <c r="E152" s="753">
        <f>SUM(E146:F151)</f>
        <v>0</v>
      </c>
      <c r="F152" s="754"/>
      <c r="G152" s="753">
        <f>SUM(G146:H151)</f>
        <v>0</v>
      </c>
      <c r="H152" s="754">
        <f>SUM(H146:H151)</f>
        <v>0</v>
      </c>
    </row>
    <row r="153" spans="2:8" ht="15.6" thickBot="1">
      <c r="B153" s="233"/>
      <c r="C153" s="270"/>
      <c r="D153" s="271"/>
      <c r="E153" s="269"/>
      <c r="F153" s="269"/>
      <c r="G153" s="270"/>
      <c r="H153" s="270"/>
    </row>
    <row r="154" spans="2:8" ht="15.75" customHeight="1" thickBot="1">
      <c r="B154" s="746" t="s">
        <v>624</v>
      </c>
      <c r="C154" s="747"/>
      <c r="D154" s="747"/>
      <c r="E154" s="751" t="s">
        <v>644</v>
      </c>
      <c r="F154" s="751"/>
      <c r="G154" s="751" t="s">
        <v>34</v>
      </c>
      <c r="H154" s="752"/>
    </row>
    <row r="155" spans="2:8">
      <c r="B155" s="673" t="s">
        <v>625</v>
      </c>
      <c r="C155" s="674"/>
      <c r="D155" s="675"/>
      <c r="E155" s="744">
        <v>0</v>
      </c>
      <c r="F155" s="744"/>
      <c r="G155" s="744">
        <v>0</v>
      </c>
      <c r="H155" s="745"/>
    </row>
    <row r="156" spans="2:8">
      <c r="B156" s="673" t="s">
        <v>626</v>
      </c>
      <c r="C156" s="674"/>
      <c r="D156" s="675"/>
      <c r="E156" s="744">
        <v>0</v>
      </c>
      <c r="F156" s="744"/>
      <c r="G156" s="744">
        <v>0</v>
      </c>
      <c r="H156" s="745"/>
    </row>
    <row r="157" spans="2:8">
      <c r="B157" s="673" t="s">
        <v>627</v>
      </c>
      <c r="C157" s="674"/>
      <c r="D157" s="675"/>
      <c r="E157" s="744">
        <v>0</v>
      </c>
      <c r="F157" s="744"/>
      <c r="G157" s="744">
        <v>0</v>
      </c>
      <c r="H157" s="745"/>
    </row>
    <row r="158" spans="2:8">
      <c r="B158" s="673" t="s">
        <v>628</v>
      </c>
      <c r="C158" s="674"/>
      <c r="D158" s="675"/>
      <c r="E158" s="744">
        <v>0</v>
      </c>
      <c r="F158" s="744"/>
      <c r="G158" s="744">
        <v>0</v>
      </c>
      <c r="H158" s="745"/>
    </row>
    <row r="159" spans="2:8">
      <c r="B159" s="673" t="s">
        <v>583</v>
      </c>
      <c r="C159" s="674"/>
      <c r="D159" s="675"/>
      <c r="E159" s="744">
        <v>0</v>
      </c>
      <c r="F159" s="744"/>
      <c r="G159" s="744">
        <v>0</v>
      </c>
      <c r="H159" s="745"/>
    </row>
    <row r="160" spans="2:8" ht="15.6" thickBot="1">
      <c r="B160" s="673" t="s">
        <v>629</v>
      </c>
      <c r="C160" s="674"/>
      <c r="D160" s="675"/>
      <c r="E160" s="744">
        <v>0</v>
      </c>
      <c r="F160" s="744"/>
      <c r="G160" s="744">
        <v>0</v>
      </c>
      <c r="H160" s="745"/>
    </row>
    <row r="161" spans="2:8" ht="16.8" thickTop="1" thickBot="1">
      <c r="B161" s="748" t="s">
        <v>104</v>
      </c>
      <c r="C161" s="749"/>
      <c r="D161" s="750"/>
      <c r="E161" s="753">
        <f>SUM(E155:F160)</f>
        <v>0</v>
      </c>
      <c r="F161" s="754"/>
      <c r="G161" s="753">
        <f>SUM(G155:H160)</f>
        <v>0</v>
      </c>
      <c r="H161" s="754">
        <f>SUM(H155:H160)</f>
        <v>0</v>
      </c>
    </row>
    <row r="162" spans="2:8" ht="15.6" thickBot="1">
      <c r="B162" s="232"/>
      <c r="C162" s="270"/>
      <c r="D162" s="271"/>
      <c r="E162" s="269"/>
      <c r="F162" s="269"/>
      <c r="G162" s="45"/>
    </row>
    <row r="163" spans="2:8" ht="15.75" customHeight="1" thickBot="1">
      <c r="B163" s="746" t="s">
        <v>630</v>
      </c>
      <c r="C163" s="747"/>
      <c r="D163" s="747"/>
      <c r="E163" s="751" t="s">
        <v>644</v>
      </c>
      <c r="F163" s="751"/>
      <c r="G163" s="751" t="s">
        <v>34</v>
      </c>
      <c r="H163" s="752"/>
    </row>
    <row r="164" spans="2:8">
      <c r="B164" s="673" t="s">
        <v>580</v>
      </c>
      <c r="C164" s="674"/>
      <c r="D164" s="675"/>
      <c r="E164" s="744">
        <v>0</v>
      </c>
      <c r="F164" s="744"/>
      <c r="G164" s="744">
        <v>0</v>
      </c>
      <c r="H164" s="745"/>
    </row>
    <row r="165" spans="2:8" ht="15.6" thickBot="1">
      <c r="B165" s="673" t="s">
        <v>580</v>
      </c>
      <c r="C165" s="674"/>
      <c r="D165" s="675"/>
      <c r="E165" s="744">
        <v>0</v>
      </c>
      <c r="F165" s="744"/>
      <c r="G165" s="744">
        <v>0</v>
      </c>
      <c r="H165" s="745"/>
    </row>
    <row r="166" spans="2:8" ht="16.8" thickTop="1" thickBot="1">
      <c r="B166" s="748" t="s">
        <v>104</v>
      </c>
      <c r="C166" s="749"/>
      <c r="D166" s="750"/>
      <c r="E166" s="753">
        <f>SUM(E164:F165)</f>
        <v>0</v>
      </c>
      <c r="F166" s="754"/>
      <c r="G166" s="753">
        <f>SUM(G164:H165)</f>
        <v>0</v>
      </c>
      <c r="H166" s="754">
        <f>SUM(H164:H165)</f>
        <v>0</v>
      </c>
    </row>
    <row r="167" spans="2:8" ht="16.2" thickBot="1">
      <c r="B167" s="79"/>
      <c r="C167" s="79"/>
      <c r="D167" s="79"/>
      <c r="E167" s="288"/>
      <c r="F167" s="288"/>
      <c r="G167" s="45"/>
    </row>
    <row r="168" spans="2:8" ht="16.8" thickTop="1" thickBot="1">
      <c r="B168" s="748" t="s">
        <v>49</v>
      </c>
      <c r="C168" s="749"/>
      <c r="D168" s="750"/>
      <c r="E168" s="753">
        <f>(SUM(E74,E81,E88,E101))-SUM(E109,E122,E129,E143,E152,E161,E166)</f>
        <v>0</v>
      </c>
      <c r="F168" s="754"/>
      <c r="G168" s="753">
        <f>(SUM(G74,G81,G88,G101))-(SUM(G109,G122,G129,G143,G152,G161,G166))</f>
        <v>0</v>
      </c>
      <c r="H168" s="754"/>
    </row>
    <row r="169" spans="2:8">
      <c r="B169" s="73"/>
      <c r="C169" s="72"/>
      <c r="D169" s="72"/>
      <c r="E169" s="72"/>
      <c r="F169" s="72"/>
      <c r="G169" s="45"/>
    </row>
    <row r="170" spans="2:8">
      <c r="B170" s="73"/>
      <c r="C170" s="72"/>
      <c r="D170" s="72"/>
      <c r="E170" s="72"/>
      <c r="F170" s="72"/>
      <c r="G170" s="45"/>
    </row>
    <row r="171" spans="2:8" ht="15.6">
      <c r="B171" s="805" t="s">
        <v>670</v>
      </c>
      <c r="C171" s="805"/>
      <c r="D171" s="805"/>
      <c r="E171" s="805"/>
      <c r="F171" s="295">
        <f>F3</f>
        <v>44865</v>
      </c>
      <c r="G171" s="295"/>
    </row>
    <row r="172" spans="2:8" ht="16.2" thickBot="1">
      <c r="B172" s="795" t="s">
        <v>669</v>
      </c>
      <c r="C172" s="795"/>
      <c r="D172" s="795"/>
      <c r="E172" s="795"/>
      <c r="F172" s="72"/>
      <c r="G172" s="44" t="s">
        <v>34</v>
      </c>
    </row>
    <row r="173" spans="2:8" ht="16.2" thickBot="1">
      <c r="B173" s="803" t="s">
        <v>406</v>
      </c>
      <c r="C173" s="804"/>
      <c r="D173" s="804"/>
      <c r="E173" s="804"/>
      <c r="F173" s="804"/>
      <c r="G173" s="813"/>
      <c r="H173" s="695"/>
    </row>
    <row r="174" spans="2:8">
      <c r="B174" s="800" t="s">
        <v>106</v>
      </c>
      <c r="C174" s="801"/>
      <c r="D174" s="801"/>
      <c r="E174" s="801"/>
      <c r="F174" s="802"/>
      <c r="G174" s="814">
        <v>0</v>
      </c>
      <c r="H174" s="815"/>
    </row>
    <row r="175" spans="2:8">
      <c r="B175" s="822" t="s">
        <v>731</v>
      </c>
      <c r="C175" s="823"/>
      <c r="D175" s="823"/>
      <c r="E175" s="823"/>
      <c r="F175" s="824"/>
      <c r="G175" s="650">
        <v>0</v>
      </c>
      <c r="H175" s="651"/>
    </row>
    <row r="176" spans="2:8">
      <c r="B176" s="643" t="s">
        <v>412</v>
      </c>
      <c r="C176" s="644"/>
      <c r="D176" s="644"/>
      <c r="E176" s="644"/>
      <c r="F176" s="645"/>
      <c r="G176" s="816">
        <v>0</v>
      </c>
      <c r="H176" s="817"/>
    </row>
    <row r="177" spans="2:9">
      <c r="B177" s="825" t="s">
        <v>107</v>
      </c>
      <c r="C177" s="826"/>
      <c r="D177" s="826"/>
      <c r="E177" s="826"/>
      <c r="F177" s="827"/>
      <c r="G177" s="818">
        <v>0</v>
      </c>
      <c r="H177" s="819"/>
    </row>
    <row r="178" spans="2:9" ht="15.6">
      <c r="B178" s="828" t="s">
        <v>52</v>
      </c>
      <c r="C178" s="829"/>
      <c r="D178" s="829"/>
      <c r="E178" s="829"/>
      <c r="F178" s="829"/>
      <c r="G178" s="820">
        <f>SUM(G174:H177)</f>
        <v>0</v>
      </c>
      <c r="H178" s="821"/>
      <c r="I178" s="72" t="str">
        <f>IF(G45=G178,"","Total Cash  Bal. is "&amp;TEXT(D23-G178,"#,##0.00")&amp;" difference compared to Balance Sheet; please check member shares in line 22 and 79!")</f>
        <v/>
      </c>
    </row>
    <row r="179" spans="2:9">
      <c r="B179" s="810" t="s">
        <v>792</v>
      </c>
      <c r="C179" s="811"/>
      <c r="D179" s="811"/>
      <c r="E179" s="811"/>
      <c r="F179" s="812"/>
      <c r="G179" s="806">
        <v>0</v>
      </c>
      <c r="H179" s="807"/>
    </row>
    <row r="180" spans="2:9">
      <c r="B180" s="810" t="s">
        <v>708</v>
      </c>
      <c r="C180" s="811"/>
      <c r="D180" s="811"/>
      <c r="E180" s="811"/>
      <c r="F180" s="812"/>
      <c r="G180" s="808">
        <v>0</v>
      </c>
      <c r="H180" s="809"/>
    </row>
    <row r="181" spans="2:9">
      <c r="B181" s="810" t="s">
        <v>709</v>
      </c>
      <c r="C181" s="811"/>
      <c r="D181" s="811"/>
      <c r="E181" s="811"/>
      <c r="F181" s="812"/>
      <c r="G181" s="808">
        <v>0</v>
      </c>
      <c r="H181" s="809"/>
    </row>
    <row r="182" spans="2:9">
      <c r="B182" s="810" t="s">
        <v>710</v>
      </c>
      <c r="C182" s="811"/>
      <c r="D182" s="811"/>
      <c r="E182" s="811"/>
      <c r="F182" s="812"/>
      <c r="G182" s="808">
        <v>0</v>
      </c>
      <c r="H182" s="809"/>
    </row>
    <row r="183" spans="2:9">
      <c r="B183" s="810" t="s">
        <v>711</v>
      </c>
      <c r="C183" s="811"/>
      <c r="D183" s="811"/>
      <c r="E183" s="811"/>
      <c r="F183" s="812"/>
      <c r="G183" s="808">
        <v>0</v>
      </c>
      <c r="H183" s="809"/>
    </row>
    <row r="184" spans="2:9">
      <c r="B184" s="810" t="s">
        <v>712</v>
      </c>
      <c r="C184" s="811"/>
      <c r="D184" s="811"/>
      <c r="E184" s="811"/>
      <c r="F184" s="812"/>
      <c r="G184" s="808">
        <v>0</v>
      </c>
      <c r="H184" s="809"/>
    </row>
    <row r="185" spans="2:9" ht="15.6">
      <c r="B185" s="828" t="s">
        <v>399</v>
      </c>
      <c r="C185" s="829"/>
      <c r="D185" s="829"/>
      <c r="E185" s="829"/>
      <c r="F185" s="838"/>
      <c r="G185" s="820">
        <f>SUM(G179:H184)</f>
        <v>0</v>
      </c>
      <c r="H185" s="821"/>
    </row>
    <row r="186" spans="2:9" ht="18" thickBot="1">
      <c r="B186" s="833" t="s">
        <v>104</v>
      </c>
      <c r="C186" s="834"/>
      <c r="D186" s="834"/>
      <c r="E186" s="834"/>
      <c r="F186" s="835"/>
      <c r="G186" s="836">
        <f>G178+G185</f>
        <v>0</v>
      </c>
      <c r="H186" s="837"/>
    </row>
    <row r="187" spans="2:9">
      <c r="B187" s="830"/>
      <c r="C187" s="830"/>
      <c r="D187" s="830"/>
      <c r="E187" s="830"/>
      <c r="F187" s="830"/>
      <c r="G187" s="830"/>
      <c r="H187" s="830"/>
    </row>
    <row r="188" spans="2:9" ht="15.6" thickBot="1">
      <c r="B188" s="831"/>
      <c r="C188" s="831"/>
      <c r="D188" s="831"/>
      <c r="E188" s="831"/>
      <c r="F188" s="831"/>
      <c r="G188" s="831"/>
      <c r="H188" s="831"/>
    </row>
    <row r="189" spans="2:9" ht="16.2" thickBot="1">
      <c r="B189" s="803" t="s">
        <v>400</v>
      </c>
      <c r="C189" s="804"/>
      <c r="D189" s="804"/>
      <c r="E189" s="804"/>
      <c r="F189" s="804"/>
      <c r="G189" s="804"/>
      <c r="H189" s="832"/>
    </row>
    <row r="190" spans="2:9">
      <c r="B190" s="822" t="s">
        <v>690</v>
      </c>
      <c r="C190" s="823"/>
      <c r="D190" s="823"/>
      <c r="E190" s="823"/>
      <c r="F190" s="824"/>
      <c r="G190" s="646">
        <v>0</v>
      </c>
      <c r="H190" s="647"/>
    </row>
    <row r="191" spans="2:9">
      <c r="B191" s="822" t="s">
        <v>727</v>
      </c>
      <c r="C191" s="823"/>
      <c r="D191" s="823"/>
      <c r="E191" s="823"/>
      <c r="F191" s="824"/>
      <c r="G191" s="646">
        <v>0</v>
      </c>
      <c r="H191" s="647"/>
    </row>
    <row r="192" spans="2:9">
      <c r="B192" s="822" t="s">
        <v>728</v>
      </c>
      <c r="C192" s="823"/>
      <c r="D192" s="823"/>
      <c r="E192" s="823"/>
      <c r="F192" s="824"/>
      <c r="G192" s="646">
        <v>0</v>
      </c>
      <c r="H192" s="647"/>
    </row>
    <row r="193" spans="2:8">
      <c r="B193" s="822" t="s">
        <v>729</v>
      </c>
      <c r="C193" s="823"/>
      <c r="D193" s="823"/>
      <c r="E193" s="823"/>
      <c r="F193" s="824"/>
      <c r="G193" s="646">
        <v>0</v>
      </c>
      <c r="H193" s="647"/>
    </row>
    <row r="194" spans="2:8">
      <c r="B194" s="822" t="s">
        <v>730</v>
      </c>
      <c r="C194" s="823"/>
      <c r="D194" s="823"/>
      <c r="E194" s="823"/>
      <c r="F194" s="824"/>
      <c r="G194" s="646">
        <v>0</v>
      </c>
      <c r="H194" s="647"/>
    </row>
    <row r="195" spans="2:8">
      <c r="B195" s="643" t="s">
        <v>777</v>
      </c>
      <c r="C195" s="644"/>
      <c r="D195" s="644"/>
      <c r="E195" s="644"/>
      <c r="F195" s="645"/>
      <c r="G195" s="646">
        <v>0</v>
      </c>
      <c r="H195" s="647"/>
    </row>
    <row r="196" spans="2:8">
      <c r="B196" s="643" t="s">
        <v>778</v>
      </c>
      <c r="C196" s="644"/>
      <c r="D196" s="644"/>
      <c r="E196" s="644"/>
      <c r="F196" s="645"/>
      <c r="G196" s="646">
        <v>0</v>
      </c>
      <c r="H196" s="647"/>
    </row>
    <row r="197" spans="2:8">
      <c r="B197" s="643" t="s">
        <v>790</v>
      </c>
      <c r="C197" s="644"/>
      <c r="D197" s="644"/>
      <c r="E197" s="644"/>
      <c r="F197" s="645"/>
      <c r="G197" s="646">
        <v>0</v>
      </c>
      <c r="H197" s="647"/>
    </row>
    <row r="198" spans="2:8">
      <c r="B198" s="643" t="s">
        <v>779</v>
      </c>
      <c r="C198" s="644"/>
      <c r="D198" s="644"/>
      <c r="E198" s="644"/>
      <c r="F198" s="645"/>
      <c r="G198" s="646">
        <v>0</v>
      </c>
      <c r="H198" s="647"/>
    </row>
    <row r="199" spans="2:8">
      <c r="B199" s="643" t="s">
        <v>780</v>
      </c>
      <c r="C199" s="644"/>
      <c r="D199" s="644"/>
      <c r="E199" s="644"/>
      <c r="F199" s="645"/>
      <c r="G199" s="646">
        <v>0</v>
      </c>
      <c r="H199" s="647"/>
    </row>
    <row r="200" spans="2:8">
      <c r="B200" s="643" t="s">
        <v>781</v>
      </c>
      <c r="C200" s="644"/>
      <c r="D200" s="644"/>
      <c r="E200" s="644"/>
      <c r="F200" s="645"/>
      <c r="G200" s="646">
        <v>0</v>
      </c>
      <c r="H200" s="647"/>
    </row>
    <row r="201" spans="2:8">
      <c r="B201" s="643" t="s">
        <v>782</v>
      </c>
      <c r="C201" s="644"/>
      <c r="D201" s="644"/>
      <c r="E201" s="644"/>
      <c r="F201" s="645"/>
      <c r="G201" s="646">
        <v>0</v>
      </c>
      <c r="H201" s="647"/>
    </row>
    <row r="202" spans="2:8">
      <c r="B202" s="643" t="s">
        <v>684</v>
      </c>
      <c r="C202" s="644"/>
      <c r="D202" s="644"/>
      <c r="E202" s="644"/>
      <c r="F202" s="645"/>
      <c r="G202" s="646">
        <v>0</v>
      </c>
      <c r="H202" s="647"/>
    </row>
    <row r="203" spans="2:8">
      <c r="B203" s="643" t="s">
        <v>685</v>
      </c>
      <c r="C203" s="644"/>
      <c r="D203" s="644"/>
      <c r="E203" s="644"/>
      <c r="F203" s="645"/>
      <c r="G203" s="646">
        <v>0</v>
      </c>
      <c r="H203" s="647"/>
    </row>
    <row r="204" spans="2:8">
      <c r="B204" s="643" t="s">
        <v>686</v>
      </c>
      <c r="C204" s="644"/>
      <c r="D204" s="644"/>
      <c r="E204" s="644"/>
      <c r="F204" s="645"/>
      <c r="G204" s="646">
        <v>0</v>
      </c>
      <c r="H204" s="647"/>
    </row>
    <row r="205" spans="2:8">
      <c r="B205" s="643" t="s">
        <v>687</v>
      </c>
      <c r="C205" s="644"/>
      <c r="D205" s="644"/>
      <c r="E205" s="644"/>
      <c r="F205" s="645"/>
      <c r="G205" s="646">
        <v>0</v>
      </c>
      <c r="H205" s="647"/>
    </row>
    <row r="206" spans="2:8">
      <c r="B206" s="643" t="s">
        <v>688</v>
      </c>
      <c r="C206" s="644"/>
      <c r="D206" s="644"/>
      <c r="E206" s="644"/>
      <c r="F206" s="645"/>
      <c r="G206" s="646">
        <v>0</v>
      </c>
      <c r="H206" s="647"/>
    </row>
    <row r="207" spans="2:8">
      <c r="B207" s="643" t="s">
        <v>689</v>
      </c>
      <c r="C207" s="644"/>
      <c r="D207" s="644"/>
      <c r="E207" s="644"/>
      <c r="F207" s="645"/>
      <c r="G207" s="646">
        <v>0</v>
      </c>
      <c r="H207" s="647"/>
    </row>
    <row r="208" spans="2:8">
      <c r="B208" s="643" t="s">
        <v>108</v>
      </c>
      <c r="C208" s="644"/>
      <c r="D208" s="644"/>
      <c r="E208" s="644"/>
      <c r="F208" s="645"/>
      <c r="G208" s="770">
        <v>0</v>
      </c>
      <c r="H208" s="771"/>
    </row>
    <row r="209" spans="2:8" ht="15.6" thickBot="1">
      <c r="B209" s="839" t="s">
        <v>109</v>
      </c>
      <c r="C209" s="840"/>
      <c r="D209" s="840"/>
      <c r="E209" s="840"/>
      <c r="F209" s="841"/>
      <c r="G209" s="770">
        <v>0</v>
      </c>
      <c r="H209" s="771"/>
    </row>
    <row r="210" spans="2:8" ht="16.5" customHeight="1" thickTop="1" thickBot="1">
      <c r="B210" s="772" t="s">
        <v>104</v>
      </c>
      <c r="C210" s="773"/>
      <c r="D210" s="773"/>
      <c r="E210" s="773"/>
      <c r="F210" s="773"/>
      <c r="G210" s="774">
        <f>SUM(G190:H209)</f>
        <v>0</v>
      </c>
      <c r="H210" s="775"/>
    </row>
    <row r="211" spans="2:8" ht="16.2" thickBot="1">
      <c r="B211" s="44"/>
      <c r="C211" s="46"/>
      <c r="D211" s="105"/>
      <c r="E211" s="72"/>
      <c r="F211" s="76"/>
      <c r="G211" s="45"/>
    </row>
    <row r="212" spans="2:8" ht="16.2" thickBot="1">
      <c r="B212" s="767" t="s">
        <v>401</v>
      </c>
      <c r="C212" s="768"/>
      <c r="D212" s="768"/>
      <c r="E212" s="768"/>
      <c r="F212" s="768"/>
      <c r="G212" s="768"/>
      <c r="H212" s="769"/>
    </row>
    <row r="213" spans="2:8">
      <c r="B213" s="822" t="s">
        <v>110</v>
      </c>
      <c r="C213" s="823"/>
      <c r="D213" s="823"/>
      <c r="E213" s="823"/>
      <c r="F213" s="824"/>
      <c r="G213" s="646">
        <v>0</v>
      </c>
      <c r="H213" s="647"/>
    </row>
    <row r="214" spans="2:8">
      <c r="B214" s="643" t="s">
        <v>111</v>
      </c>
      <c r="C214" s="644"/>
      <c r="D214" s="644"/>
      <c r="E214" s="644"/>
      <c r="F214" s="645"/>
      <c r="G214" s="770">
        <v>0</v>
      </c>
      <c r="H214" s="771"/>
    </row>
    <row r="215" spans="2:8">
      <c r="B215" s="643" t="s">
        <v>112</v>
      </c>
      <c r="C215" s="644"/>
      <c r="D215" s="644"/>
      <c r="E215" s="644"/>
      <c r="F215" s="645"/>
      <c r="G215" s="646">
        <v>0</v>
      </c>
      <c r="H215" s="647"/>
    </row>
    <row r="216" spans="2:8">
      <c r="B216" s="643" t="s">
        <v>775</v>
      </c>
      <c r="C216" s="644"/>
      <c r="D216" s="644"/>
      <c r="E216" s="644"/>
      <c r="F216" s="645"/>
      <c r="G216" s="646">
        <v>0</v>
      </c>
      <c r="H216" s="647"/>
    </row>
    <row r="217" spans="2:8">
      <c r="B217" s="643" t="s">
        <v>682</v>
      </c>
      <c r="C217" s="644"/>
      <c r="D217" s="644"/>
      <c r="E217" s="644"/>
      <c r="F217" s="645"/>
      <c r="G217" s="646">
        <v>0</v>
      </c>
      <c r="H217" s="647"/>
    </row>
    <row r="218" spans="2:8" ht="15.6" thickBot="1">
      <c r="B218" s="643" t="s">
        <v>683</v>
      </c>
      <c r="C218" s="644"/>
      <c r="D218" s="644"/>
      <c r="E218" s="644"/>
      <c r="F218" s="645"/>
      <c r="G218" s="646">
        <v>0</v>
      </c>
      <c r="H218" s="647"/>
    </row>
    <row r="219" spans="2:8" ht="18.600000000000001" thickTop="1" thickBot="1">
      <c r="B219" s="772" t="s">
        <v>104</v>
      </c>
      <c r="C219" s="773"/>
      <c r="D219" s="773"/>
      <c r="E219" s="773"/>
      <c r="F219" s="773"/>
      <c r="G219" s="774">
        <f>SUM(G213:H218)</f>
        <v>0</v>
      </c>
      <c r="H219" s="775"/>
    </row>
    <row r="220" spans="2:8" ht="17.399999999999999">
      <c r="B220" s="296"/>
      <c r="C220" s="296"/>
      <c r="D220" s="296"/>
      <c r="E220" s="296"/>
      <c r="F220" s="296"/>
      <c r="G220" s="75"/>
      <c r="H220" s="75"/>
    </row>
    <row r="221" spans="2:8" ht="16.2" thickBot="1">
      <c r="B221" s="44"/>
      <c r="C221" s="46"/>
      <c r="D221" s="105"/>
      <c r="E221" s="72"/>
      <c r="F221" s="76"/>
      <c r="G221" s="45"/>
    </row>
    <row r="222" spans="2:8" ht="16.2" thickBot="1">
      <c r="B222" s="767" t="s">
        <v>402</v>
      </c>
      <c r="C222" s="768"/>
      <c r="D222" s="768"/>
      <c r="E222" s="768"/>
      <c r="F222" s="768"/>
      <c r="G222" s="768"/>
      <c r="H222" s="769"/>
    </row>
    <row r="223" spans="2:8">
      <c r="B223" s="643" t="s">
        <v>796</v>
      </c>
      <c r="C223" s="644"/>
      <c r="D223" s="644"/>
      <c r="E223" s="644"/>
      <c r="F223" s="645">
        <v>0</v>
      </c>
      <c r="G223" s="770">
        <v>0</v>
      </c>
      <c r="H223" s="771"/>
    </row>
    <row r="224" spans="2:8">
      <c r="B224" s="643" t="s">
        <v>796</v>
      </c>
      <c r="C224" s="644"/>
      <c r="D224" s="644"/>
      <c r="E224" s="644"/>
      <c r="F224" s="645">
        <v>1</v>
      </c>
      <c r="G224" s="650">
        <v>0</v>
      </c>
      <c r="H224" s="651"/>
    </row>
    <row r="225" spans="2:8">
      <c r="B225" s="643" t="s">
        <v>796</v>
      </c>
      <c r="C225" s="644"/>
      <c r="D225" s="644"/>
      <c r="E225" s="644"/>
      <c r="F225" s="645">
        <v>2</v>
      </c>
      <c r="G225" s="650">
        <v>0</v>
      </c>
      <c r="H225" s="651"/>
    </row>
    <row r="226" spans="2:8">
      <c r="B226" s="643" t="s">
        <v>796</v>
      </c>
      <c r="C226" s="644"/>
      <c r="D226" s="644"/>
      <c r="E226" s="644"/>
      <c r="F226" s="645">
        <v>3</v>
      </c>
      <c r="G226" s="650">
        <v>0</v>
      </c>
      <c r="H226" s="651"/>
    </row>
    <row r="227" spans="2:8">
      <c r="B227" s="643" t="s">
        <v>796</v>
      </c>
      <c r="C227" s="644"/>
      <c r="D227" s="644"/>
      <c r="E227" s="644"/>
      <c r="F227" s="645">
        <v>4</v>
      </c>
      <c r="G227" s="650">
        <v>0</v>
      </c>
      <c r="H227" s="651"/>
    </row>
    <row r="228" spans="2:8">
      <c r="B228" s="643" t="s">
        <v>796</v>
      </c>
      <c r="C228" s="644"/>
      <c r="D228" s="644"/>
      <c r="E228" s="644"/>
      <c r="F228" s="645">
        <v>5</v>
      </c>
      <c r="G228" s="650">
        <v>0</v>
      </c>
      <c r="H228" s="651"/>
    </row>
    <row r="229" spans="2:8">
      <c r="B229" s="643" t="s">
        <v>796</v>
      </c>
      <c r="C229" s="644"/>
      <c r="D229" s="644"/>
      <c r="E229" s="644"/>
      <c r="F229" s="645">
        <v>6</v>
      </c>
      <c r="G229" s="650">
        <v>0</v>
      </c>
      <c r="H229" s="651"/>
    </row>
    <row r="230" spans="2:8">
      <c r="B230" s="643" t="s">
        <v>796</v>
      </c>
      <c r="C230" s="644"/>
      <c r="D230" s="644"/>
      <c r="E230" s="644"/>
      <c r="F230" s="645">
        <v>7</v>
      </c>
      <c r="G230" s="650">
        <v>0</v>
      </c>
      <c r="H230" s="651"/>
    </row>
    <row r="231" spans="2:8">
      <c r="B231" s="643" t="s">
        <v>797</v>
      </c>
      <c r="C231" s="644"/>
      <c r="D231" s="644"/>
      <c r="E231" s="644"/>
      <c r="F231" s="645">
        <v>1</v>
      </c>
      <c r="G231" s="650">
        <v>0</v>
      </c>
      <c r="H231" s="651"/>
    </row>
    <row r="232" spans="2:8">
      <c r="B232" s="839" t="s">
        <v>798</v>
      </c>
      <c r="C232" s="840"/>
      <c r="D232" s="840"/>
      <c r="E232" s="840"/>
      <c r="F232" s="841">
        <v>2</v>
      </c>
      <c r="G232" s="849">
        <v>0</v>
      </c>
      <c r="H232" s="850"/>
    </row>
    <row r="233" spans="2:8" ht="15.6">
      <c r="B233" s="844" t="s">
        <v>113</v>
      </c>
      <c r="C233" s="845"/>
      <c r="D233" s="845"/>
      <c r="E233" s="845"/>
      <c r="F233" s="846">
        <f>SUM(F223:F223)</f>
        <v>0</v>
      </c>
      <c r="G233" s="847">
        <f>SUM(G223:H232)</f>
        <v>0</v>
      </c>
      <c r="H233" s="848"/>
    </row>
    <row r="234" spans="2:8" ht="15.6" thickBot="1">
      <c r="B234" s="822" t="s">
        <v>407</v>
      </c>
      <c r="C234" s="823"/>
      <c r="D234" s="823"/>
      <c r="E234" s="823"/>
      <c r="F234" s="824">
        <f>'Loans Report'!H62</f>
        <v>0</v>
      </c>
      <c r="G234" s="842">
        <v>0</v>
      </c>
      <c r="H234" s="843"/>
    </row>
    <row r="235" spans="2:8" ht="18.600000000000001" thickTop="1" thickBot="1">
      <c r="B235" s="772" t="s">
        <v>114</v>
      </c>
      <c r="C235" s="773"/>
      <c r="D235" s="773"/>
      <c r="E235" s="773"/>
      <c r="F235" s="773">
        <f>F233-F234</f>
        <v>0</v>
      </c>
      <c r="G235" s="774">
        <f>G233-G234</f>
        <v>0</v>
      </c>
      <c r="H235" s="775"/>
    </row>
    <row r="236" spans="2:8" ht="17.399999999999999">
      <c r="B236" s="296"/>
      <c r="C236" s="296"/>
      <c r="D236" s="296"/>
      <c r="E236" s="296"/>
      <c r="F236" s="296"/>
      <c r="G236" s="75"/>
      <c r="H236" s="75"/>
    </row>
    <row r="237" spans="2:8" ht="16.2" thickBot="1">
      <c r="B237" s="79"/>
      <c r="C237" s="46"/>
      <c r="D237" s="105"/>
      <c r="E237" s="72"/>
      <c r="F237" s="76"/>
      <c r="G237" s="45"/>
    </row>
    <row r="238" spans="2:8" ht="16.2" thickBot="1">
      <c r="B238" s="767" t="s">
        <v>403</v>
      </c>
      <c r="C238" s="768"/>
      <c r="D238" s="768"/>
      <c r="E238" s="768"/>
      <c r="F238" s="768"/>
      <c r="G238" s="768"/>
      <c r="H238" s="769"/>
    </row>
    <row r="239" spans="2:8">
      <c r="B239" s="643" t="s">
        <v>721</v>
      </c>
      <c r="C239" s="644"/>
      <c r="D239" s="644"/>
      <c r="E239" s="644"/>
      <c r="F239" s="645">
        <v>0</v>
      </c>
      <c r="G239" s="770">
        <v>0</v>
      </c>
      <c r="H239" s="771"/>
    </row>
    <row r="240" spans="2:8">
      <c r="B240" s="643" t="s">
        <v>722</v>
      </c>
      <c r="C240" s="644"/>
      <c r="D240" s="644"/>
      <c r="E240" s="644"/>
      <c r="F240" s="645">
        <v>1</v>
      </c>
      <c r="G240" s="770"/>
      <c r="H240" s="771"/>
    </row>
    <row r="241" spans="2:8">
      <c r="B241" s="643" t="s">
        <v>723</v>
      </c>
      <c r="C241" s="644"/>
      <c r="D241" s="644"/>
      <c r="E241" s="644"/>
      <c r="F241" s="645">
        <v>2</v>
      </c>
      <c r="G241" s="770"/>
      <c r="H241" s="771"/>
    </row>
    <row r="242" spans="2:8">
      <c r="B242" s="643" t="s">
        <v>724</v>
      </c>
      <c r="C242" s="644"/>
      <c r="D242" s="644"/>
      <c r="E242" s="644"/>
      <c r="F242" s="645">
        <v>3</v>
      </c>
      <c r="G242" s="770"/>
      <c r="H242" s="771"/>
    </row>
    <row r="243" spans="2:8">
      <c r="B243" s="643" t="s">
        <v>725</v>
      </c>
      <c r="C243" s="644"/>
      <c r="D243" s="644"/>
      <c r="E243" s="644"/>
      <c r="F243" s="645">
        <v>4</v>
      </c>
      <c r="G243" s="770"/>
      <c r="H243" s="771"/>
    </row>
    <row r="244" spans="2:8">
      <c r="B244" s="643" t="s">
        <v>726</v>
      </c>
      <c r="C244" s="644"/>
      <c r="D244" s="644"/>
      <c r="E244" s="644"/>
      <c r="F244" s="645">
        <v>5</v>
      </c>
      <c r="G244" s="770"/>
      <c r="H244" s="771"/>
    </row>
    <row r="245" spans="2:8" ht="15.6" thickBot="1">
      <c r="B245" s="643" t="s">
        <v>241</v>
      </c>
      <c r="C245" s="644"/>
      <c r="D245" s="644"/>
      <c r="E245" s="644"/>
      <c r="F245" s="645">
        <v>0</v>
      </c>
      <c r="G245" s="770"/>
      <c r="H245" s="771"/>
    </row>
    <row r="246" spans="2:8" ht="18.600000000000001" thickTop="1" thickBot="1">
      <c r="B246" s="772" t="s">
        <v>104</v>
      </c>
      <c r="C246" s="773"/>
      <c r="D246" s="773"/>
      <c r="E246" s="773"/>
      <c r="F246" s="773">
        <f>SUM(F239:F245)</f>
        <v>15</v>
      </c>
      <c r="G246" s="851">
        <f>SUM(G239:H245)</f>
        <v>0</v>
      </c>
      <c r="H246" s="852"/>
    </row>
    <row r="247" spans="2:8" ht="16.2" thickBot="1">
      <c r="B247" s="44"/>
      <c r="C247" s="46"/>
      <c r="D247" s="105"/>
      <c r="E247" s="72"/>
      <c r="F247" s="77"/>
      <c r="G247" s="45"/>
    </row>
    <row r="248" spans="2:8" ht="16.2" thickBot="1">
      <c r="B248" s="767" t="s">
        <v>408</v>
      </c>
      <c r="C248" s="768"/>
      <c r="D248" s="768"/>
      <c r="E248" s="768"/>
      <c r="F248" s="768"/>
      <c r="G248" s="768"/>
      <c r="H248" s="769"/>
    </row>
    <row r="249" spans="2:8">
      <c r="B249" s="643" t="s">
        <v>692</v>
      </c>
      <c r="C249" s="644"/>
      <c r="D249" s="644"/>
      <c r="E249" s="644"/>
      <c r="F249" s="645">
        <v>0</v>
      </c>
      <c r="G249" s="646">
        <v>0</v>
      </c>
      <c r="H249" s="647"/>
    </row>
    <row r="250" spans="2:8">
      <c r="B250" s="643" t="s">
        <v>691</v>
      </c>
      <c r="C250" s="644"/>
      <c r="D250" s="644"/>
      <c r="E250" s="644"/>
      <c r="F250" s="645"/>
      <c r="G250" s="853">
        <v>0</v>
      </c>
      <c r="H250" s="854"/>
    </row>
    <row r="251" spans="2:8">
      <c r="B251" s="643" t="s">
        <v>115</v>
      </c>
      <c r="C251" s="644"/>
      <c r="D251" s="644"/>
      <c r="E251" s="644"/>
      <c r="F251" s="645">
        <v>0</v>
      </c>
      <c r="G251" s="853">
        <v>0</v>
      </c>
      <c r="H251" s="854"/>
    </row>
    <row r="252" spans="2:8">
      <c r="B252" s="643" t="s">
        <v>416</v>
      </c>
      <c r="C252" s="644"/>
      <c r="D252" s="644"/>
      <c r="E252" s="644"/>
      <c r="F252" s="645">
        <v>0</v>
      </c>
      <c r="G252" s="853">
        <v>0</v>
      </c>
      <c r="H252" s="854"/>
    </row>
    <row r="253" spans="2:8">
      <c r="B253" s="643" t="s">
        <v>116</v>
      </c>
      <c r="C253" s="644"/>
      <c r="D253" s="644"/>
      <c r="E253" s="644"/>
      <c r="F253" s="645">
        <v>0</v>
      </c>
      <c r="G253" s="853">
        <v>0</v>
      </c>
      <c r="H253" s="854"/>
    </row>
    <row r="254" spans="2:8">
      <c r="B254" s="643" t="s">
        <v>750</v>
      </c>
      <c r="C254" s="644"/>
      <c r="D254" s="644"/>
      <c r="E254" s="644"/>
      <c r="F254" s="645">
        <v>0</v>
      </c>
      <c r="G254" s="853">
        <v>0</v>
      </c>
      <c r="H254" s="854"/>
    </row>
    <row r="255" spans="2:8">
      <c r="B255" s="643" t="s">
        <v>415</v>
      </c>
      <c r="C255" s="644"/>
      <c r="D255" s="644"/>
      <c r="E255" s="644"/>
      <c r="F255" s="645">
        <v>0</v>
      </c>
      <c r="G255" s="853">
        <v>0</v>
      </c>
      <c r="H255" s="854"/>
    </row>
    <row r="256" spans="2:8">
      <c r="B256" s="643" t="s">
        <v>241</v>
      </c>
      <c r="C256" s="644"/>
      <c r="D256" s="644"/>
      <c r="E256" s="644"/>
      <c r="F256" s="645">
        <v>0</v>
      </c>
      <c r="G256" s="853">
        <v>0</v>
      </c>
      <c r="H256" s="854"/>
    </row>
    <row r="257" spans="2:8" ht="17.399999999999999">
      <c r="B257" s="855" t="s">
        <v>2</v>
      </c>
      <c r="C257" s="856"/>
      <c r="D257" s="856"/>
      <c r="E257" s="856"/>
      <c r="F257" s="856">
        <f>SUM(F249:F256)</f>
        <v>0</v>
      </c>
      <c r="G257" s="857">
        <f>SUM(G249:H256)</f>
        <v>0</v>
      </c>
      <c r="H257" s="858"/>
    </row>
    <row r="258" spans="2:8" ht="16.2" thickBot="1">
      <c r="B258" s="859" t="s">
        <v>404</v>
      </c>
      <c r="C258" s="860"/>
      <c r="D258" s="860"/>
      <c r="E258" s="860"/>
      <c r="F258" s="860">
        <v>0</v>
      </c>
      <c r="G258" s="842">
        <v>0</v>
      </c>
      <c r="H258" s="843"/>
    </row>
    <row r="259" spans="2:8" ht="18.600000000000001" thickTop="1" thickBot="1">
      <c r="B259" s="772" t="s">
        <v>117</v>
      </c>
      <c r="C259" s="773"/>
      <c r="D259" s="773">
        <f>G186+G210+F219+F235+F246+F259</f>
        <v>15</v>
      </c>
      <c r="E259" s="773"/>
      <c r="F259" s="773">
        <f>F257-F258</f>
        <v>0</v>
      </c>
      <c r="G259" s="774">
        <f>G257-G258</f>
        <v>0</v>
      </c>
      <c r="H259" s="775"/>
    </row>
    <row r="260" spans="2:8" ht="15.6">
      <c r="B260" s="74"/>
      <c r="C260" s="46"/>
      <c r="D260" s="106"/>
      <c r="E260" s="72"/>
      <c r="F260" s="76"/>
      <c r="G260" s="45"/>
    </row>
    <row r="261" spans="2:8" ht="15.6">
      <c r="B261" s="74" t="s">
        <v>761</v>
      </c>
      <c r="C261" s="46"/>
      <c r="D261" s="106"/>
      <c r="E261" s="72"/>
      <c r="F261" s="76"/>
      <c r="G261" s="861">
        <f>SUM(G186,G210,G219,G235,G246,G259)</f>
        <v>0</v>
      </c>
      <c r="H261" s="861"/>
    </row>
    <row r="262" spans="2:8" ht="15.6">
      <c r="B262" s="74"/>
      <c r="C262" s="46"/>
      <c r="D262" s="106"/>
      <c r="E262" s="72"/>
      <c r="F262" s="76"/>
      <c r="G262" s="45"/>
    </row>
    <row r="263" spans="2:8" ht="15.6">
      <c r="B263" s="44" t="s">
        <v>676</v>
      </c>
      <c r="C263" s="46"/>
      <c r="D263" s="105"/>
      <c r="E263" s="72"/>
      <c r="F263" s="78"/>
      <c r="G263" s="45"/>
    </row>
    <row r="264" spans="2:8" ht="16.2" thickBot="1">
      <c r="B264" s="44"/>
      <c r="C264" s="46"/>
      <c r="D264" s="105"/>
      <c r="E264" s="72"/>
      <c r="F264" s="78"/>
      <c r="G264" s="45"/>
    </row>
    <row r="265" spans="2:8" ht="16.2" thickBot="1">
      <c r="B265" s="767" t="s">
        <v>405</v>
      </c>
      <c r="C265" s="768"/>
      <c r="D265" s="768"/>
      <c r="E265" s="768"/>
      <c r="F265" s="768"/>
      <c r="G265" s="768"/>
      <c r="H265" s="769"/>
    </row>
    <row r="266" spans="2:8">
      <c r="B266" s="643" t="s">
        <v>714</v>
      </c>
      <c r="C266" s="644"/>
      <c r="D266" s="644"/>
      <c r="E266" s="644"/>
      <c r="F266" s="645">
        <v>0</v>
      </c>
      <c r="G266" s="770">
        <v>0</v>
      </c>
      <c r="H266" s="771"/>
    </row>
    <row r="267" spans="2:8">
      <c r="B267" s="643" t="s">
        <v>715</v>
      </c>
      <c r="C267" s="644"/>
      <c r="D267" s="644"/>
      <c r="E267" s="644"/>
      <c r="F267" s="645">
        <v>1</v>
      </c>
      <c r="G267" s="770">
        <v>0</v>
      </c>
      <c r="H267" s="771"/>
    </row>
    <row r="268" spans="2:8">
      <c r="B268" s="643" t="s">
        <v>716</v>
      </c>
      <c r="C268" s="644"/>
      <c r="D268" s="644"/>
      <c r="E268" s="644"/>
      <c r="F268" s="645">
        <v>2</v>
      </c>
      <c r="G268" s="770"/>
      <c r="H268" s="771"/>
    </row>
    <row r="269" spans="2:8">
      <c r="B269" s="643" t="s">
        <v>717</v>
      </c>
      <c r="C269" s="644"/>
      <c r="D269" s="644"/>
      <c r="E269" s="644"/>
      <c r="F269" s="645">
        <v>3</v>
      </c>
      <c r="G269" s="770"/>
      <c r="H269" s="771"/>
    </row>
    <row r="270" spans="2:8">
      <c r="B270" s="643" t="s">
        <v>718</v>
      </c>
      <c r="C270" s="644"/>
      <c r="D270" s="644"/>
      <c r="E270" s="644"/>
      <c r="F270" s="645">
        <v>4</v>
      </c>
      <c r="G270" s="770"/>
      <c r="H270" s="771"/>
    </row>
    <row r="271" spans="2:8">
      <c r="B271" s="643" t="s">
        <v>719</v>
      </c>
      <c r="C271" s="644"/>
      <c r="D271" s="644"/>
      <c r="E271" s="644"/>
      <c r="F271" s="645">
        <v>5</v>
      </c>
      <c r="G271" s="770">
        <v>0</v>
      </c>
      <c r="H271" s="771"/>
    </row>
    <row r="272" spans="2:8" ht="15.6" thickBot="1">
      <c r="B272" s="643" t="s">
        <v>720</v>
      </c>
      <c r="C272" s="644"/>
      <c r="D272" s="644"/>
      <c r="E272" s="644"/>
      <c r="F272" s="645">
        <v>6</v>
      </c>
      <c r="G272" s="770"/>
      <c r="H272" s="771"/>
    </row>
    <row r="273" spans="2:8" ht="18.600000000000001" thickTop="1" thickBot="1">
      <c r="B273" s="772" t="s">
        <v>104</v>
      </c>
      <c r="C273" s="773"/>
      <c r="D273" s="773"/>
      <c r="E273" s="773"/>
      <c r="F273" s="773">
        <f>SUM(F260:F272)</f>
        <v>21</v>
      </c>
      <c r="G273" s="774">
        <f>SUM(G266:H272)</f>
        <v>0</v>
      </c>
      <c r="H273" s="775"/>
    </row>
    <row r="274" spans="2:8" ht="17.399999999999999">
      <c r="B274" s="44"/>
      <c r="C274" s="46"/>
      <c r="D274" s="105"/>
      <c r="E274" s="72"/>
      <c r="F274" s="75"/>
      <c r="G274" s="45"/>
    </row>
    <row r="275" spans="2:8" ht="18" thickBot="1">
      <c r="B275" s="44"/>
      <c r="C275" s="46"/>
      <c r="D275" s="105"/>
      <c r="E275" s="72"/>
      <c r="F275" s="75"/>
      <c r="G275" s="45"/>
    </row>
    <row r="276" spans="2:8" ht="16.2" thickBot="1">
      <c r="B276" s="767" t="s">
        <v>409</v>
      </c>
      <c r="C276" s="768"/>
      <c r="D276" s="768"/>
      <c r="E276" s="768"/>
      <c r="F276" s="768">
        <v>0</v>
      </c>
      <c r="G276" s="768"/>
      <c r="H276" s="769"/>
    </row>
    <row r="277" spans="2:8">
      <c r="B277" s="643" t="s">
        <v>693</v>
      </c>
      <c r="C277" s="644"/>
      <c r="D277" s="644"/>
      <c r="E277" s="644"/>
      <c r="F277" s="645"/>
      <c r="G277" s="770">
        <v>0</v>
      </c>
      <c r="H277" s="771"/>
    </row>
    <row r="278" spans="2:8">
      <c r="B278" s="643" t="s">
        <v>694</v>
      </c>
      <c r="C278" s="644"/>
      <c r="D278" s="644"/>
      <c r="E278" s="644"/>
      <c r="F278" s="645"/>
      <c r="G278" s="770">
        <v>0</v>
      </c>
      <c r="H278" s="771"/>
    </row>
    <row r="279" spans="2:8">
      <c r="B279" s="643" t="s">
        <v>695</v>
      </c>
      <c r="C279" s="644"/>
      <c r="D279" s="644"/>
      <c r="E279" s="644"/>
      <c r="F279" s="645"/>
      <c r="G279" s="770">
        <v>0</v>
      </c>
      <c r="H279" s="771"/>
    </row>
    <row r="280" spans="2:8">
      <c r="B280" s="643" t="s">
        <v>696</v>
      </c>
      <c r="C280" s="644"/>
      <c r="D280" s="644"/>
      <c r="E280" s="644"/>
      <c r="F280" s="645"/>
      <c r="G280" s="770">
        <v>0</v>
      </c>
      <c r="H280" s="771"/>
    </row>
    <row r="281" spans="2:8">
      <c r="B281" s="643" t="s">
        <v>697</v>
      </c>
      <c r="C281" s="644"/>
      <c r="D281" s="644"/>
      <c r="E281" s="644"/>
      <c r="F281" s="645"/>
      <c r="G281" s="770"/>
      <c r="H281" s="771"/>
    </row>
    <row r="282" spans="2:8">
      <c r="B282" s="643" t="s">
        <v>698</v>
      </c>
      <c r="C282" s="644"/>
      <c r="D282" s="644"/>
      <c r="E282" s="644"/>
      <c r="F282" s="645"/>
      <c r="G282" s="770"/>
      <c r="H282" s="771"/>
    </row>
    <row r="283" spans="2:8">
      <c r="B283" s="643" t="s">
        <v>699</v>
      </c>
      <c r="C283" s="644"/>
      <c r="D283" s="644"/>
      <c r="E283" s="644"/>
      <c r="F283" s="645"/>
      <c r="G283" s="770"/>
      <c r="H283" s="771"/>
    </row>
    <row r="284" spans="2:8" ht="15.6" thickBot="1">
      <c r="B284" s="643" t="s">
        <v>700</v>
      </c>
      <c r="C284" s="644"/>
      <c r="D284" s="644"/>
      <c r="E284" s="644"/>
      <c r="F284" s="645"/>
      <c r="G284" s="770"/>
      <c r="H284" s="771"/>
    </row>
    <row r="285" spans="2:8" ht="18.600000000000001" thickTop="1" thickBot="1">
      <c r="B285" s="772" t="s">
        <v>104</v>
      </c>
      <c r="C285" s="773"/>
      <c r="D285" s="773"/>
      <c r="E285" s="773"/>
      <c r="F285" s="773">
        <f>SUM(F268:F284)</f>
        <v>41</v>
      </c>
      <c r="G285" s="774">
        <f>SUM(G277:H284)</f>
        <v>0</v>
      </c>
      <c r="H285" s="775"/>
    </row>
    <row r="286" spans="2:8">
      <c r="B286" s="80"/>
      <c r="C286" s="80"/>
      <c r="D286" s="80"/>
      <c r="E286" s="80"/>
      <c r="F286" s="80"/>
      <c r="G286" s="76"/>
      <c r="H286" s="76"/>
    </row>
    <row r="287" spans="2:8" ht="15.6" thickBot="1">
      <c r="B287" s="80"/>
      <c r="C287" s="80"/>
      <c r="D287" s="80"/>
      <c r="E287" s="80"/>
      <c r="F287" s="80"/>
      <c r="G287" s="76"/>
      <c r="H287" s="76"/>
    </row>
    <row r="288" spans="2:8" ht="16.2" thickBot="1">
      <c r="B288" s="767" t="s">
        <v>677</v>
      </c>
      <c r="C288" s="768"/>
      <c r="D288" s="768"/>
      <c r="E288" s="768"/>
      <c r="F288" s="768"/>
      <c r="G288" s="768"/>
      <c r="H288" s="769"/>
    </row>
    <row r="289" spans="2:8">
      <c r="B289" s="643" t="s">
        <v>783</v>
      </c>
      <c r="C289" s="644"/>
      <c r="D289" s="644"/>
      <c r="E289" s="644"/>
      <c r="F289" s="645">
        <v>0</v>
      </c>
      <c r="G289" s="770">
        <v>0</v>
      </c>
      <c r="H289" s="771"/>
    </row>
    <row r="290" spans="2:8">
      <c r="B290" s="643" t="s">
        <v>784</v>
      </c>
      <c r="C290" s="644"/>
      <c r="D290" s="644"/>
      <c r="E290" s="644"/>
      <c r="F290" s="645">
        <v>1</v>
      </c>
      <c r="G290" s="770">
        <v>0</v>
      </c>
      <c r="H290" s="771"/>
    </row>
    <row r="291" spans="2:8" ht="15.6" thickBot="1">
      <c r="B291" s="643" t="s">
        <v>785</v>
      </c>
      <c r="C291" s="644"/>
      <c r="D291" s="644"/>
      <c r="E291" s="644"/>
      <c r="F291" s="645">
        <v>2</v>
      </c>
      <c r="G291" s="770">
        <v>0</v>
      </c>
      <c r="H291" s="771"/>
    </row>
    <row r="292" spans="2:8" ht="18.600000000000001" thickTop="1" thickBot="1">
      <c r="B292" s="772" t="s">
        <v>104</v>
      </c>
      <c r="C292" s="773"/>
      <c r="D292" s="773"/>
      <c r="E292" s="773"/>
      <c r="F292" s="773"/>
      <c r="G292" s="774">
        <f>SUM(G289:H291)</f>
        <v>0</v>
      </c>
      <c r="H292" s="775"/>
    </row>
    <row r="293" spans="2:8" ht="17.399999999999999">
      <c r="B293" s="296"/>
      <c r="C293" s="296"/>
      <c r="D293" s="296"/>
      <c r="E293" s="296"/>
      <c r="F293" s="296"/>
      <c r="G293" s="75"/>
      <c r="H293" s="75"/>
    </row>
    <row r="294" spans="2:8" ht="18" thickBot="1">
      <c r="B294" s="296"/>
      <c r="C294" s="296"/>
      <c r="D294" s="296"/>
      <c r="E294" s="296"/>
      <c r="F294" s="296"/>
      <c r="G294" s="75"/>
      <c r="H294" s="75"/>
    </row>
    <row r="295" spans="2:8" ht="16.2" thickBot="1">
      <c r="B295" s="767" t="s">
        <v>410</v>
      </c>
      <c r="C295" s="768"/>
      <c r="D295" s="768"/>
      <c r="E295" s="768"/>
      <c r="F295" s="768">
        <v>0</v>
      </c>
      <c r="G295" s="768"/>
      <c r="H295" s="769"/>
    </row>
    <row r="296" spans="2:8">
      <c r="B296" s="643" t="s">
        <v>678</v>
      </c>
      <c r="C296" s="644"/>
      <c r="D296" s="644"/>
      <c r="E296" s="644"/>
      <c r="F296" s="645"/>
      <c r="G296" s="770">
        <v>0</v>
      </c>
      <c r="H296" s="771"/>
    </row>
    <row r="297" spans="2:8" ht="15.6" thickBot="1">
      <c r="B297" s="643" t="s">
        <v>678</v>
      </c>
      <c r="C297" s="644"/>
      <c r="D297" s="644"/>
      <c r="E297" s="644"/>
      <c r="F297" s="645"/>
      <c r="G297" s="770"/>
      <c r="H297" s="771"/>
    </row>
    <row r="298" spans="2:8" ht="18.600000000000001" thickTop="1" thickBot="1">
      <c r="B298" s="772" t="s">
        <v>104</v>
      </c>
      <c r="C298" s="773"/>
      <c r="D298" s="773"/>
      <c r="E298" s="773"/>
      <c r="F298" s="773"/>
      <c r="G298" s="774">
        <f>SUM(G295:H297)</f>
        <v>0</v>
      </c>
      <c r="H298" s="775"/>
    </row>
    <row r="299" spans="2:8" ht="17.399999999999999">
      <c r="B299" s="46"/>
      <c r="C299" s="46"/>
      <c r="D299" s="105"/>
      <c r="F299" s="75"/>
    </row>
    <row r="300" spans="2:8" ht="16.2" thickBot="1">
      <c r="B300" s="44"/>
      <c r="C300" s="46"/>
      <c r="D300" s="105"/>
      <c r="F300" s="76"/>
    </row>
    <row r="301" spans="2:8" ht="16.2" thickBot="1">
      <c r="B301" s="767" t="s">
        <v>411</v>
      </c>
      <c r="C301" s="768"/>
      <c r="D301" s="768"/>
      <c r="E301" s="768"/>
      <c r="F301" s="768"/>
      <c r="G301" s="768"/>
      <c r="H301" s="769"/>
    </row>
    <row r="302" spans="2:8">
      <c r="B302" s="643" t="s">
        <v>701</v>
      </c>
      <c r="C302" s="644"/>
      <c r="D302" s="644"/>
      <c r="E302" s="644"/>
      <c r="F302" s="645"/>
      <c r="G302" s="770">
        <v>0</v>
      </c>
      <c r="H302" s="771"/>
    </row>
    <row r="303" spans="2:8">
      <c r="B303" s="643" t="s">
        <v>702</v>
      </c>
      <c r="C303" s="644"/>
      <c r="D303" s="644"/>
      <c r="E303" s="644"/>
      <c r="F303" s="645">
        <v>0</v>
      </c>
      <c r="G303" s="770">
        <v>0</v>
      </c>
      <c r="H303" s="771"/>
    </row>
    <row r="304" spans="2:8" ht="15.6" thickBot="1">
      <c r="B304" s="643" t="s">
        <v>414</v>
      </c>
      <c r="C304" s="644"/>
      <c r="D304" s="644"/>
      <c r="E304" s="644"/>
      <c r="F304" s="645">
        <v>0</v>
      </c>
      <c r="G304" s="770"/>
      <c r="H304" s="771"/>
    </row>
    <row r="305" spans="1:11" ht="18.600000000000001" thickTop="1" thickBot="1">
      <c r="B305" s="772" t="s">
        <v>104</v>
      </c>
      <c r="C305" s="773"/>
      <c r="D305" s="773"/>
      <c r="E305" s="773"/>
      <c r="F305" s="773">
        <f>SUM(F302:F304)</f>
        <v>0</v>
      </c>
      <c r="G305" s="774">
        <f>SUM(G302:H304)</f>
        <v>0</v>
      </c>
      <c r="H305" s="775"/>
    </row>
    <row r="306" spans="1:11" ht="17.399999999999999">
      <c r="B306" s="44"/>
      <c r="C306" s="46"/>
      <c r="D306" s="105"/>
      <c r="F306" s="75"/>
    </row>
    <row r="307" spans="1:11" ht="15.6" thickBot="1">
      <c r="B307" s="46"/>
      <c r="C307" s="46"/>
      <c r="D307" s="105"/>
      <c r="F307" s="47"/>
    </row>
    <row r="308" spans="1:11" ht="18.600000000000001" thickTop="1" thickBot="1">
      <c r="B308" s="772" t="s">
        <v>66</v>
      </c>
      <c r="C308" s="773"/>
      <c r="D308" s="773"/>
      <c r="E308" s="773"/>
      <c r="F308" s="773"/>
      <c r="G308" s="774">
        <f>G168</f>
        <v>0</v>
      </c>
      <c r="H308" s="775"/>
    </row>
    <row r="309" spans="1:11" ht="15.6" thickBot="1">
      <c r="D309" s="105"/>
      <c r="E309" s="81"/>
    </row>
    <row r="310" spans="1:11" ht="18.600000000000001" thickTop="1" thickBot="1">
      <c r="B310" s="772" t="s">
        <v>762</v>
      </c>
      <c r="C310" s="773"/>
      <c r="D310" s="773"/>
      <c r="E310" s="773"/>
      <c r="F310" s="773"/>
      <c r="G310" s="851">
        <f>SUM(G273,G285,G292,G298,G305,G308)</f>
        <v>0</v>
      </c>
      <c r="H310" s="852"/>
    </row>
    <row r="311" spans="1:11">
      <c r="D311" s="105"/>
      <c r="E311" s="81"/>
      <c r="G311" s="332" t="str">
        <f>IF(G261=G310,"OK","Please Check Entries, Your Account Did not Balance")</f>
        <v>OK</v>
      </c>
      <c r="K311" s="333">
        <f>G261-G310</f>
        <v>0</v>
      </c>
    </row>
    <row r="312" spans="1:11" s="1" customFormat="1" ht="15" customHeight="1">
      <c r="B312" s="5" t="s">
        <v>77</v>
      </c>
    </row>
    <row r="313" spans="1:11" s="2" customFormat="1" ht="15" customHeight="1">
      <c r="B313" s="8"/>
      <c r="D313" s="2" t="s">
        <v>105</v>
      </c>
    </row>
    <row r="314" spans="1:11" s="2" customFormat="1" ht="15" customHeight="1" thickBot="1">
      <c r="B314" s="2" t="s">
        <v>78</v>
      </c>
    </row>
    <row r="315" spans="1:11" s="2" customFormat="1" ht="15" customHeight="1" thickBot="1">
      <c r="B315" s="297" t="s">
        <v>680</v>
      </c>
      <c r="C315" s="866" t="s">
        <v>550</v>
      </c>
      <c r="D315" s="866"/>
      <c r="E315" s="866" t="s">
        <v>551</v>
      </c>
      <c r="F315" s="866"/>
      <c r="G315" s="866" t="s">
        <v>713</v>
      </c>
      <c r="H315" s="867"/>
    </row>
    <row r="316" spans="1:11" s="2" customFormat="1" ht="14.25" customHeight="1">
      <c r="B316" s="330" t="s">
        <v>807</v>
      </c>
      <c r="C316" s="761" t="s">
        <v>668</v>
      </c>
      <c r="D316" s="762"/>
      <c r="E316" s="878" t="s">
        <v>679</v>
      </c>
      <c r="F316" s="879"/>
      <c r="G316" s="868"/>
      <c r="H316" s="869"/>
    </row>
    <row r="317" spans="1:11" s="2" customFormat="1" ht="15" customHeight="1">
      <c r="B317" s="331" t="s">
        <v>80</v>
      </c>
      <c r="C317" s="763" t="s">
        <v>668</v>
      </c>
      <c r="D317" s="764"/>
      <c r="E317" s="880"/>
      <c r="F317" s="881"/>
      <c r="G317" s="870"/>
      <c r="H317" s="871"/>
    </row>
    <row r="318" spans="1:11" s="2" customFormat="1" ht="15" customHeight="1">
      <c r="B318" s="331" t="s">
        <v>548</v>
      </c>
      <c r="C318" s="763" t="s">
        <v>668</v>
      </c>
      <c r="D318" s="764"/>
      <c r="E318" s="880"/>
      <c r="F318" s="881"/>
      <c r="G318" s="870"/>
      <c r="H318" s="871"/>
    </row>
    <row r="319" spans="1:11" s="2" customFormat="1" ht="15" customHeight="1" thickBot="1">
      <c r="B319" s="331" t="s">
        <v>549</v>
      </c>
      <c r="C319" s="765" t="s">
        <v>667</v>
      </c>
      <c r="D319" s="766"/>
      <c r="E319" s="880"/>
      <c r="F319" s="881"/>
      <c r="G319" s="872"/>
      <c r="H319" s="873"/>
    </row>
    <row r="320" spans="1:11" s="2" customFormat="1" ht="15" customHeight="1">
      <c r="A320" s="28"/>
      <c r="B320" s="29"/>
      <c r="C320" s="29"/>
      <c r="D320" s="26"/>
      <c r="E320" s="26"/>
      <c r="F320" s="26"/>
      <c r="G320" s="30"/>
    </row>
    <row r="321" spans="1:10" s="2" customFormat="1" ht="14.4" thickBot="1">
      <c r="A321" s="5"/>
    </row>
    <row r="322" spans="1:10" s="2" customFormat="1" ht="13.2">
      <c r="B322" s="876" t="s">
        <v>656</v>
      </c>
      <c r="C322" s="877"/>
      <c r="D322" s="877"/>
      <c r="E322" s="877"/>
      <c r="F322" s="298" t="s">
        <v>2</v>
      </c>
      <c r="G322" s="298" t="s">
        <v>3</v>
      </c>
      <c r="H322" s="299" t="s">
        <v>4</v>
      </c>
    </row>
    <row r="323" spans="1:10" s="2" customFormat="1">
      <c r="B323" s="862" t="s">
        <v>704</v>
      </c>
      <c r="C323" s="863"/>
      <c r="D323" s="863"/>
      <c r="E323" s="863"/>
      <c r="F323" s="300">
        <f>SUM(G323:H323)</f>
        <v>0</v>
      </c>
      <c r="G323" s="304">
        <v>0</v>
      </c>
      <c r="H323" s="305">
        <v>0</v>
      </c>
    </row>
    <row r="324" spans="1:10" s="2" customFormat="1">
      <c r="B324" s="862" t="s">
        <v>703</v>
      </c>
      <c r="C324" s="863"/>
      <c r="D324" s="863"/>
      <c r="E324" s="863"/>
      <c r="F324" s="300">
        <f>SUM(G324:H324)</f>
        <v>0</v>
      </c>
      <c r="G324" s="306">
        <v>0</v>
      </c>
      <c r="H324" s="307">
        <v>0</v>
      </c>
    </row>
    <row r="325" spans="1:10" s="2" customFormat="1" ht="15.6" thickBot="1">
      <c r="B325" s="874" t="s">
        <v>552</v>
      </c>
      <c r="C325" s="875"/>
      <c r="D325" s="875"/>
      <c r="E325" s="875"/>
      <c r="F325" s="301">
        <f>SUM(G325:H325)</f>
        <v>0</v>
      </c>
      <c r="G325" s="308">
        <v>0</v>
      </c>
      <c r="H325" s="309">
        <v>0</v>
      </c>
    </row>
    <row r="326" spans="1:10" s="2" customFormat="1" thickTop="1" thickBot="1">
      <c r="B326" s="864" t="s">
        <v>747</v>
      </c>
      <c r="C326" s="865"/>
      <c r="D326" s="865"/>
      <c r="E326" s="865"/>
      <c r="F326" s="302">
        <f>SUM(F323:F324)</f>
        <v>0</v>
      </c>
      <c r="G326" s="302">
        <f>SUM(G323:G324)</f>
        <v>0</v>
      </c>
      <c r="H326" s="303">
        <f>SUM(H323:H324)</f>
        <v>0</v>
      </c>
    </row>
    <row r="328" spans="1:10" s="2" customFormat="1" ht="13.8">
      <c r="A328" s="5"/>
    </row>
    <row r="329" spans="1:10" s="2" customFormat="1" ht="15" customHeight="1">
      <c r="A329" s="28"/>
      <c r="D329" s="30"/>
      <c r="E329" s="30"/>
      <c r="F329" s="31"/>
      <c r="G329" s="30"/>
    </row>
    <row r="330" spans="1:10" s="2" customFormat="1" ht="15" customHeight="1">
      <c r="A330" s="5" t="s">
        <v>81</v>
      </c>
      <c r="B330" s="4"/>
      <c r="C330" s="4"/>
      <c r="D330" s="5" t="s">
        <v>705</v>
      </c>
      <c r="E330" s="4"/>
      <c r="F330" s="4"/>
      <c r="G330" s="4"/>
      <c r="H330" s="5" t="s">
        <v>638</v>
      </c>
    </row>
    <row r="331" spans="1:10" s="2" customFormat="1" ht="15" customHeight="1"/>
    <row r="332" spans="1:10" s="2" customFormat="1" ht="15" customHeight="1">
      <c r="A332" s="756" t="s">
        <v>419</v>
      </c>
      <c r="B332" s="757"/>
      <c r="C332" s="4"/>
      <c r="D332" s="328" t="s">
        <v>419</v>
      </c>
      <c r="G332" s="4"/>
      <c r="H332" s="758" t="s">
        <v>419</v>
      </c>
      <c r="I332" s="759"/>
      <c r="J332" s="760"/>
    </row>
    <row r="333" spans="1:10" s="2" customFormat="1" ht="15" customHeight="1">
      <c r="A333" s="2" t="s">
        <v>707</v>
      </c>
      <c r="D333" s="2" t="s">
        <v>707</v>
      </c>
      <c r="H333" s="2" t="s">
        <v>707</v>
      </c>
    </row>
    <row r="334" spans="1:10" s="2" customFormat="1" ht="15" customHeight="1"/>
    <row r="335" spans="1:10" s="2" customFormat="1" ht="15" customHeight="1"/>
    <row r="336" spans="1:10" s="2" customFormat="1" ht="15" customHeight="1">
      <c r="A336" s="2" t="s">
        <v>82</v>
      </c>
      <c r="D336" s="2" t="s">
        <v>82</v>
      </c>
      <c r="H336" s="2" t="s">
        <v>82</v>
      </c>
    </row>
    <row r="337" spans="1:5" s="2" customFormat="1" ht="15" customHeight="1"/>
    <row r="338" spans="1:5" s="191" customFormat="1" ht="15" customHeight="1">
      <c r="A338" s="191" t="s">
        <v>706</v>
      </c>
      <c r="B338" s="191" t="s">
        <v>791</v>
      </c>
    </row>
    <row r="339" spans="1:5" s="2" customFormat="1" ht="15" customHeight="1">
      <c r="A339" s="10" t="s">
        <v>83</v>
      </c>
    </row>
    <row r="340" spans="1:5" s="2" customFormat="1" ht="15" customHeight="1">
      <c r="A340" s="2" t="s">
        <v>788</v>
      </c>
    </row>
    <row r="341" spans="1:5" s="2" customFormat="1" ht="15" customHeight="1">
      <c r="A341" s="2" t="s">
        <v>789</v>
      </c>
    </row>
    <row r="342" spans="1:5" s="2" customFormat="1" ht="15" customHeight="1">
      <c r="A342" s="191" t="s">
        <v>787</v>
      </c>
    </row>
    <row r="343" spans="1:5" s="2" customFormat="1" ht="15" hidden="1" customHeight="1">
      <c r="A343" s="329" t="s">
        <v>667</v>
      </c>
      <c r="B343" s="268"/>
    </row>
    <row r="344" spans="1:5" ht="15.6" hidden="1">
      <c r="A344" s="329" t="s">
        <v>668</v>
      </c>
      <c r="E344" s="105"/>
    </row>
    <row r="345" spans="1:5">
      <c r="E345" s="105"/>
    </row>
    <row r="346" spans="1:5">
      <c r="E346" s="105"/>
    </row>
    <row r="347" spans="1:5">
      <c r="E347" s="105"/>
    </row>
    <row r="348" spans="1:5">
      <c r="E348" s="105"/>
    </row>
    <row r="349" spans="1:5">
      <c r="E349" s="105"/>
    </row>
    <row r="350" spans="1:5">
      <c r="E350" s="105"/>
    </row>
    <row r="351" spans="1:5">
      <c r="E351" s="105"/>
    </row>
    <row r="352" spans="1:5">
      <c r="E352" s="105"/>
    </row>
    <row r="353" spans="5:5">
      <c r="E353" s="105"/>
    </row>
    <row r="354" spans="5:5">
      <c r="E354" s="105"/>
    </row>
    <row r="355" spans="5:5">
      <c r="E355" s="105"/>
    </row>
    <row r="356" spans="5:5">
      <c r="E356" s="105"/>
    </row>
    <row r="357" spans="5:5">
      <c r="E357" s="105"/>
    </row>
    <row r="358" spans="5:5">
      <c r="E358" s="105"/>
    </row>
    <row r="359" spans="5:5">
      <c r="E359" s="105"/>
    </row>
    <row r="360" spans="5:5">
      <c r="E360" s="105"/>
    </row>
    <row r="361" spans="5:5">
      <c r="E361" s="105"/>
    </row>
    <row r="362" spans="5:5">
      <c r="E362" s="105"/>
    </row>
    <row r="363" spans="5:5">
      <c r="E363" s="105"/>
    </row>
    <row r="364" spans="5:5">
      <c r="E364" s="105"/>
    </row>
    <row r="365" spans="5:5">
      <c r="E365" s="105"/>
    </row>
    <row r="366" spans="5:5">
      <c r="E366" s="105"/>
    </row>
    <row r="367" spans="5:5">
      <c r="E367" s="105"/>
    </row>
    <row r="368" spans="5:5">
      <c r="E368" s="105"/>
    </row>
    <row r="369" spans="5:5">
      <c r="E369" s="105"/>
    </row>
    <row r="370" spans="5:5">
      <c r="E370" s="105"/>
    </row>
    <row r="371" spans="5:5">
      <c r="E371" s="105"/>
    </row>
    <row r="372" spans="5:5">
      <c r="E372" s="105"/>
    </row>
    <row r="373" spans="5:5">
      <c r="E373" s="105"/>
    </row>
    <row r="374" spans="5:5">
      <c r="E374" s="105"/>
    </row>
    <row r="375" spans="5:5">
      <c r="E375" s="105"/>
    </row>
    <row r="376" spans="5:5">
      <c r="E376" s="105"/>
    </row>
    <row r="377" spans="5:5">
      <c r="E377" s="105"/>
    </row>
    <row r="378" spans="5:5">
      <c r="E378" s="105"/>
    </row>
  </sheetData>
  <mergeCells count="573">
    <mergeCell ref="E68:F68"/>
    <mergeCell ref="E69:F69"/>
    <mergeCell ref="B227:F227"/>
    <mergeCell ref="B228:F228"/>
    <mergeCell ref="B229:F229"/>
    <mergeCell ref="B230:F230"/>
    <mergeCell ref="B210:F210"/>
    <mergeCell ref="B192:F192"/>
    <mergeCell ref="B193:F193"/>
    <mergeCell ref="B194:F194"/>
    <mergeCell ref="B195:F195"/>
    <mergeCell ref="B201:F201"/>
    <mergeCell ref="B202:F202"/>
    <mergeCell ref="B196:F196"/>
    <mergeCell ref="B199:F199"/>
    <mergeCell ref="B131:D131"/>
    <mergeCell ref="B143:D143"/>
    <mergeCell ref="B132:D132"/>
    <mergeCell ref="B133:D133"/>
    <mergeCell ref="B134:D134"/>
    <mergeCell ref="B138:D138"/>
    <mergeCell ref="B139:D139"/>
    <mergeCell ref="B157:D157"/>
    <mergeCell ref="B158:D158"/>
    <mergeCell ref="B304:F304"/>
    <mergeCell ref="G304:H304"/>
    <mergeCell ref="B305:F305"/>
    <mergeCell ref="G305:H305"/>
    <mergeCell ref="B308:F308"/>
    <mergeCell ref="G308:H308"/>
    <mergeCell ref="B303:F303"/>
    <mergeCell ref="G303:H303"/>
    <mergeCell ref="B292:F292"/>
    <mergeCell ref="G292:H292"/>
    <mergeCell ref="B295:H295"/>
    <mergeCell ref="B296:F296"/>
    <mergeCell ref="G296:H296"/>
    <mergeCell ref="B297:F297"/>
    <mergeCell ref="G297:H297"/>
    <mergeCell ref="B310:F310"/>
    <mergeCell ref="G310:H310"/>
    <mergeCell ref="B324:E324"/>
    <mergeCell ref="B326:E326"/>
    <mergeCell ref="G315:H315"/>
    <mergeCell ref="E315:F315"/>
    <mergeCell ref="C315:D315"/>
    <mergeCell ref="G316:H316"/>
    <mergeCell ref="G317:H317"/>
    <mergeCell ref="G318:H318"/>
    <mergeCell ref="G319:H319"/>
    <mergeCell ref="B323:E323"/>
    <mergeCell ref="B325:E325"/>
    <mergeCell ref="B322:E322"/>
    <mergeCell ref="E316:F316"/>
    <mergeCell ref="E317:F317"/>
    <mergeCell ref="E318:F318"/>
    <mergeCell ref="E319:F319"/>
    <mergeCell ref="B288:H288"/>
    <mergeCell ref="B289:F289"/>
    <mergeCell ref="G289:H289"/>
    <mergeCell ref="B290:F290"/>
    <mergeCell ref="G290:H290"/>
    <mergeCell ref="B291:F291"/>
    <mergeCell ref="G291:H291"/>
    <mergeCell ref="B276:H276"/>
    <mergeCell ref="B277:F277"/>
    <mergeCell ref="G277:H277"/>
    <mergeCell ref="B283:F283"/>
    <mergeCell ref="G283:H283"/>
    <mergeCell ref="B285:F285"/>
    <mergeCell ref="G285:H285"/>
    <mergeCell ref="B284:F284"/>
    <mergeCell ref="G284:H284"/>
    <mergeCell ref="B278:F278"/>
    <mergeCell ref="B279:F279"/>
    <mergeCell ref="B280:F280"/>
    <mergeCell ref="B281:F281"/>
    <mergeCell ref="B282:F282"/>
    <mergeCell ref="G278:H278"/>
    <mergeCell ref="G279:H279"/>
    <mergeCell ref="G280:H280"/>
    <mergeCell ref="G281:H281"/>
    <mergeCell ref="G282:H282"/>
    <mergeCell ref="B271:F271"/>
    <mergeCell ref="G271:H271"/>
    <mergeCell ref="B272:F272"/>
    <mergeCell ref="G272:H272"/>
    <mergeCell ref="B273:F273"/>
    <mergeCell ref="G273:H273"/>
    <mergeCell ref="B268:F268"/>
    <mergeCell ref="G268:H268"/>
    <mergeCell ref="B269:F269"/>
    <mergeCell ref="G269:H269"/>
    <mergeCell ref="B270:F270"/>
    <mergeCell ref="G270:H270"/>
    <mergeCell ref="B259:F259"/>
    <mergeCell ref="G259:H259"/>
    <mergeCell ref="B265:H265"/>
    <mergeCell ref="B266:F266"/>
    <mergeCell ref="G266:H266"/>
    <mergeCell ref="B267:F267"/>
    <mergeCell ref="G267:H267"/>
    <mergeCell ref="B256:F256"/>
    <mergeCell ref="G256:H256"/>
    <mergeCell ref="B257:F257"/>
    <mergeCell ref="G257:H257"/>
    <mergeCell ref="B258:F258"/>
    <mergeCell ref="G258:H258"/>
    <mergeCell ref="G261:H261"/>
    <mergeCell ref="B253:F253"/>
    <mergeCell ref="G253:H253"/>
    <mergeCell ref="B254:F254"/>
    <mergeCell ref="G254:H254"/>
    <mergeCell ref="B255:F255"/>
    <mergeCell ref="G255:H255"/>
    <mergeCell ref="B248:H248"/>
    <mergeCell ref="B249:F249"/>
    <mergeCell ref="G249:H249"/>
    <mergeCell ref="B251:F251"/>
    <mergeCell ref="G251:H251"/>
    <mergeCell ref="B252:F252"/>
    <mergeCell ref="G252:H252"/>
    <mergeCell ref="B250:F250"/>
    <mergeCell ref="G250:H250"/>
    <mergeCell ref="G242:H242"/>
    <mergeCell ref="B243:F243"/>
    <mergeCell ref="G243:H243"/>
    <mergeCell ref="B244:F244"/>
    <mergeCell ref="G244:H244"/>
    <mergeCell ref="B245:F245"/>
    <mergeCell ref="G245:H245"/>
    <mergeCell ref="B238:H238"/>
    <mergeCell ref="B246:F246"/>
    <mergeCell ref="G246:H246"/>
    <mergeCell ref="B239:F239"/>
    <mergeCell ref="G239:H239"/>
    <mergeCell ref="B240:F240"/>
    <mergeCell ref="G240:H240"/>
    <mergeCell ref="B241:F241"/>
    <mergeCell ref="G241:H241"/>
    <mergeCell ref="B242:F242"/>
    <mergeCell ref="B234:F234"/>
    <mergeCell ref="G234:H234"/>
    <mergeCell ref="B235:F235"/>
    <mergeCell ref="G235:H235"/>
    <mergeCell ref="B231:F231"/>
    <mergeCell ref="B232:F232"/>
    <mergeCell ref="G218:H218"/>
    <mergeCell ref="B222:H222"/>
    <mergeCell ref="B223:F223"/>
    <mergeCell ref="G223:H223"/>
    <mergeCell ref="B233:F233"/>
    <mergeCell ref="G233:H233"/>
    <mergeCell ref="G232:H232"/>
    <mergeCell ref="G224:H224"/>
    <mergeCell ref="G225:H225"/>
    <mergeCell ref="G226:H226"/>
    <mergeCell ref="G227:H227"/>
    <mergeCell ref="G228:H228"/>
    <mergeCell ref="G229:H229"/>
    <mergeCell ref="G230:H230"/>
    <mergeCell ref="G231:H231"/>
    <mergeCell ref="B224:F224"/>
    <mergeCell ref="B225:F225"/>
    <mergeCell ref="B226:F226"/>
    <mergeCell ref="G216:H216"/>
    <mergeCell ref="G217:H217"/>
    <mergeCell ref="B219:F219"/>
    <mergeCell ref="G219:H219"/>
    <mergeCell ref="B213:F213"/>
    <mergeCell ref="B214:F214"/>
    <mergeCell ref="B215:F215"/>
    <mergeCell ref="B216:F216"/>
    <mergeCell ref="B217:F217"/>
    <mergeCell ref="B218:F218"/>
    <mergeCell ref="G210:H210"/>
    <mergeCell ref="G213:H213"/>
    <mergeCell ref="G214:H214"/>
    <mergeCell ref="G215:H215"/>
    <mergeCell ref="B212:H212"/>
    <mergeCell ref="B203:F203"/>
    <mergeCell ref="B204:F204"/>
    <mergeCell ref="B205:F205"/>
    <mergeCell ref="B206:F206"/>
    <mergeCell ref="B207:F207"/>
    <mergeCell ref="B208:F208"/>
    <mergeCell ref="G209:H209"/>
    <mergeCell ref="G206:H206"/>
    <mergeCell ref="G207:H207"/>
    <mergeCell ref="G208:H208"/>
    <mergeCell ref="B209:F209"/>
    <mergeCell ref="G200:H200"/>
    <mergeCell ref="G201:H201"/>
    <mergeCell ref="G202:H202"/>
    <mergeCell ref="G203:H203"/>
    <mergeCell ref="G204:H204"/>
    <mergeCell ref="G205:H205"/>
    <mergeCell ref="G192:H192"/>
    <mergeCell ref="G193:H193"/>
    <mergeCell ref="G194:H194"/>
    <mergeCell ref="G195:H195"/>
    <mergeCell ref="G196:H196"/>
    <mergeCell ref="G198:H198"/>
    <mergeCell ref="G199:H199"/>
    <mergeCell ref="G184:H184"/>
    <mergeCell ref="B187:H188"/>
    <mergeCell ref="B189:H189"/>
    <mergeCell ref="B186:F186"/>
    <mergeCell ref="G190:H190"/>
    <mergeCell ref="G191:H191"/>
    <mergeCell ref="G186:H186"/>
    <mergeCell ref="B185:F185"/>
    <mergeCell ref="B183:F183"/>
    <mergeCell ref="B184:F184"/>
    <mergeCell ref="G185:H185"/>
    <mergeCell ref="B190:F190"/>
    <mergeCell ref="B191:F191"/>
    <mergeCell ref="G179:H179"/>
    <mergeCell ref="G180:H180"/>
    <mergeCell ref="G181:H181"/>
    <mergeCell ref="G182:H182"/>
    <mergeCell ref="G183:H183"/>
    <mergeCell ref="B182:F182"/>
    <mergeCell ref="G173:H173"/>
    <mergeCell ref="G174:H174"/>
    <mergeCell ref="G176:H176"/>
    <mergeCell ref="G177:H177"/>
    <mergeCell ref="G178:H178"/>
    <mergeCell ref="B175:F175"/>
    <mergeCell ref="B179:F179"/>
    <mergeCell ref="B180:F180"/>
    <mergeCell ref="B181:F181"/>
    <mergeCell ref="B176:F176"/>
    <mergeCell ref="B177:F177"/>
    <mergeCell ref="B178:F178"/>
    <mergeCell ref="G164:H164"/>
    <mergeCell ref="E165:F165"/>
    <mergeCell ref="G165:H165"/>
    <mergeCell ref="E166:F166"/>
    <mergeCell ref="G166:H166"/>
    <mergeCell ref="B174:F174"/>
    <mergeCell ref="B168:D168"/>
    <mergeCell ref="E168:F168"/>
    <mergeCell ref="G168:H168"/>
    <mergeCell ref="B173:F173"/>
    <mergeCell ref="B164:D164"/>
    <mergeCell ref="B165:D165"/>
    <mergeCell ref="B166:D166"/>
    <mergeCell ref="B171:E171"/>
    <mergeCell ref="E164:F164"/>
    <mergeCell ref="G158:H158"/>
    <mergeCell ref="E159:F159"/>
    <mergeCell ref="G159:H159"/>
    <mergeCell ref="E160:F160"/>
    <mergeCell ref="G160:H160"/>
    <mergeCell ref="E163:F163"/>
    <mergeCell ref="G163:H163"/>
    <mergeCell ref="G161:H161"/>
    <mergeCell ref="E154:F154"/>
    <mergeCell ref="G154:H154"/>
    <mergeCell ref="E155:F155"/>
    <mergeCell ref="G155:H155"/>
    <mergeCell ref="E156:F156"/>
    <mergeCell ref="G156:H156"/>
    <mergeCell ref="E157:F157"/>
    <mergeCell ref="G157:H157"/>
    <mergeCell ref="E158:F158"/>
    <mergeCell ref="G152:H152"/>
    <mergeCell ref="E146:F146"/>
    <mergeCell ref="G146:H146"/>
    <mergeCell ref="E147:F147"/>
    <mergeCell ref="G147:H147"/>
    <mergeCell ref="E148:F148"/>
    <mergeCell ref="G148:H148"/>
    <mergeCell ref="E149:F149"/>
    <mergeCell ref="G149:H149"/>
    <mergeCell ref="G138:H138"/>
    <mergeCell ref="E139:F139"/>
    <mergeCell ref="G139:H139"/>
    <mergeCell ref="E150:F150"/>
    <mergeCell ref="G150:H150"/>
    <mergeCell ref="E151:F151"/>
    <mergeCell ref="G151:H151"/>
    <mergeCell ref="E145:F145"/>
    <mergeCell ref="G145:H145"/>
    <mergeCell ref="G134:H134"/>
    <mergeCell ref="E135:F135"/>
    <mergeCell ref="G135:H135"/>
    <mergeCell ref="E136:F136"/>
    <mergeCell ref="G136:H136"/>
    <mergeCell ref="E129:F129"/>
    <mergeCell ref="G129:H129"/>
    <mergeCell ref="E143:F143"/>
    <mergeCell ref="G143:H143"/>
    <mergeCell ref="E131:F131"/>
    <mergeCell ref="G131:H131"/>
    <mergeCell ref="E132:F132"/>
    <mergeCell ref="G132:H132"/>
    <mergeCell ref="E133:F133"/>
    <mergeCell ref="G133:H133"/>
    <mergeCell ref="E140:F140"/>
    <mergeCell ref="G140:H140"/>
    <mergeCell ref="E141:F141"/>
    <mergeCell ref="G141:H141"/>
    <mergeCell ref="E142:F142"/>
    <mergeCell ref="G142:H142"/>
    <mergeCell ref="E137:F137"/>
    <mergeCell ref="G137:H137"/>
    <mergeCell ref="E138:F138"/>
    <mergeCell ref="G126:H126"/>
    <mergeCell ref="E127:F127"/>
    <mergeCell ref="G127:H127"/>
    <mergeCell ref="E128:F128"/>
    <mergeCell ref="G128:H128"/>
    <mergeCell ref="E122:F122"/>
    <mergeCell ref="G122:H122"/>
    <mergeCell ref="E124:F124"/>
    <mergeCell ref="G124:H124"/>
    <mergeCell ref="E125:F125"/>
    <mergeCell ref="G125:H125"/>
    <mergeCell ref="E126:F126"/>
    <mergeCell ref="G119:H119"/>
    <mergeCell ref="E120:F120"/>
    <mergeCell ref="G120:H120"/>
    <mergeCell ref="E121:F121"/>
    <mergeCell ref="G121:H121"/>
    <mergeCell ref="E116:F116"/>
    <mergeCell ref="G116:H116"/>
    <mergeCell ref="E117:F117"/>
    <mergeCell ref="G117:H117"/>
    <mergeCell ref="E118:F118"/>
    <mergeCell ref="G118:H118"/>
    <mergeCell ref="E119:F119"/>
    <mergeCell ref="G105:H105"/>
    <mergeCell ref="G113:H113"/>
    <mergeCell ref="E113:F113"/>
    <mergeCell ref="E114:F114"/>
    <mergeCell ref="G114:H114"/>
    <mergeCell ref="E115:F115"/>
    <mergeCell ref="G115:H115"/>
    <mergeCell ref="G106:H106"/>
    <mergeCell ref="E107:F107"/>
    <mergeCell ref="G107:H107"/>
    <mergeCell ref="E108:F108"/>
    <mergeCell ref="G108:H108"/>
    <mergeCell ref="E109:F109"/>
    <mergeCell ref="G109:H109"/>
    <mergeCell ref="G99:H99"/>
    <mergeCell ref="E100:F100"/>
    <mergeCell ref="G100:H100"/>
    <mergeCell ref="E101:F101"/>
    <mergeCell ref="G101:H101"/>
    <mergeCell ref="E96:F96"/>
    <mergeCell ref="G96:H96"/>
    <mergeCell ref="E97:F97"/>
    <mergeCell ref="G97:H97"/>
    <mergeCell ref="E98:F98"/>
    <mergeCell ref="G98:H98"/>
    <mergeCell ref="E99:F99"/>
    <mergeCell ref="G92:H92"/>
    <mergeCell ref="E93:F93"/>
    <mergeCell ref="G93:H93"/>
    <mergeCell ref="E94:F94"/>
    <mergeCell ref="G94:H94"/>
    <mergeCell ref="E95:F95"/>
    <mergeCell ref="G95:H95"/>
    <mergeCell ref="G85:H85"/>
    <mergeCell ref="G86:H86"/>
    <mergeCell ref="G87:H87"/>
    <mergeCell ref="G88:H88"/>
    <mergeCell ref="G90:H90"/>
    <mergeCell ref="G91:H91"/>
    <mergeCell ref="E92:F92"/>
    <mergeCell ref="E90:F90"/>
    <mergeCell ref="E88:F88"/>
    <mergeCell ref="B141:D141"/>
    <mergeCell ref="B142:D142"/>
    <mergeCell ref="B145:D145"/>
    <mergeCell ref="B155:D155"/>
    <mergeCell ref="B147:D147"/>
    <mergeCell ref="B159:D159"/>
    <mergeCell ref="B160:D160"/>
    <mergeCell ref="B148:D148"/>
    <mergeCell ref="B149:D149"/>
    <mergeCell ref="B150:D150"/>
    <mergeCell ref="B151:D151"/>
    <mergeCell ref="B152:D152"/>
    <mergeCell ref="B154:D154"/>
    <mergeCell ref="B198:F198"/>
    <mergeCell ref="B200:F200"/>
    <mergeCell ref="B172:E172"/>
    <mergeCell ref="B119:D119"/>
    <mergeCell ref="B120:D120"/>
    <mergeCell ref="B121:D121"/>
    <mergeCell ref="B122:D122"/>
    <mergeCell ref="B124:D124"/>
    <mergeCell ref="B129:D129"/>
    <mergeCell ref="B125:D125"/>
    <mergeCell ref="B126:D126"/>
    <mergeCell ref="B127:D127"/>
    <mergeCell ref="B128:D128"/>
    <mergeCell ref="E134:F134"/>
    <mergeCell ref="E152:F152"/>
    <mergeCell ref="B146:D146"/>
    <mergeCell ref="B156:D156"/>
    <mergeCell ref="B135:D135"/>
    <mergeCell ref="B136:D136"/>
    <mergeCell ref="B137:D137"/>
    <mergeCell ref="B161:D161"/>
    <mergeCell ref="B163:D163"/>
    <mergeCell ref="E161:F161"/>
    <mergeCell ref="B140:D140"/>
    <mergeCell ref="B113:D113"/>
    <mergeCell ref="B114:D114"/>
    <mergeCell ref="B115:D115"/>
    <mergeCell ref="B116:D116"/>
    <mergeCell ref="B117:D117"/>
    <mergeCell ref="B118:D118"/>
    <mergeCell ref="B103:F103"/>
    <mergeCell ref="B105:D105"/>
    <mergeCell ref="B106:D106"/>
    <mergeCell ref="B107:D107"/>
    <mergeCell ref="B108:D108"/>
    <mergeCell ref="B109:D109"/>
    <mergeCell ref="E106:F106"/>
    <mergeCell ref="E105:F105"/>
    <mergeCell ref="B97:D97"/>
    <mergeCell ref="B98:D98"/>
    <mergeCell ref="B99:D99"/>
    <mergeCell ref="B100:D100"/>
    <mergeCell ref="B101:D101"/>
    <mergeCell ref="B90:D90"/>
    <mergeCell ref="B91:D91"/>
    <mergeCell ref="B92:D92"/>
    <mergeCell ref="B93:D93"/>
    <mergeCell ref="B94:D94"/>
    <mergeCell ref="B95:D95"/>
    <mergeCell ref="F44:H44"/>
    <mergeCell ref="B44:D44"/>
    <mergeCell ref="G45:H45"/>
    <mergeCell ref="G46:H46"/>
    <mergeCell ref="G47:H47"/>
    <mergeCell ref="B20:D20"/>
    <mergeCell ref="B22:D22"/>
    <mergeCell ref="B21:D21"/>
    <mergeCell ref="B28:D28"/>
    <mergeCell ref="B31:D31"/>
    <mergeCell ref="B29:D29"/>
    <mergeCell ref="B32:D32"/>
    <mergeCell ref="C45:D45"/>
    <mergeCell ref="C46:D46"/>
    <mergeCell ref="C47:D47"/>
    <mergeCell ref="B40:D40"/>
    <mergeCell ref="B33:D33"/>
    <mergeCell ref="C48:D48"/>
    <mergeCell ref="A332:B332"/>
    <mergeCell ref="H332:J332"/>
    <mergeCell ref="C316:D316"/>
    <mergeCell ref="C317:D317"/>
    <mergeCell ref="C318:D318"/>
    <mergeCell ref="C319:D319"/>
    <mergeCell ref="B301:H301"/>
    <mergeCell ref="B302:F302"/>
    <mergeCell ref="G302:H302"/>
    <mergeCell ref="B298:F298"/>
    <mergeCell ref="G298:H298"/>
    <mergeCell ref="B74:D74"/>
    <mergeCell ref="B77:D77"/>
    <mergeCell ref="B78:D78"/>
    <mergeCell ref="B79:D79"/>
    <mergeCell ref="B80:D80"/>
    <mergeCell ref="E91:F91"/>
    <mergeCell ref="C49:D49"/>
    <mergeCell ref="C50:D50"/>
    <mergeCell ref="B85:D85"/>
    <mergeCell ref="B86:D86"/>
    <mergeCell ref="E87:F87"/>
    <mergeCell ref="B96:D96"/>
    <mergeCell ref="B88:D88"/>
    <mergeCell ref="E83:F83"/>
    <mergeCell ref="E84:F84"/>
    <mergeCell ref="E85:F85"/>
    <mergeCell ref="E86:F86"/>
    <mergeCell ref="G83:H83"/>
    <mergeCell ref="G84:H84"/>
    <mergeCell ref="E79:F79"/>
    <mergeCell ref="G79:H79"/>
    <mergeCell ref="B83:D83"/>
    <mergeCell ref="B84:D84"/>
    <mergeCell ref="E81:F81"/>
    <mergeCell ref="B81:D81"/>
    <mergeCell ref="G81:H81"/>
    <mergeCell ref="E77:F77"/>
    <mergeCell ref="G77:H77"/>
    <mergeCell ref="E78:F78"/>
    <mergeCell ref="G78:H78"/>
    <mergeCell ref="B72:D72"/>
    <mergeCell ref="B73:D73"/>
    <mergeCell ref="B71:D71"/>
    <mergeCell ref="B87:D87"/>
    <mergeCell ref="E71:F71"/>
    <mergeCell ref="G71:H71"/>
    <mergeCell ref="B76:D76"/>
    <mergeCell ref="E80:F80"/>
    <mergeCell ref="F3:G3"/>
    <mergeCell ref="F5:G5"/>
    <mergeCell ref="C5:E5"/>
    <mergeCell ref="D7:G8"/>
    <mergeCell ref="B35:D35"/>
    <mergeCell ref="B36:D36"/>
    <mergeCell ref="B37:D37"/>
    <mergeCell ref="B39:D39"/>
    <mergeCell ref="B26:D26"/>
    <mergeCell ref="B27:D27"/>
    <mergeCell ref="B30:D30"/>
    <mergeCell ref="B34:D34"/>
    <mergeCell ref="B16:D16"/>
    <mergeCell ref="B17:D17"/>
    <mergeCell ref="B18:D18"/>
    <mergeCell ref="B19:D19"/>
    <mergeCell ref="B3:E3"/>
    <mergeCell ref="B7:C8"/>
    <mergeCell ref="B14:G14"/>
    <mergeCell ref="B23:D23"/>
    <mergeCell ref="F12:G12"/>
    <mergeCell ref="C51:D51"/>
    <mergeCell ref="C52:D52"/>
    <mergeCell ref="C53:D53"/>
    <mergeCell ref="E70:F70"/>
    <mergeCell ref="G59:H59"/>
    <mergeCell ref="G54:H54"/>
    <mergeCell ref="G55:H55"/>
    <mergeCell ref="B66:D66"/>
    <mergeCell ref="F58:H58"/>
    <mergeCell ref="G63:H63"/>
    <mergeCell ref="B65:F65"/>
    <mergeCell ref="B67:D67"/>
    <mergeCell ref="C59:D59"/>
    <mergeCell ref="B58:D58"/>
    <mergeCell ref="G57:H57"/>
    <mergeCell ref="G51:H51"/>
    <mergeCell ref="G52:H52"/>
    <mergeCell ref="G53:H53"/>
    <mergeCell ref="G68:H68"/>
    <mergeCell ref="G69:H69"/>
    <mergeCell ref="C56:D56"/>
    <mergeCell ref="G70:H70"/>
    <mergeCell ref="B68:D68"/>
    <mergeCell ref="B69:D69"/>
    <mergeCell ref="G56:H56"/>
    <mergeCell ref="B197:F197"/>
    <mergeCell ref="G197:H197"/>
    <mergeCell ref="G48:H48"/>
    <mergeCell ref="G49:H49"/>
    <mergeCell ref="G50:H50"/>
    <mergeCell ref="G175:H175"/>
    <mergeCell ref="G66:H66"/>
    <mergeCell ref="G67:H67"/>
    <mergeCell ref="G72:H72"/>
    <mergeCell ref="G73:H73"/>
    <mergeCell ref="E66:F66"/>
    <mergeCell ref="E67:F67"/>
    <mergeCell ref="E72:F72"/>
    <mergeCell ref="G74:H74"/>
    <mergeCell ref="E76:F76"/>
    <mergeCell ref="G76:H76"/>
    <mergeCell ref="G80:H80"/>
    <mergeCell ref="E73:F73"/>
    <mergeCell ref="E74:F74"/>
    <mergeCell ref="B70:D70"/>
    <mergeCell ref="C57:D57"/>
    <mergeCell ref="C55:D55"/>
    <mergeCell ref="C54:D54"/>
  </mergeCells>
  <phoneticPr fontId="99" type="noConversion"/>
  <conditionalFormatting sqref="B59:H59">
    <cfRule type="expression" dxfId="5" priority="1">
      <formula>$C$59&lt;&gt;$G$59</formula>
    </cfRule>
  </conditionalFormatting>
  <conditionalFormatting sqref="E43">
    <cfRule type="expression" dxfId="4" priority="2">
      <formula>$C$59&lt;&gt;$G$59</formula>
    </cfRule>
  </conditionalFormatting>
  <conditionalFormatting sqref="E59">
    <cfRule type="expression" dxfId="3" priority="4">
      <formula>$C$59&lt;&gt;$G$59</formula>
    </cfRule>
  </conditionalFormatting>
  <conditionalFormatting sqref="F43">
    <cfRule type="expression" dxfId="2" priority="67">
      <formula>$B$157&lt;&gt;#REF!</formula>
    </cfRule>
    <cfRule type="expression" dxfId="1" priority="68">
      <formula>$B$157&lt;&gt;#REF!</formula>
    </cfRule>
  </conditionalFormatting>
  <dataValidations count="14">
    <dataValidation allowBlank="1" showInputMessage="1" showErrorMessage="1" promptTitle="Statutory Reserve" prompt="Please Enter your Year to Date Statutory Reserve ( Example from July -June)" sqref="F302" xr:uid="{00000000-0002-0000-0100-000000000000}"/>
    <dataValidation type="whole" operator="greaterThanOrEqual" allowBlank="1" showInputMessage="1" showErrorMessage="1" prompt="Please enter a whole number, like 456 for instance" sqref="G38 E21:F21 E17:G19 G36" xr:uid="{00000000-0002-0000-0100-000001000000}">
      <formula1>0</formula1>
    </dataValidation>
    <dataValidation type="decimal" operator="greaterThanOrEqual" allowBlank="1" showInputMessage="1" showErrorMessage="1" prompt="Please enter a whole number or Decimals, like 456 for instance or 456.00" sqref="E39:G39 G33:G35 F37:G37 F33:F36 F38 F27:G32 E27:E38" xr:uid="{00000000-0002-0000-0100-000002000000}">
      <formula1>0</formula1>
    </dataValidation>
    <dataValidation type="date" operator="greaterThanOrEqual" allowBlank="1" showInputMessage="1" showErrorMessage="1" promptTitle="Month" prompt="Please enter it as month/year (for example: 1/2011)" sqref="F3:G4" xr:uid="{00000000-0002-0000-0100-000003000000}">
      <formula1>24838</formula1>
    </dataValidation>
    <dataValidation type="decimal" operator="greaterThanOrEqual" allowBlank="1" showInputMessage="1" showErrorMessage="1" prompt="Please enter a number which may be decimal like 456.78" sqref="C47:C54 C45 G52:H54 G46:H50" xr:uid="{00000000-0002-0000-0100-000004000000}">
      <formula1>0</formula1>
    </dataValidation>
    <dataValidation allowBlank="1" showInputMessage="1" showErrorMessage="1" promptTitle="Credit Union Name" prompt="Please Enter the Name your Credit Union" sqref="D7:G8 B10:B12 E10:E12 F10:F11" xr:uid="{00000000-0002-0000-0100-000005000000}"/>
    <dataValidation operator="greaterThanOrEqual" allowBlank="1" showInputMessage="1" showErrorMessage="1" prompt="Please enter a whole number, like 456 for instance" sqref="G21" xr:uid="{00000000-0002-0000-0100-000006000000}"/>
    <dataValidation type="decimal" operator="greaterThanOrEqual" allowBlank="1" showInputMessage="1" showErrorMessage="1" prompt="Please enter a number which may be decimal like 456.78" sqref="G51:H51" xr:uid="{00000000-0002-0000-0100-000007000000}">
      <formula1>-9.99999999999999E+33</formula1>
    </dataValidation>
    <dataValidation allowBlank="1" showInputMessage="1" showErrorMessage="1" promptTitle="Credit Union ID" prompt="Enter the Credit Union ID provided by CUA" sqref="F5:G5" xr:uid="{00000000-0002-0000-0100-000008000000}"/>
    <dataValidation allowBlank="1" showInputMessage="1" showErrorMessage="1" promptTitle="Provision for loan losess" prompt="Enter a positive Number/ figure" sqref="G234:H234" xr:uid="{00000000-0002-0000-0100-000009000000}"/>
    <dataValidation allowBlank="1" showInputMessage="1" showErrorMessage="1" promptTitle="Accumulated Depreciation" prompt="Enter a positve number/figure" sqref="G258:H258" xr:uid="{00000000-0002-0000-0100-00000A000000}"/>
    <dataValidation type="list" allowBlank="1" showInputMessage="1" showErrorMessage="1" errorTitle="Invalid Input" error="Please Select from the List" promptTitle="Select" prompt="Select from the Dropdown List_x000a_" sqref="C316:D319" xr:uid="{00000000-0002-0000-0100-00000B000000}">
      <formula1>$A$343:$A$344</formula1>
    </dataValidation>
    <dataValidation type="decimal" operator="greaterThanOrEqual" allowBlank="1" showInputMessage="1" showErrorMessage="1" prompt="It must be equal to the cash in the Balance Sheet" sqref="G45:H45" xr:uid="{A4D2B02D-E81A-4FF0-AAFF-F19D63801EC6}">
      <formula1>G178</formula1>
    </dataValidation>
    <dataValidation allowBlank="1" showInputMessage="1" showErrorMessage="1" promptTitle="Credit Union Name" prompt="Please Explain why this Branches could not Report" sqref="F12:G12" xr:uid="{85147A56-6FB3-4B2C-91C1-CC095A105090}"/>
  </dataValidations>
  <pageMargins left="0.15748031496063" right="0.15748031496063" top="0.39370078740157499" bottom="0.118110236220472" header="0.31496062992126" footer="0.27559055118110198"/>
  <pageSetup paperSize="9" scale="65" orientation="portrait" r:id="rId1"/>
  <headerFooter alignWithMargins="0"/>
  <ignoredErrors>
    <ignoredError sqref="G326:H326" formulaRange="1"/>
  </ignoredError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A1:R163"/>
  <sheetViews>
    <sheetView topLeftCell="A3" zoomScale="98" zoomScaleNormal="130" workbookViewId="0">
      <selection activeCell="A3" sqref="A3:B3"/>
    </sheetView>
  </sheetViews>
  <sheetFormatPr defaultRowHeight="14.4"/>
  <cols>
    <col min="1" max="1" width="16" style="48" customWidth="1"/>
    <col min="2" max="2" width="50.44140625" style="48" customWidth="1"/>
    <col min="3" max="13" width="0" style="48" hidden="1" customWidth="1"/>
    <col min="14" max="14" width="16" style="49" bestFit="1" customWidth="1"/>
    <col min="15" max="16" width="16" style="48" bestFit="1" customWidth="1"/>
    <col min="17" max="256" width="9.109375" style="48"/>
    <col min="257" max="257" width="16" style="48" customWidth="1"/>
    <col min="258" max="258" width="50.44140625" style="48" customWidth="1"/>
    <col min="259" max="269" width="0" style="48" hidden="1" customWidth="1"/>
    <col min="270" max="272" width="16" style="48" bestFit="1" customWidth="1"/>
    <col min="273" max="512" width="9.109375" style="48"/>
    <col min="513" max="513" width="16" style="48" customWidth="1"/>
    <col min="514" max="514" width="50.44140625" style="48" customWidth="1"/>
    <col min="515" max="525" width="0" style="48" hidden="1" customWidth="1"/>
    <col min="526" max="528" width="16" style="48" bestFit="1" customWidth="1"/>
    <col min="529" max="768" width="9.109375" style="48"/>
    <col min="769" max="769" width="16" style="48" customWidth="1"/>
    <col min="770" max="770" width="50.44140625" style="48" customWidth="1"/>
    <col min="771" max="781" width="0" style="48" hidden="1" customWidth="1"/>
    <col min="782" max="784" width="16" style="48" bestFit="1" customWidth="1"/>
    <col min="785" max="1024" width="9.109375" style="48"/>
    <col min="1025" max="1025" width="16" style="48" customWidth="1"/>
    <col min="1026" max="1026" width="50.44140625" style="48" customWidth="1"/>
    <col min="1027" max="1037" width="0" style="48" hidden="1" customWidth="1"/>
    <col min="1038" max="1040" width="16" style="48" bestFit="1" customWidth="1"/>
    <col min="1041" max="1280" width="9.109375" style="48"/>
    <col min="1281" max="1281" width="16" style="48" customWidth="1"/>
    <col min="1282" max="1282" width="50.44140625" style="48" customWidth="1"/>
    <col min="1283" max="1293" width="0" style="48" hidden="1" customWidth="1"/>
    <col min="1294" max="1296" width="16" style="48" bestFit="1" customWidth="1"/>
    <col min="1297" max="1536" width="9.109375" style="48"/>
    <col min="1537" max="1537" width="16" style="48" customWidth="1"/>
    <col min="1538" max="1538" width="50.44140625" style="48" customWidth="1"/>
    <col min="1539" max="1549" width="0" style="48" hidden="1" customWidth="1"/>
    <col min="1550" max="1552" width="16" style="48" bestFit="1" customWidth="1"/>
    <col min="1553" max="1792" width="9.109375" style="48"/>
    <col min="1793" max="1793" width="16" style="48" customWidth="1"/>
    <col min="1794" max="1794" width="50.44140625" style="48" customWidth="1"/>
    <col min="1795" max="1805" width="0" style="48" hidden="1" customWidth="1"/>
    <col min="1806" max="1808" width="16" style="48" bestFit="1" customWidth="1"/>
    <col min="1809" max="2048" width="9.109375" style="48"/>
    <col min="2049" max="2049" width="16" style="48" customWidth="1"/>
    <col min="2050" max="2050" width="50.44140625" style="48" customWidth="1"/>
    <col min="2051" max="2061" width="0" style="48" hidden="1" customWidth="1"/>
    <col min="2062" max="2064" width="16" style="48" bestFit="1" customWidth="1"/>
    <col min="2065" max="2304" width="9.109375" style="48"/>
    <col min="2305" max="2305" width="16" style="48" customWidth="1"/>
    <col min="2306" max="2306" width="50.44140625" style="48" customWidth="1"/>
    <col min="2307" max="2317" width="0" style="48" hidden="1" customWidth="1"/>
    <col min="2318" max="2320" width="16" style="48" bestFit="1" customWidth="1"/>
    <col min="2321" max="2560" width="9.109375" style="48"/>
    <col min="2561" max="2561" width="16" style="48" customWidth="1"/>
    <col min="2562" max="2562" width="50.44140625" style="48" customWidth="1"/>
    <col min="2563" max="2573" width="0" style="48" hidden="1" customWidth="1"/>
    <col min="2574" max="2576" width="16" style="48" bestFit="1" customWidth="1"/>
    <col min="2577" max="2816" width="9.109375" style="48"/>
    <col min="2817" max="2817" width="16" style="48" customWidth="1"/>
    <col min="2818" max="2818" width="50.44140625" style="48" customWidth="1"/>
    <col min="2819" max="2829" width="0" style="48" hidden="1" customWidth="1"/>
    <col min="2830" max="2832" width="16" style="48" bestFit="1" customWidth="1"/>
    <col min="2833" max="3072" width="9.109375" style="48"/>
    <col min="3073" max="3073" width="16" style="48" customWidth="1"/>
    <col min="3074" max="3074" width="50.44140625" style="48" customWidth="1"/>
    <col min="3075" max="3085" width="0" style="48" hidden="1" customWidth="1"/>
    <col min="3086" max="3088" width="16" style="48" bestFit="1" customWidth="1"/>
    <col min="3089" max="3328" width="9.109375" style="48"/>
    <col min="3329" max="3329" width="16" style="48" customWidth="1"/>
    <col min="3330" max="3330" width="50.44140625" style="48" customWidth="1"/>
    <col min="3331" max="3341" width="0" style="48" hidden="1" customWidth="1"/>
    <col min="3342" max="3344" width="16" style="48" bestFit="1" customWidth="1"/>
    <col min="3345" max="3584" width="9.109375" style="48"/>
    <col min="3585" max="3585" width="16" style="48" customWidth="1"/>
    <col min="3586" max="3586" width="50.44140625" style="48" customWidth="1"/>
    <col min="3587" max="3597" width="0" style="48" hidden="1" customWidth="1"/>
    <col min="3598" max="3600" width="16" style="48" bestFit="1" customWidth="1"/>
    <col min="3601" max="3840" width="9.109375" style="48"/>
    <col min="3841" max="3841" width="16" style="48" customWidth="1"/>
    <col min="3842" max="3842" width="50.44140625" style="48" customWidth="1"/>
    <col min="3843" max="3853" width="0" style="48" hidden="1" customWidth="1"/>
    <col min="3854" max="3856" width="16" style="48" bestFit="1" customWidth="1"/>
    <col min="3857" max="4096" width="9.109375" style="48"/>
    <col min="4097" max="4097" width="16" style="48" customWidth="1"/>
    <col min="4098" max="4098" width="50.44140625" style="48" customWidth="1"/>
    <col min="4099" max="4109" width="0" style="48" hidden="1" customWidth="1"/>
    <col min="4110" max="4112" width="16" style="48" bestFit="1" customWidth="1"/>
    <col min="4113" max="4352" width="9.109375" style="48"/>
    <col min="4353" max="4353" width="16" style="48" customWidth="1"/>
    <col min="4354" max="4354" width="50.44140625" style="48" customWidth="1"/>
    <col min="4355" max="4365" width="0" style="48" hidden="1" customWidth="1"/>
    <col min="4366" max="4368" width="16" style="48" bestFit="1" customWidth="1"/>
    <col min="4369" max="4608" width="9.109375" style="48"/>
    <col min="4609" max="4609" width="16" style="48" customWidth="1"/>
    <col min="4610" max="4610" width="50.44140625" style="48" customWidth="1"/>
    <col min="4611" max="4621" width="0" style="48" hidden="1" customWidth="1"/>
    <col min="4622" max="4624" width="16" style="48" bestFit="1" customWidth="1"/>
    <col min="4625" max="4864" width="9.109375" style="48"/>
    <col min="4865" max="4865" width="16" style="48" customWidth="1"/>
    <col min="4866" max="4866" width="50.44140625" style="48" customWidth="1"/>
    <col min="4867" max="4877" width="0" style="48" hidden="1" customWidth="1"/>
    <col min="4878" max="4880" width="16" style="48" bestFit="1" customWidth="1"/>
    <col min="4881" max="5120" width="9.109375" style="48"/>
    <col min="5121" max="5121" width="16" style="48" customWidth="1"/>
    <col min="5122" max="5122" width="50.44140625" style="48" customWidth="1"/>
    <col min="5123" max="5133" width="0" style="48" hidden="1" customWidth="1"/>
    <col min="5134" max="5136" width="16" style="48" bestFit="1" customWidth="1"/>
    <col min="5137" max="5376" width="9.109375" style="48"/>
    <col min="5377" max="5377" width="16" style="48" customWidth="1"/>
    <col min="5378" max="5378" width="50.44140625" style="48" customWidth="1"/>
    <col min="5379" max="5389" width="0" style="48" hidden="1" customWidth="1"/>
    <col min="5390" max="5392" width="16" style="48" bestFit="1" customWidth="1"/>
    <col min="5393" max="5632" width="9.109375" style="48"/>
    <col min="5633" max="5633" width="16" style="48" customWidth="1"/>
    <col min="5634" max="5634" width="50.44140625" style="48" customWidth="1"/>
    <col min="5635" max="5645" width="0" style="48" hidden="1" customWidth="1"/>
    <col min="5646" max="5648" width="16" style="48" bestFit="1" customWidth="1"/>
    <col min="5649" max="5888" width="9.109375" style="48"/>
    <col min="5889" max="5889" width="16" style="48" customWidth="1"/>
    <col min="5890" max="5890" width="50.44140625" style="48" customWidth="1"/>
    <col min="5891" max="5901" width="0" style="48" hidden="1" customWidth="1"/>
    <col min="5902" max="5904" width="16" style="48" bestFit="1" customWidth="1"/>
    <col min="5905" max="6144" width="9.109375" style="48"/>
    <col min="6145" max="6145" width="16" style="48" customWidth="1"/>
    <col min="6146" max="6146" width="50.44140625" style="48" customWidth="1"/>
    <col min="6147" max="6157" width="0" style="48" hidden="1" customWidth="1"/>
    <col min="6158" max="6160" width="16" style="48" bestFit="1" customWidth="1"/>
    <col min="6161" max="6400" width="9.109375" style="48"/>
    <col min="6401" max="6401" width="16" style="48" customWidth="1"/>
    <col min="6402" max="6402" width="50.44140625" style="48" customWidth="1"/>
    <col min="6403" max="6413" width="0" style="48" hidden="1" customWidth="1"/>
    <col min="6414" max="6416" width="16" style="48" bestFit="1" customWidth="1"/>
    <col min="6417" max="6656" width="9.109375" style="48"/>
    <col min="6657" max="6657" width="16" style="48" customWidth="1"/>
    <col min="6658" max="6658" width="50.44140625" style="48" customWidth="1"/>
    <col min="6659" max="6669" width="0" style="48" hidden="1" customWidth="1"/>
    <col min="6670" max="6672" width="16" style="48" bestFit="1" customWidth="1"/>
    <col min="6673" max="6912" width="9.109375" style="48"/>
    <col min="6913" max="6913" width="16" style="48" customWidth="1"/>
    <col min="6914" max="6914" width="50.44140625" style="48" customWidth="1"/>
    <col min="6915" max="6925" width="0" style="48" hidden="1" customWidth="1"/>
    <col min="6926" max="6928" width="16" style="48" bestFit="1" customWidth="1"/>
    <col min="6929" max="7168" width="9.109375" style="48"/>
    <col min="7169" max="7169" width="16" style="48" customWidth="1"/>
    <col min="7170" max="7170" width="50.44140625" style="48" customWidth="1"/>
    <col min="7171" max="7181" width="0" style="48" hidden="1" customWidth="1"/>
    <col min="7182" max="7184" width="16" style="48" bestFit="1" customWidth="1"/>
    <col min="7185" max="7424" width="9.109375" style="48"/>
    <col min="7425" max="7425" width="16" style="48" customWidth="1"/>
    <col min="7426" max="7426" width="50.44140625" style="48" customWidth="1"/>
    <col min="7427" max="7437" width="0" style="48" hidden="1" customWidth="1"/>
    <col min="7438" max="7440" width="16" style="48" bestFit="1" customWidth="1"/>
    <col min="7441" max="7680" width="9.109375" style="48"/>
    <col min="7681" max="7681" width="16" style="48" customWidth="1"/>
    <col min="7682" max="7682" width="50.44140625" style="48" customWidth="1"/>
    <col min="7683" max="7693" width="0" style="48" hidden="1" customWidth="1"/>
    <col min="7694" max="7696" width="16" style="48" bestFit="1" customWidth="1"/>
    <col min="7697" max="7936" width="9.109375" style="48"/>
    <col min="7937" max="7937" width="16" style="48" customWidth="1"/>
    <col min="7938" max="7938" width="50.44140625" style="48" customWidth="1"/>
    <col min="7939" max="7949" width="0" style="48" hidden="1" customWidth="1"/>
    <col min="7950" max="7952" width="16" style="48" bestFit="1" customWidth="1"/>
    <col min="7953" max="8192" width="9.109375" style="48"/>
    <col min="8193" max="8193" width="16" style="48" customWidth="1"/>
    <col min="8194" max="8194" width="50.44140625" style="48" customWidth="1"/>
    <col min="8195" max="8205" width="0" style="48" hidden="1" customWidth="1"/>
    <col min="8206" max="8208" width="16" style="48" bestFit="1" customWidth="1"/>
    <col min="8209" max="8448" width="9.109375" style="48"/>
    <col min="8449" max="8449" width="16" style="48" customWidth="1"/>
    <col min="8450" max="8450" width="50.44140625" style="48" customWidth="1"/>
    <col min="8451" max="8461" width="0" style="48" hidden="1" customWidth="1"/>
    <col min="8462" max="8464" width="16" style="48" bestFit="1" customWidth="1"/>
    <col min="8465" max="8704" width="9.109375" style="48"/>
    <col min="8705" max="8705" width="16" style="48" customWidth="1"/>
    <col min="8706" max="8706" width="50.44140625" style="48" customWidth="1"/>
    <col min="8707" max="8717" width="0" style="48" hidden="1" customWidth="1"/>
    <col min="8718" max="8720" width="16" style="48" bestFit="1" customWidth="1"/>
    <col min="8721" max="8960" width="9.109375" style="48"/>
    <col min="8961" max="8961" width="16" style="48" customWidth="1"/>
    <col min="8962" max="8962" width="50.44140625" style="48" customWidth="1"/>
    <col min="8963" max="8973" width="0" style="48" hidden="1" customWidth="1"/>
    <col min="8974" max="8976" width="16" style="48" bestFit="1" customWidth="1"/>
    <col min="8977" max="9216" width="9.109375" style="48"/>
    <col min="9217" max="9217" width="16" style="48" customWidth="1"/>
    <col min="9218" max="9218" width="50.44140625" style="48" customWidth="1"/>
    <col min="9219" max="9229" width="0" style="48" hidden="1" customWidth="1"/>
    <col min="9230" max="9232" width="16" style="48" bestFit="1" customWidth="1"/>
    <col min="9233" max="9472" width="9.109375" style="48"/>
    <col min="9473" max="9473" width="16" style="48" customWidth="1"/>
    <col min="9474" max="9474" width="50.44140625" style="48" customWidth="1"/>
    <col min="9475" max="9485" width="0" style="48" hidden="1" customWidth="1"/>
    <col min="9486" max="9488" width="16" style="48" bestFit="1" customWidth="1"/>
    <col min="9489" max="9728" width="9.109375" style="48"/>
    <col min="9729" max="9729" width="16" style="48" customWidth="1"/>
    <col min="9730" max="9730" width="50.44140625" style="48" customWidth="1"/>
    <col min="9731" max="9741" width="0" style="48" hidden="1" customWidth="1"/>
    <col min="9742" max="9744" width="16" style="48" bestFit="1" customWidth="1"/>
    <col min="9745" max="9984" width="9.109375" style="48"/>
    <col min="9985" max="9985" width="16" style="48" customWidth="1"/>
    <col min="9986" max="9986" width="50.44140625" style="48" customWidth="1"/>
    <col min="9987" max="9997" width="0" style="48" hidden="1" customWidth="1"/>
    <col min="9998" max="10000" width="16" style="48" bestFit="1" customWidth="1"/>
    <col min="10001" max="10240" width="9.109375" style="48"/>
    <col min="10241" max="10241" width="16" style="48" customWidth="1"/>
    <col min="10242" max="10242" width="50.44140625" style="48" customWidth="1"/>
    <col min="10243" max="10253" width="0" style="48" hidden="1" customWidth="1"/>
    <col min="10254" max="10256" width="16" style="48" bestFit="1" customWidth="1"/>
    <col min="10257" max="10496" width="9.109375" style="48"/>
    <col min="10497" max="10497" width="16" style="48" customWidth="1"/>
    <col min="10498" max="10498" width="50.44140625" style="48" customWidth="1"/>
    <col min="10499" max="10509" width="0" style="48" hidden="1" customWidth="1"/>
    <col min="10510" max="10512" width="16" style="48" bestFit="1" customWidth="1"/>
    <col min="10513" max="10752" width="9.109375" style="48"/>
    <col min="10753" max="10753" width="16" style="48" customWidth="1"/>
    <col min="10754" max="10754" width="50.44140625" style="48" customWidth="1"/>
    <col min="10755" max="10765" width="0" style="48" hidden="1" customWidth="1"/>
    <col min="10766" max="10768" width="16" style="48" bestFit="1" customWidth="1"/>
    <col min="10769" max="11008" width="9.109375" style="48"/>
    <col min="11009" max="11009" width="16" style="48" customWidth="1"/>
    <col min="11010" max="11010" width="50.44140625" style="48" customWidth="1"/>
    <col min="11011" max="11021" width="0" style="48" hidden="1" customWidth="1"/>
    <col min="11022" max="11024" width="16" style="48" bestFit="1" customWidth="1"/>
    <col min="11025" max="11264" width="9.109375" style="48"/>
    <col min="11265" max="11265" width="16" style="48" customWidth="1"/>
    <col min="11266" max="11266" width="50.44140625" style="48" customWidth="1"/>
    <col min="11267" max="11277" width="0" style="48" hidden="1" customWidth="1"/>
    <col min="11278" max="11280" width="16" style="48" bestFit="1" customWidth="1"/>
    <col min="11281" max="11520" width="9.109375" style="48"/>
    <col min="11521" max="11521" width="16" style="48" customWidth="1"/>
    <col min="11522" max="11522" width="50.44140625" style="48" customWidth="1"/>
    <col min="11523" max="11533" width="0" style="48" hidden="1" customWidth="1"/>
    <col min="11534" max="11536" width="16" style="48" bestFit="1" customWidth="1"/>
    <col min="11537" max="11776" width="9.109375" style="48"/>
    <col min="11777" max="11777" width="16" style="48" customWidth="1"/>
    <col min="11778" max="11778" width="50.44140625" style="48" customWidth="1"/>
    <col min="11779" max="11789" width="0" style="48" hidden="1" customWidth="1"/>
    <col min="11790" max="11792" width="16" style="48" bestFit="1" customWidth="1"/>
    <col min="11793" max="12032" width="9.109375" style="48"/>
    <col min="12033" max="12033" width="16" style="48" customWidth="1"/>
    <col min="12034" max="12034" width="50.44140625" style="48" customWidth="1"/>
    <col min="12035" max="12045" width="0" style="48" hidden="1" customWidth="1"/>
    <col min="12046" max="12048" width="16" style="48" bestFit="1" customWidth="1"/>
    <col min="12049" max="12288" width="9.109375" style="48"/>
    <col min="12289" max="12289" width="16" style="48" customWidth="1"/>
    <col min="12290" max="12290" width="50.44140625" style="48" customWidth="1"/>
    <col min="12291" max="12301" width="0" style="48" hidden="1" customWidth="1"/>
    <col min="12302" max="12304" width="16" style="48" bestFit="1" customWidth="1"/>
    <col min="12305" max="12544" width="9.109375" style="48"/>
    <col min="12545" max="12545" width="16" style="48" customWidth="1"/>
    <col min="12546" max="12546" width="50.44140625" style="48" customWidth="1"/>
    <col min="12547" max="12557" width="0" style="48" hidden="1" customWidth="1"/>
    <col min="12558" max="12560" width="16" style="48" bestFit="1" customWidth="1"/>
    <col min="12561" max="12800" width="9.109375" style="48"/>
    <col min="12801" max="12801" width="16" style="48" customWidth="1"/>
    <col min="12802" max="12802" width="50.44140625" style="48" customWidth="1"/>
    <col min="12803" max="12813" width="0" style="48" hidden="1" customWidth="1"/>
    <col min="12814" max="12816" width="16" style="48" bestFit="1" customWidth="1"/>
    <col min="12817" max="13056" width="9.109375" style="48"/>
    <col min="13057" max="13057" width="16" style="48" customWidth="1"/>
    <col min="13058" max="13058" width="50.44140625" style="48" customWidth="1"/>
    <col min="13059" max="13069" width="0" style="48" hidden="1" customWidth="1"/>
    <col min="13070" max="13072" width="16" style="48" bestFit="1" customWidth="1"/>
    <col min="13073" max="13312" width="9.109375" style="48"/>
    <col min="13313" max="13313" width="16" style="48" customWidth="1"/>
    <col min="13314" max="13314" width="50.44140625" style="48" customWidth="1"/>
    <col min="13315" max="13325" width="0" style="48" hidden="1" customWidth="1"/>
    <col min="13326" max="13328" width="16" style="48" bestFit="1" customWidth="1"/>
    <col min="13329" max="13568" width="9.109375" style="48"/>
    <col min="13569" max="13569" width="16" style="48" customWidth="1"/>
    <col min="13570" max="13570" width="50.44140625" style="48" customWidth="1"/>
    <col min="13571" max="13581" width="0" style="48" hidden="1" customWidth="1"/>
    <col min="13582" max="13584" width="16" style="48" bestFit="1" customWidth="1"/>
    <col min="13585" max="13824" width="9.109375" style="48"/>
    <col min="13825" max="13825" width="16" style="48" customWidth="1"/>
    <col min="13826" max="13826" width="50.44140625" style="48" customWidth="1"/>
    <col min="13827" max="13837" width="0" style="48" hidden="1" customWidth="1"/>
    <col min="13838" max="13840" width="16" style="48" bestFit="1" customWidth="1"/>
    <col min="13841" max="14080" width="9.109375" style="48"/>
    <col min="14081" max="14081" width="16" style="48" customWidth="1"/>
    <col min="14082" max="14082" width="50.44140625" style="48" customWidth="1"/>
    <col min="14083" max="14093" width="0" style="48" hidden="1" customWidth="1"/>
    <col min="14094" max="14096" width="16" style="48" bestFit="1" customWidth="1"/>
    <col min="14097" max="14336" width="9.109375" style="48"/>
    <col min="14337" max="14337" width="16" style="48" customWidth="1"/>
    <col min="14338" max="14338" width="50.44140625" style="48" customWidth="1"/>
    <col min="14339" max="14349" width="0" style="48" hidden="1" customWidth="1"/>
    <col min="14350" max="14352" width="16" style="48" bestFit="1" customWidth="1"/>
    <col min="14353" max="14592" width="9.109375" style="48"/>
    <col min="14593" max="14593" width="16" style="48" customWidth="1"/>
    <col min="14594" max="14594" width="50.44140625" style="48" customWidth="1"/>
    <col min="14595" max="14605" width="0" style="48" hidden="1" customWidth="1"/>
    <col min="14606" max="14608" width="16" style="48" bestFit="1" customWidth="1"/>
    <col min="14609" max="14848" width="9.109375" style="48"/>
    <col min="14849" max="14849" width="16" style="48" customWidth="1"/>
    <col min="14850" max="14850" width="50.44140625" style="48" customWidth="1"/>
    <col min="14851" max="14861" width="0" style="48" hidden="1" customWidth="1"/>
    <col min="14862" max="14864" width="16" style="48" bestFit="1" customWidth="1"/>
    <col min="14865" max="15104" width="9.109375" style="48"/>
    <col min="15105" max="15105" width="16" style="48" customWidth="1"/>
    <col min="15106" max="15106" width="50.44140625" style="48" customWidth="1"/>
    <col min="15107" max="15117" width="0" style="48" hidden="1" customWidth="1"/>
    <col min="15118" max="15120" width="16" style="48" bestFit="1" customWidth="1"/>
    <col min="15121" max="15360" width="9.109375" style="48"/>
    <col min="15361" max="15361" width="16" style="48" customWidth="1"/>
    <col min="15362" max="15362" width="50.44140625" style="48" customWidth="1"/>
    <col min="15363" max="15373" width="0" style="48" hidden="1" customWidth="1"/>
    <col min="15374" max="15376" width="16" style="48" bestFit="1" customWidth="1"/>
    <col min="15377" max="15616" width="9.109375" style="48"/>
    <col min="15617" max="15617" width="16" style="48" customWidth="1"/>
    <col min="15618" max="15618" width="50.44140625" style="48" customWidth="1"/>
    <col min="15619" max="15629" width="0" style="48" hidden="1" customWidth="1"/>
    <col min="15630" max="15632" width="16" style="48" bestFit="1" customWidth="1"/>
    <col min="15633" max="15872" width="9.109375" style="48"/>
    <col min="15873" max="15873" width="16" style="48" customWidth="1"/>
    <col min="15874" max="15874" width="50.44140625" style="48" customWidth="1"/>
    <col min="15875" max="15885" width="0" style="48" hidden="1" customWidth="1"/>
    <col min="15886" max="15888" width="16" style="48" bestFit="1" customWidth="1"/>
    <col min="15889" max="16128" width="9.109375" style="48"/>
    <col min="16129" max="16129" width="16" style="48" customWidth="1"/>
    <col min="16130" max="16130" width="50.44140625" style="48" customWidth="1"/>
    <col min="16131" max="16141" width="0" style="48" hidden="1" customWidth="1"/>
    <col min="16142" max="16144" width="16" style="48" bestFit="1" customWidth="1"/>
    <col min="16145" max="16384" width="9.109375" style="48"/>
  </cols>
  <sheetData>
    <row r="1" spans="1:16">
      <c r="A1" s="882" t="s">
        <v>118</v>
      </c>
      <c r="B1" s="883"/>
    </row>
    <row r="2" spans="1:16" ht="15" customHeight="1">
      <c r="A2" s="882" t="str">
        <f>CONCATENATE("Institution Name:"," ",NOTES!D7)</f>
        <v>Institution Name: XXXX CO-OPERATIVE CREDIT UNION LTD.</v>
      </c>
      <c r="B2" s="882"/>
    </row>
    <row r="3" spans="1:16">
      <c r="A3" s="884" t="s">
        <v>119</v>
      </c>
      <c r="B3" s="884"/>
    </row>
    <row r="4" spans="1:16">
      <c r="A4" s="50" t="s">
        <v>120</v>
      </c>
      <c r="B4" s="885">
        <f>Reporting!E7</f>
        <v>44865</v>
      </c>
      <c r="C4" s="885"/>
    </row>
    <row r="5" spans="1:16">
      <c r="A5" s="51"/>
    </row>
    <row r="6" spans="1:16" ht="15" thickBot="1">
      <c r="A6" s="52" t="s">
        <v>121</v>
      </c>
      <c r="B6" s="89"/>
      <c r="C6" s="90">
        <v>39478</v>
      </c>
      <c r="D6" s="90">
        <v>39479</v>
      </c>
      <c r="E6" s="90">
        <v>39509</v>
      </c>
      <c r="F6" s="90">
        <v>39541</v>
      </c>
      <c r="G6" s="90">
        <v>39572</v>
      </c>
      <c r="H6" s="90">
        <v>39604</v>
      </c>
      <c r="I6" s="90">
        <v>39635</v>
      </c>
      <c r="J6" s="90">
        <v>39667</v>
      </c>
      <c r="K6" s="90">
        <v>39699</v>
      </c>
      <c r="L6" s="90">
        <v>39730</v>
      </c>
      <c r="M6" s="90">
        <v>39762</v>
      </c>
      <c r="N6" s="94"/>
      <c r="O6" s="85"/>
      <c r="P6" s="85"/>
    </row>
    <row r="7" spans="1:16" ht="28.8">
      <c r="A7" s="87" t="s">
        <v>122</v>
      </c>
      <c r="B7" s="91" t="s">
        <v>123</v>
      </c>
      <c r="C7" s="92" t="s">
        <v>124</v>
      </c>
      <c r="D7" s="92" t="s">
        <v>124</v>
      </c>
      <c r="E7" s="92" t="s">
        <v>124</v>
      </c>
      <c r="F7" s="92" t="s">
        <v>124</v>
      </c>
      <c r="G7" s="92" t="s">
        <v>124</v>
      </c>
      <c r="H7" s="92" t="s">
        <v>124</v>
      </c>
      <c r="I7" s="92" t="s">
        <v>124</v>
      </c>
      <c r="J7" s="92" t="s">
        <v>124</v>
      </c>
      <c r="K7" s="92" t="s">
        <v>124</v>
      </c>
      <c r="L7" s="92" t="s">
        <v>124</v>
      </c>
      <c r="M7" s="92" t="s">
        <v>124</v>
      </c>
      <c r="N7" s="93">
        <f>Reporting!E7</f>
        <v>44865</v>
      </c>
      <c r="O7" s="86"/>
      <c r="P7" s="86"/>
    </row>
    <row r="8" spans="1:16">
      <c r="A8" s="53" t="s">
        <v>105</v>
      </c>
      <c r="B8" s="88" t="s">
        <v>50</v>
      </c>
      <c r="N8" s="94"/>
    </row>
    <row r="9" spans="1:16" ht="15">
      <c r="A9" s="53" t="s">
        <v>125</v>
      </c>
      <c r="B9" s="54" t="s">
        <v>126</v>
      </c>
      <c r="N9" s="95">
        <f>N10+N11+N12+N15</f>
        <v>0</v>
      </c>
      <c r="O9" s="55"/>
      <c r="P9" s="55"/>
    </row>
    <row r="10" spans="1:16" ht="15">
      <c r="A10" s="56" t="s">
        <v>127</v>
      </c>
      <c r="B10" s="57" t="s">
        <v>128</v>
      </c>
      <c r="N10" s="96">
        <f>NOTES!G178</f>
        <v>0</v>
      </c>
      <c r="O10" s="55"/>
      <c r="P10" s="55"/>
    </row>
    <row r="11" spans="1:16" ht="15">
      <c r="A11" s="56" t="s">
        <v>129</v>
      </c>
      <c r="B11" s="57" t="s">
        <v>130</v>
      </c>
      <c r="N11" s="96">
        <f>NOTES!G185</f>
        <v>0</v>
      </c>
      <c r="O11" s="55"/>
      <c r="P11" s="55"/>
    </row>
    <row r="12" spans="1:16" ht="15">
      <c r="A12" s="56" t="s">
        <v>131</v>
      </c>
      <c r="B12" s="57" t="s">
        <v>132</v>
      </c>
      <c r="N12" s="97">
        <f>N13+N14</f>
        <v>0</v>
      </c>
      <c r="O12" s="55"/>
      <c r="P12" s="55"/>
    </row>
    <row r="13" spans="1:16" ht="15">
      <c r="A13" s="56" t="s">
        <v>133</v>
      </c>
      <c r="B13" s="57" t="s">
        <v>134</v>
      </c>
      <c r="N13" s="96">
        <f>SUM(NOTES!G190:H194)</f>
        <v>0</v>
      </c>
      <c r="O13" s="55"/>
      <c r="P13" s="55"/>
    </row>
    <row r="14" spans="1:16" ht="15">
      <c r="A14" s="56" t="s">
        <v>135</v>
      </c>
      <c r="B14" s="57" t="s">
        <v>136</v>
      </c>
      <c r="N14" s="98">
        <v>0</v>
      </c>
      <c r="O14" s="55"/>
      <c r="P14" s="55"/>
    </row>
    <row r="15" spans="1:16" ht="15">
      <c r="A15" s="56" t="s">
        <v>137</v>
      </c>
      <c r="B15" s="57" t="s">
        <v>138</v>
      </c>
      <c r="N15" s="96">
        <f>SUM(NOTES!G202:H207)</f>
        <v>0</v>
      </c>
      <c r="O15" s="55"/>
      <c r="P15" s="55"/>
    </row>
    <row r="16" spans="1:16" ht="15">
      <c r="A16" s="53" t="s">
        <v>139</v>
      </c>
      <c r="B16" s="54" t="s">
        <v>140</v>
      </c>
      <c r="N16" s="95">
        <f>N24+N25</f>
        <v>0</v>
      </c>
      <c r="O16" s="55"/>
      <c r="P16" s="55"/>
    </row>
    <row r="17" spans="1:16" ht="15">
      <c r="A17" s="56" t="s">
        <v>141</v>
      </c>
      <c r="B17" s="57" t="s">
        <v>142</v>
      </c>
      <c r="N17" s="98"/>
      <c r="O17" s="55"/>
      <c r="P17" s="55"/>
    </row>
    <row r="18" spans="1:16" ht="15">
      <c r="A18" s="56" t="s">
        <v>143</v>
      </c>
      <c r="B18" s="57" t="s">
        <v>144</v>
      </c>
      <c r="N18" s="98"/>
      <c r="O18" s="55"/>
      <c r="P18" s="55"/>
    </row>
    <row r="19" spans="1:16" ht="15">
      <c r="A19" s="56" t="s">
        <v>145</v>
      </c>
      <c r="B19" s="57" t="s">
        <v>146</v>
      </c>
      <c r="N19" s="98">
        <f>N20+N21</f>
        <v>0</v>
      </c>
      <c r="O19" s="55"/>
      <c r="P19" s="55"/>
    </row>
    <row r="20" spans="1:16" ht="15">
      <c r="A20" s="56" t="s">
        <v>147</v>
      </c>
      <c r="B20" s="57" t="s">
        <v>148</v>
      </c>
      <c r="N20" s="98"/>
      <c r="O20" s="55"/>
      <c r="P20" s="55"/>
    </row>
    <row r="21" spans="1:16" ht="15">
      <c r="A21" s="56" t="s">
        <v>149</v>
      </c>
      <c r="B21" s="57" t="s">
        <v>150</v>
      </c>
      <c r="N21" s="98"/>
      <c r="O21" s="55"/>
      <c r="P21" s="55"/>
    </row>
    <row r="22" spans="1:16" ht="15">
      <c r="A22" s="56" t="s">
        <v>151</v>
      </c>
      <c r="B22" s="57" t="s">
        <v>152</v>
      </c>
      <c r="N22" s="99">
        <v>0</v>
      </c>
      <c r="O22" s="55"/>
      <c r="P22" s="55"/>
    </row>
    <row r="23" spans="1:16" ht="15">
      <c r="A23" s="56" t="s">
        <v>153</v>
      </c>
      <c r="B23" s="57" t="s">
        <v>154</v>
      </c>
      <c r="N23" s="96">
        <f>NOTES!G233</f>
        <v>0</v>
      </c>
      <c r="O23" s="55"/>
      <c r="P23" s="55"/>
    </row>
    <row r="24" spans="1:16" ht="15">
      <c r="A24" s="53" t="s">
        <v>155</v>
      </c>
      <c r="B24" s="54" t="s">
        <v>156</v>
      </c>
      <c r="N24" s="98">
        <f>N17+N18+N19+N22+N23</f>
        <v>0</v>
      </c>
      <c r="O24" s="55"/>
      <c r="P24" s="55"/>
    </row>
    <row r="25" spans="1:16" ht="15">
      <c r="A25" s="56" t="s">
        <v>157</v>
      </c>
      <c r="B25" s="57" t="s">
        <v>158</v>
      </c>
      <c r="N25" s="100">
        <f>-NOTES!G234</f>
        <v>0</v>
      </c>
      <c r="O25" s="55"/>
      <c r="P25" s="55"/>
    </row>
    <row r="26" spans="1:16" ht="15">
      <c r="A26" s="53" t="s">
        <v>159</v>
      </c>
      <c r="B26" s="54" t="s">
        <v>160</v>
      </c>
      <c r="N26" s="98">
        <f>N27+N32+N39+N43+N44+N45+N49</f>
        <v>0</v>
      </c>
      <c r="O26" s="55"/>
      <c r="P26" s="55"/>
    </row>
    <row r="27" spans="1:16" ht="15">
      <c r="A27" s="56" t="s">
        <v>161</v>
      </c>
      <c r="B27" s="57" t="s">
        <v>162</v>
      </c>
      <c r="N27" s="98">
        <f>SUM(N28+N29+N30+N31)</f>
        <v>0</v>
      </c>
      <c r="O27" s="55"/>
      <c r="P27" s="55"/>
    </row>
    <row r="28" spans="1:16" ht="15">
      <c r="A28" s="56" t="s">
        <v>163</v>
      </c>
      <c r="B28" s="57" t="s">
        <v>164</v>
      </c>
      <c r="N28" s="96">
        <f>SUM(NOTES!G195:H197)</f>
        <v>0</v>
      </c>
      <c r="O28" s="55"/>
      <c r="P28" s="55"/>
    </row>
    <row r="29" spans="1:16" ht="15">
      <c r="A29" s="56" t="s">
        <v>165</v>
      </c>
      <c r="B29" s="57" t="s">
        <v>166</v>
      </c>
      <c r="N29" s="96">
        <f>SUM(NOTES!G198:H201)</f>
        <v>0</v>
      </c>
      <c r="O29" s="55"/>
      <c r="P29" s="55"/>
    </row>
    <row r="30" spans="1:16" ht="15">
      <c r="A30" s="56" t="s">
        <v>167</v>
      </c>
      <c r="B30" s="57" t="s">
        <v>168</v>
      </c>
      <c r="N30" s="98"/>
      <c r="O30" s="55"/>
      <c r="P30" s="55"/>
    </row>
    <row r="31" spans="1:16" ht="15">
      <c r="A31" s="56" t="s">
        <v>169</v>
      </c>
      <c r="B31" s="57" t="s">
        <v>170</v>
      </c>
      <c r="N31" s="98"/>
      <c r="O31" s="55"/>
      <c r="P31" s="55"/>
    </row>
    <row r="32" spans="1:16" ht="15">
      <c r="A32" s="56" t="s">
        <v>171</v>
      </c>
      <c r="B32" s="57" t="s">
        <v>172</v>
      </c>
      <c r="N32" s="98">
        <f>SUM(N33+N34+N35+N36+N37+N38)</f>
        <v>0</v>
      </c>
      <c r="O32" s="55"/>
      <c r="P32" s="55"/>
    </row>
    <row r="33" spans="1:16" ht="15">
      <c r="A33" s="56" t="s">
        <v>173</v>
      </c>
      <c r="B33" s="57" t="s">
        <v>174</v>
      </c>
      <c r="N33" s="98"/>
      <c r="O33" s="55"/>
      <c r="P33" s="55"/>
    </row>
    <row r="34" spans="1:16" ht="15">
      <c r="A34" s="56" t="s">
        <v>175</v>
      </c>
      <c r="B34" s="57" t="s">
        <v>176</v>
      </c>
      <c r="N34" s="98"/>
      <c r="O34" s="55"/>
      <c r="P34" s="55"/>
    </row>
    <row r="35" spans="1:16" ht="15">
      <c r="A35" s="56" t="s">
        <v>177</v>
      </c>
      <c r="B35" s="57" t="s">
        <v>178</v>
      </c>
      <c r="N35" s="98"/>
      <c r="O35" s="55"/>
      <c r="P35" s="55"/>
    </row>
    <row r="36" spans="1:16" ht="15">
      <c r="A36" s="56" t="s">
        <v>179</v>
      </c>
      <c r="B36" s="57" t="s">
        <v>180</v>
      </c>
      <c r="N36" s="98"/>
      <c r="O36" s="55"/>
      <c r="P36" s="55"/>
    </row>
    <row r="37" spans="1:16" ht="15">
      <c r="A37" s="56" t="s">
        <v>181</v>
      </c>
      <c r="B37" s="57" t="s">
        <v>182</v>
      </c>
      <c r="N37" s="98"/>
      <c r="O37" s="55"/>
      <c r="P37" s="55"/>
    </row>
    <row r="38" spans="1:16" ht="15">
      <c r="A38" s="56" t="s">
        <v>183</v>
      </c>
      <c r="B38" s="57" t="s">
        <v>184</v>
      </c>
      <c r="N38" s="98">
        <v>0</v>
      </c>
      <c r="O38" s="55"/>
      <c r="P38" s="55"/>
    </row>
    <row r="39" spans="1:16" ht="15">
      <c r="A39" s="56" t="s">
        <v>185</v>
      </c>
      <c r="B39" s="57" t="s">
        <v>186</v>
      </c>
      <c r="N39" s="98">
        <f>SUM(N40+N41+N42)</f>
        <v>0</v>
      </c>
      <c r="O39" s="55"/>
      <c r="P39" s="55"/>
    </row>
    <row r="40" spans="1:16" ht="15">
      <c r="A40" s="56" t="s">
        <v>187</v>
      </c>
      <c r="B40" s="57" t="s">
        <v>188</v>
      </c>
      <c r="N40" s="98"/>
      <c r="O40" s="55"/>
      <c r="P40" s="55"/>
    </row>
    <row r="41" spans="1:16" ht="15">
      <c r="A41" s="56" t="s">
        <v>189</v>
      </c>
      <c r="B41" s="57" t="s">
        <v>190</v>
      </c>
      <c r="N41" s="98"/>
      <c r="O41" s="55"/>
      <c r="P41" s="55"/>
    </row>
    <row r="42" spans="1:16" ht="15">
      <c r="A42" s="56" t="s">
        <v>191</v>
      </c>
      <c r="B42" s="57" t="s">
        <v>192</v>
      </c>
      <c r="N42" s="99">
        <v>0</v>
      </c>
      <c r="O42" s="55"/>
      <c r="P42" s="55"/>
    </row>
    <row r="43" spans="1:16" ht="15">
      <c r="A43" s="56" t="s">
        <v>193</v>
      </c>
      <c r="B43" s="57" t="s">
        <v>194</v>
      </c>
      <c r="N43" s="98">
        <v>0</v>
      </c>
      <c r="O43" s="55"/>
      <c r="P43" s="55"/>
    </row>
    <row r="44" spans="1:16" ht="15">
      <c r="A44" s="56" t="s">
        <v>195</v>
      </c>
      <c r="B44" s="57" t="s">
        <v>196</v>
      </c>
      <c r="N44" s="98"/>
      <c r="O44" s="55"/>
      <c r="P44" s="55"/>
    </row>
    <row r="45" spans="1:16" ht="15">
      <c r="A45" s="56" t="s">
        <v>197</v>
      </c>
      <c r="B45" s="57" t="s">
        <v>198</v>
      </c>
      <c r="N45" s="98">
        <f>SUM(N46+N47+N48)</f>
        <v>0</v>
      </c>
      <c r="O45" s="55"/>
      <c r="P45" s="55"/>
    </row>
    <row r="46" spans="1:16" ht="15">
      <c r="A46" s="56" t="s">
        <v>199</v>
      </c>
      <c r="B46" s="57" t="s">
        <v>200</v>
      </c>
      <c r="N46" s="98"/>
      <c r="O46" s="55"/>
      <c r="P46" s="55"/>
    </row>
    <row r="47" spans="1:16" ht="15">
      <c r="A47" s="56" t="s">
        <v>201</v>
      </c>
      <c r="B47" s="57" t="s">
        <v>202</v>
      </c>
      <c r="N47" s="98"/>
      <c r="O47" s="55"/>
      <c r="P47" s="55"/>
    </row>
    <row r="48" spans="1:16" ht="15">
      <c r="A48" s="56" t="s">
        <v>203</v>
      </c>
      <c r="B48" s="57" t="s">
        <v>204</v>
      </c>
      <c r="N48" s="98"/>
      <c r="O48" s="55"/>
      <c r="P48" s="55"/>
    </row>
    <row r="49" spans="1:16" ht="27.6">
      <c r="A49" s="56" t="s">
        <v>205</v>
      </c>
      <c r="B49" s="57" t="s">
        <v>206</v>
      </c>
      <c r="N49" s="98">
        <f>SUM(N50+N51)</f>
        <v>0</v>
      </c>
      <c r="O49" s="55"/>
      <c r="P49" s="55"/>
    </row>
    <row r="50" spans="1:16" ht="15">
      <c r="A50" s="56" t="s">
        <v>207</v>
      </c>
      <c r="B50" s="57" t="s">
        <v>208</v>
      </c>
      <c r="N50" s="98"/>
      <c r="O50" s="55"/>
      <c r="P50" s="55"/>
    </row>
    <row r="51" spans="1:16" ht="15">
      <c r="A51" s="56" t="s">
        <v>209</v>
      </c>
      <c r="B51" s="57" t="s">
        <v>210</v>
      </c>
      <c r="N51" s="98"/>
      <c r="O51" s="55"/>
      <c r="P51" s="55"/>
    </row>
    <row r="52" spans="1:16" ht="27.6">
      <c r="A52" s="53" t="s">
        <v>211</v>
      </c>
      <c r="B52" s="54" t="s">
        <v>212</v>
      </c>
      <c r="N52" s="98">
        <f>N53+N59+N64+N72+N75+N78+N81</f>
        <v>0</v>
      </c>
      <c r="O52" s="55"/>
      <c r="P52" s="55"/>
    </row>
    <row r="53" spans="1:16" ht="15">
      <c r="A53" s="56" t="s">
        <v>213</v>
      </c>
      <c r="B53" s="57" t="s">
        <v>142</v>
      </c>
      <c r="N53" s="98">
        <f>N54+N55+N56+N57+N58</f>
        <v>0</v>
      </c>
      <c r="O53" s="55"/>
      <c r="P53" s="55"/>
    </row>
    <row r="54" spans="1:16" ht="15">
      <c r="A54" s="56" t="s">
        <v>214</v>
      </c>
      <c r="B54" s="57" t="s">
        <v>215</v>
      </c>
      <c r="N54" s="98"/>
      <c r="O54" s="55"/>
      <c r="P54" s="55"/>
    </row>
    <row r="55" spans="1:16" ht="15">
      <c r="A55" s="56" t="s">
        <v>216</v>
      </c>
      <c r="B55" s="57" t="s">
        <v>217</v>
      </c>
      <c r="N55" s="98"/>
      <c r="O55" s="55"/>
      <c r="P55" s="55"/>
    </row>
    <row r="56" spans="1:16" ht="15">
      <c r="A56" s="56" t="s">
        <v>218</v>
      </c>
      <c r="B56" s="57" t="s">
        <v>219</v>
      </c>
      <c r="N56" s="98"/>
      <c r="O56" s="55"/>
      <c r="P56" s="55"/>
    </row>
    <row r="57" spans="1:16" ht="15">
      <c r="A57" s="56" t="s">
        <v>220</v>
      </c>
      <c r="B57" s="57" t="s">
        <v>221</v>
      </c>
      <c r="N57" s="98"/>
      <c r="O57" s="55"/>
      <c r="P57" s="55"/>
    </row>
    <row r="58" spans="1:16" ht="15">
      <c r="A58" s="56" t="s">
        <v>222</v>
      </c>
      <c r="B58" s="57" t="s">
        <v>223</v>
      </c>
      <c r="N58" s="100">
        <f>NOTES!G216</f>
        <v>0</v>
      </c>
      <c r="O58" s="55"/>
      <c r="P58" s="55"/>
    </row>
    <row r="59" spans="1:16" ht="15">
      <c r="A59" s="56" t="s">
        <v>224</v>
      </c>
      <c r="B59" s="57" t="s">
        <v>225</v>
      </c>
      <c r="N59" s="98">
        <f>N60+N61+N62+N63</f>
        <v>0</v>
      </c>
      <c r="O59" s="55"/>
      <c r="P59" s="55"/>
    </row>
    <row r="60" spans="1:16" ht="15">
      <c r="A60" s="56" t="s">
        <v>226</v>
      </c>
      <c r="B60" s="57" t="s">
        <v>227</v>
      </c>
      <c r="N60" s="98"/>
      <c r="O60" s="55"/>
      <c r="P60" s="55"/>
    </row>
    <row r="61" spans="1:16" ht="15">
      <c r="A61" s="56" t="s">
        <v>228</v>
      </c>
      <c r="B61" s="57" t="s">
        <v>229</v>
      </c>
      <c r="N61" s="98"/>
      <c r="O61" s="55"/>
      <c r="P61" s="55"/>
    </row>
    <row r="62" spans="1:16" ht="15">
      <c r="A62" s="56" t="s">
        <v>230</v>
      </c>
      <c r="B62" s="57" t="s">
        <v>231</v>
      </c>
      <c r="N62" s="98"/>
      <c r="O62" s="55"/>
      <c r="P62" s="55"/>
    </row>
    <row r="63" spans="1:16" ht="15">
      <c r="A63" s="56" t="s">
        <v>232</v>
      </c>
      <c r="B63" s="57" t="s">
        <v>233</v>
      </c>
      <c r="N63" s="98"/>
      <c r="O63" s="55"/>
      <c r="P63" s="55"/>
    </row>
    <row r="64" spans="1:16" ht="15">
      <c r="A64" s="56" t="s">
        <v>234</v>
      </c>
      <c r="B64" s="57" t="s">
        <v>235</v>
      </c>
      <c r="N64" s="98">
        <f>N65+N68+N69+N70+N71</f>
        <v>0</v>
      </c>
      <c r="O64" s="55"/>
      <c r="P64" s="55"/>
    </row>
    <row r="65" spans="1:16" ht="15">
      <c r="A65" s="56" t="s">
        <v>236</v>
      </c>
      <c r="B65" s="57" t="s">
        <v>237</v>
      </c>
      <c r="N65" s="98">
        <f>N66+N67</f>
        <v>0</v>
      </c>
      <c r="O65" s="55"/>
      <c r="P65" s="55"/>
    </row>
    <row r="66" spans="1:16" ht="15">
      <c r="A66" s="56" t="s">
        <v>238</v>
      </c>
      <c r="B66" s="57" t="s">
        <v>239</v>
      </c>
      <c r="N66" s="98"/>
      <c r="O66" s="55"/>
      <c r="P66" s="55"/>
    </row>
    <row r="67" spans="1:16" ht="15">
      <c r="A67" s="56" t="s">
        <v>240</v>
      </c>
      <c r="B67" s="57" t="s">
        <v>241</v>
      </c>
      <c r="N67" s="98"/>
      <c r="O67" s="55"/>
      <c r="P67" s="55"/>
    </row>
    <row r="68" spans="1:16" ht="15">
      <c r="A68" s="56" t="s">
        <v>242</v>
      </c>
      <c r="B68" s="57" t="s">
        <v>243</v>
      </c>
      <c r="N68" s="98"/>
      <c r="O68" s="55"/>
      <c r="P68" s="55"/>
    </row>
    <row r="69" spans="1:16" ht="15">
      <c r="A69" s="56" t="s">
        <v>244</v>
      </c>
      <c r="B69" s="57" t="s">
        <v>245</v>
      </c>
      <c r="N69" s="98"/>
      <c r="O69" s="55"/>
      <c r="P69" s="55"/>
    </row>
    <row r="70" spans="1:16" ht="15">
      <c r="A70" s="56" t="s">
        <v>246</v>
      </c>
      <c r="B70" s="57" t="s">
        <v>247</v>
      </c>
      <c r="N70" s="98"/>
      <c r="O70" s="55"/>
      <c r="P70" s="55"/>
    </row>
    <row r="71" spans="1:16" ht="15">
      <c r="A71" s="56" t="s">
        <v>248</v>
      </c>
      <c r="B71" s="57" t="s">
        <v>249</v>
      </c>
      <c r="N71" s="96">
        <f>SUM(NOTES!G213,NOTES!G208,NOTES!G209)</f>
        <v>0</v>
      </c>
      <c r="O71" s="55"/>
      <c r="P71" s="55"/>
    </row>
    <row r="72" spans="1:16" ht="15">
      <c r="A72" s="56" t="s">
        <v>250</v>
      </c>
      <c r="B72" s="57" t="s">
        <v>194</v>
      </c>
      <c r="N72" s="98">
        <f>N73+N74</f>
        <v>0</v>
      </c>
      <c r="O72" s="55"/>
      <c r="P72" s="55"/>
    </row>
    <row r="73" spans="1:16" ht="15">
      <c r="A73" s="56" t="s">
        <v>251</v>
      </c>
      <c r="B73" s="57" t="s">
        <v>208</v>
      </c>
      <c r="N73" s="98"/>
      <c r="O73" s="55"/>
      <c r="P73" s="55"/>
    </row>
    <row r="74" spans="1:16" ht="15">
      <c r="A74" s="56" t="s">
        <v>252</v>
      </c>
      <c r="B74" s="57" t="s">
        <v>150</v>
      </c>
      <c r="N74" s="98">
        <v>0</v>
      </c>
      <c r="O74" s="55"/>
      <c r="P74" s="55"/>
    </row>
    <row r="75" spans="1:16" ht="15">
      <c r="A75" s="56" t="s">
        <v>253</v>
      </c>
      <c r="B75" s="57" t="s">
        <v>196</v>
      </c>
      <c r="N75" s="98">
        <f>N76+N77</f>
        <v>0</v>
      </c>
      <c r="O75" s="55"/>
      <c r="P75" s="55"/>
    </row>
    <row r="76" spans="1:16" ht="15">
      <c r="A76" s="56" t="s">
        <v>254</v>
      </c>
      <c r="B76" s="57" t="s">
        <v>208</v>
      </c>
      <c r="N76" s="98"/>
      <c r="O76" s="55"/>
      <c r="P76" s="55"/>
    </row>
    <row r="77" spans="1:16" ht="15">
      <c r="A77" s="56" t="s">
        <v>255</v>
      </c>
      <c r="B77" s="57" t="s">
        <v>150</v>
      </c>
      <c r="N77" s="98"/>
      <c r="O77" s="55"/>
      <c r="P77" s="55"/>
    </row>
    <row r="78" spans="1:16" ht="15">
      <c r="A78" s="56" t="s">
        <v>256</v>
      </c>
      <c r="B78" s="57" t="s">
        <v>198</v>
      </c>
      <c r="N78" s="98">
        <f>N79++N80+N81</f>
        <v>0</v>
      </c>
      <c r="O78" s="55"/>
      <c r="P78" s="55"/>
    </row>
    <row r="79" spans="1:16" ht="15">
      <c r="A79" s="56" t="s">
        <v>257</v>
      </c>
      <c r="B79" s="57" t="s">
        <v>208</v>
      </c>
      <c r="N79" s="98"/>
      <c r="O79" s="55"/>
      <c r="P79" s="55"/>
    </row>
    <row r="80" spans="1:16" ht="15">
      <c r="A80" s="56" t="s">
        <v>258</v>
      </c>
      <c r="B80" s="57" t="s">
        <v>150</v>
      </c>
      <c r="N80" s="96">
        <f>SUM(NOTES!G217:H218)</f>
        <v>0</v>
      </c>
      <c r="O80" s="55"/>
      <c r="P80" s="55"/>
    </row>
    <row r="81" spans="1:16" ht="15">
      <c r="A81" s="56" t="s">
        <v>259</v>
      </c>
      <c r="B81" s="57" t="s">
        <v>260</v>
      </c>
      <c r="N81" s="96"/>
      <c r="O81" s="55"/>
      <c r="P81" s="55"/>
    </row>
    <row r="82" spans="1:16" ht="15">
      <c r="A82" s="56" t="s">
        <v>261</v>
      </c>
      <c r="B82" s="57" t="s">
        <v>208</v>
      </c>
      <c r="N82" s="98"/>
      <c r="O82" s="55"/>
      <c r="P82" s="55"/>
    </row>
    <row r="83" spans="1:16" ht="15">
      <c r="A83" s="56" t="s">
        <v>262</v>
      </c>
      <c r="B83" s="57" t="s">
        <v>150</v>
      </c>
      <c r="N83" s="98"/>
      <c r="O83" s="55"/>
      <c r="P83" s="55"/>
    </row>
    <row r="84" spans="1:16" ht="15">
      <c r="A84" s="53" t="s">
        <v>263</v>
      </c>
      <c r="B84" s="54" t="s">
        <v>264</v>
      </c>
      <c r="N84" s="98">
        <f>N93-N94</f>
        <v>0</v>
      </c>
      <c r="O84" s="55"/>
      <c r="P84" s="55"/>
    </row>
    <row r="85" spans="1:16" ht="15">
      <c r="A85" s="56" t="s">
        <v>265</v>
      </c>
      <c r="B85" s="57" t="s">
        <v>266</v>
      </c>
      <c r="N85" s="98">
        <f>N86+N87+N88+N89</f>
        <v>0</v>
      </c>
      <c r="O85" s="55"/>
      <c r="P85" s="55"/>
    </row>
    <row r="86" spans="1:16" ht="15">
      <c r="A86" s="56" t="s">
        <v>267</v>
      </c>
      <c r="B86" s="57" t="s">
        <v>268</v>
      </c>
      <c r="N86" s="98"/>
      <c r="O86" s="55"/>
      <c r="P86" s="55"/>
    </row>
    <row r="87" spans="1:16" ht="15">
      <c r="A87" s="56" t="s">
        <v>269</v>
      </c>
      <c r="B87" s="57" t="s">
        <v>243</v>
      </c>
      <c r="N87" s="98"/>
      <c r="O87" s="55"/>
      <c r="P87" s="55"/>
    </row>
    <row r="88" spans="1:16" ht="15">
      <c r="A88" s="56" t="s">
        <v>270</v>
      </c>
      <c r="B88" s="57" t="s">
        <v>271</v>
      </c>
      <c r="N88" s="98"/>
      <c r="O88" s="55"/>
      <c r="P88" s="55"/>
    </row>
    <row r="89" spans="1:16" ht="15">
      <c r="A89" s="56" t="s">
        <v>272</v>
      </c>
      <c r="B89" s="57" t="s">
        <v>273</v>
      </c>
      <c r="N89" s="96">
        <f>SUM(NOTES!G214:H215)</f>
        <v>0</v>
      </c>
      <c r="O89" s="55"/>
      <c r="P89" s="55"/>
    </row>
    <row r="90" spans="1:16" ht="15">
      <c r="A90" s="56" t="s">
        <v>274</v>
      </c>
      <c r="B90" s="57" t="s">
        <v>275</v>
      </c>
      <c r="N90" s="98"/>
      <c r="O90" s="55"/>
      <c r="P90" s="55"/>
    </row>
    <row r="91" spans="1:16" ht="15">
      <c r="A91" s="56" t="s">
        <v>276</v>
      </c>
      <c r="B91" s="57" t="s">
        <v>146</v>
      </c>
      <c r="N91" s="98"/>
      <c r="O91" s="55"/>
      <c r="P91" s="55"/>
    </row>
    <row r="92" spans="1:16" ht="15">
      <c r="A92" s="56" t="s">
        <v>277</v>
      </c>
      <c r="B92" s="57" t="s">
        <v>152</v>
      </c>
      <c r="N92" s="98">
        <v>0</v>
      </c>
      <c r="O92" s="55"/>
      <c r="P92" s="55"/>
    </row>
    <row r="93" spans="1:16" ht="15">
      <c r="A93" s="53" t="s">
        <v>278</v>
      </c>
      <c r="B93" s="54" t="s">
        <v>279</v>
      </c>
      <c r="N93" s="98">
        <f>N85+N90+N91+N92</f>
        <v>0</v>
      </c>
      <c r="O93" s="55"/>
      <c r="P93" s="55"/>
    </row>
    <row r="94" spans="1:16" ht="15">
      <c r="A94" s="56" t="s">
        <v>280</v>
      </c>
      <c r="B94" s="57" t="s">
        <v>281</v>
      </c>
      <c r="N94" s="98"/>
      <c r="O94" s="55"/>
      <c r="P94" s="55"/>
    </row>
    <row r="95" spans="1:16" ht="15">
      <c r="A95" s="53" t="s">
        <v>282</v>
      </c>
      <c r="B95" s="54" t="s">
        <v>283</v>
      </c>
      <c r="N95" s="96">
        <f>NOTES!G246</f>
        <v>0</v>
      </c>
      <c r="O95" s="55"/>
      <c r="P95" s="55"/>
    </row>
    <row r="96" spans="1:16" ht="15">
      <c r="A96" s="53" t="s">
        <v>284</v>
      </c>
      <c r="B96" s="54" t="s">
        <v>285</v>
      </c>
      <c r="N96" s="98">
        <f>N105-N106</f>
        <v>0</v>
      </c>
      <c r="O96" s="55"/>
      <c r="P96" s="55"/>
    </row>
    <row r="97" spans="1:18" ht="15">
      <c r="A97" s="56" t="s">
        <v>286</v>
      </c>
      <c r="B97" s="57" t="s">
        <v>287</v>
      </c>
      <c r="N97" s="96">
        <f>NOTES!G249</f>
        <v>0</v>
      </c>
      <c r="O97" s="55"/>
      <c r="P97" s="55"/>
    </row>
    <row r="98" spans="1:18" ht="15">
      <c r="A98" s="56" t="s">
        <v>288</v>
      </c>
      <c r="B98" s="57" t="s">
        <v>289</v>
      </c>
      <c r="N98" s="96">
        <f>NOTES!G250</f>
        <v>0</v>
      </c>
      <c r="O98" s="55"/>
      <c r="P98" s="55"/>
    </row>
    <row r="99" spans="1:18" ht="15">
      <c r="A99" s="56" t="s">
        <v>290</v>
      </c>
      <c r="B99" s="57" t="s">
        <v>291</v>
      </c>
      <c r="N99" s="96">
        <v>0</v>
      </c>
      <c r="O99" s="55"/>
      <c r="P99" s="55"/>
    </row>
    <row r="100" spans="1:18" ht="15">
      <c r="A100" s="56" t="s">
        <v>292</v>
      </c>
      <c r="B100" s="57" t="s">
        <v>293</v>
      </c>
      <c r="N100" s="96">
        <f>NOTES!G254</f>
        <v>0</v>
      </c>
      <c r="O100" s="55"/>
      <c r="P100" s="55"/>
    </row>
    <row r="101" spans="1:18" ht="15">
      <c r="A101" s="56" t="s">
        <v>294</v>
      </c>
      <c r="B101" s="57" t="s">
        <v>295</v>
      </c>
      <c r="N101" s="96">
        <f>NOTES!G253</f>
        <v>0</v>
      </c>
      <c r="O101" s="55"/>
      <c r="P101" s="55"/>
    </row>
    <row r="102" spans="1:18" ht="15">
      <c r="A102" s="56" t="s">
        <v>296</v>
      </c>
      <c r="B102" s="83" t="s">
        <v>413</v>
      </c>
      <c r="N102" s="96">
        <v>0</v>
      </c>
      <c r="O102" s="55"/>
      <c r="P102" s="55"/>
    </row>
    <row r="103" spans="1:18" ht="15">
      <c r="A103" s="56" t="s">
        <v>297</v>
      </c>
      <c r="B103" s="57" t="s">
        <v>298</v>
      </c>
      <c r="N103" s="96">
        <f>SUM(NOTES!G251,NOTES!G252,NOTES!G255,NOTES!G256)</f>
        <v>0</v>
      </c>
      <c r="O103" s="55"/>
      <c r="P103" s="55"/>
    </row>
    <row r="104" spans="1:18" ht="15">
      <c r="A104" s="56" t="s">
        <v>299</v>
      </c>
      <c r="B104" s="57" t="s">
        <v>300</v>
      </c>
      <c r="N104" s="96">
        <v>0</v>
      </c>
      <c r="O104" s="55"/>
      <c r="P104" s="55"/>
    </row>
    <row r="105" spans="1:18" ht="15">
      <c r="A105" s="56" t="s">
        <v>301</v>
      </c>
      <c r="B105" s="57" t="s">
        <v>302</v>
      </c>
      <c r="N105" s="98">
        <f>N97+N100+N101+N102+N103+N104+N99+N98</f>
        <v>0</v>
      </c>
      <c r="O105" s="55"/>
      <c r="P105" s="55"/>
    </row>
    <row r="106" spans="1:18" ht="15">
      <c r="A106" s="56" t="s">
        <v>303</v>
      </c>
      <c r="B106" s="57" t="s">
        <v>304</v>
      </c>
      <c r="N106" s="96">
        <f>NOTES!G258</f>
        <v>0</v>
      </c>
      <c r="O106" s="55"/>
      <c r="P106" s="55"/>
    </row>
    <row r="107" spans="1:18" ht="15">
      <c r="A107" s="59" t="s">
        <v>305</v>
      </c>
      <c r="B107" s="60" t="s">
        <v>306</v>
      </c>
      <c r="C107" s="61"/>
      <c r="D107" s="61"/>
      <c r="E107" s="61"/>
      <c r="F107" s="61"/>
      <c r="G107" s="61"/>
      <c r="H107" s="61"/>
      <c r="I107" s="61"/>
      <c r="J107" s="61"/>
      <c r="K107" s="61"/>
      <c r="L107" s="61"/>
      <c r="M107" s="61"/>
      <c r="N107" s="101">
        <f>N9+N16+N26+N52+N84+N95+N96</f>
        <v>0</v>
      </c>
      <c r="O107" s="55"/>
      <c r="P107" s="55"/>
      <c r="R107" s="62"/>
    </row>
    <row r="108" spans="1:18" ht="15">
      <c r="A108" s="53" t="s">
        <v>105</v>
      </c>
      <c r="B108" s="54" t="s">
        <v>307</v>
      </c>
      <c r="N108" s="98"/>
      <c r="O108" s="55"/>
      <c r="P108" s="55"/>
    </row>
    <row r="109" spans="1:18" s="65" customFormat="1" ht="15">
      <c r="A109" s="63" t="s">
        <v>105</v>
      </c>
      <c r="B109" s="64" t="s">
        <v>308</v>
      </c>
      <c r="N109" s="102"/>
      <c r="O109" s="66"/>
      <c r="P109" s="66"/>
    </row>
    <row r="110" spans="1:18" s="65" customFormat="1" ht="15">
      <c r="A110" s="63" t="s">
        <v>309</v>
      </c>
      <c r="B110" s="64" t="s">
        <v>310</v>
      </c>
      <c r="N110" s="102">
        <f>N111+N115</f>
        <v>0</v>
      </c>
      <c r="O110" s="66"/>
      <c r="P110" s="66"/>
    </row>
    <row r="111" spans="1:18" s="65" customFormat="1" ht="15">
      <c r="A111" s="63" t="s">
        <v>311</v>
      </c>
      <c r="B111" s="64" t="s">
        <v>312</v>
      </c>
      <c r="N111" s="102">
        <f>N112+N113+N114</f>
        <v>0</v>
      </c>
      <c r="O111" s="66"/>
      <c r="P111" s="66"/>
    </row>
    <row r="112" spans="1:18" s="65" customFormat="1" ht="15">
      <c r="A112" s="67" t="s">
        <v>313</v>
      </c>
      <c r="B112" s="68" t="s">
        <v>314</v>
      </c>
      <c r="N112" s="102"/>
      <c r="O112" s="66"/>
      <c r="P112" s="66"/>
    </row>
    <row r="113" spans="1:16" s="65" customFormat="1" ht="15">
      <c r="A113" s="67" t="s">
        <v>315</v>
      </c>
      <c r="B113" s="68" t="s">
        <v>316</v>
      </c>
      <c r="N113" s="102"/>
      <c r="O113" s="66"/>
      <c r="P113" s="66"/>
    </row>
    <row r="114" spans="1:16" s="65" customFormat="1" ht="15">
      <c r="A114" s="67" t="s">
        <v>317</v>
      </c>
      <c r="B114" s="68" t="s">
        <v>318</v>
      </c>
      <c r="N114" s="102"/>
      <c r="O114" s="66"/>
      <c r="P114" s="66"/>
    </row>
    <row r="115" spans="1:16" s="65" customFormat="1" ht="15">
      <c r="A115" s="63" t="s">
        <v>319</v>
      </c>
      <c r="B115" s="64" t="s">
        <v>320</v>
      </c>
      <c r="N115" s="102">
        <f>N116+N117+N118</f>
        <v>0</v>
      </c>
      <c r="O115" s="66"/>
      <c r="P115" s="66"/>
    </row>
    <row r="116" spans="1:16" s="65" customFormat="1" ht="15">
      <c r="A116" s="67" t="s">
        <v>321</v>
      </c>
      <c r="B116" s="68" t="s">
        <v>314</v>
      </c>
      <c r="N116" s="102">
        <v>0</v>
      </c>
      <c r="O116" s="66"/>
      <c r="P116" s="66"/>
    </row>
    <row r="117" spans="1:16" s="65" customFormat="1" ht="15">
      <c r="A117" s="67" t="s">
        <v>322</v>
      </c>
      <c r="B117" s="68" t="s">
        <v>323</v>
      </c>
      <c r="N117" s="102"/>
      <c r="O117" s="66"/>
      <c r="P117" s="66"/>
    </row>
    <row r="118" spans="1:16" s="65" customFormat="1" ht="15">
      <c r="A118" s="67" t="s">
        <v>324</v>
      </c>
      <c r="B118" s="68" t="s">
        <v>318</v>
      </c>
      <c r="N118" s="102"/>
      <c r="O118" s="66"/>
      <c r="P118" s="66"/>
    </row>
    <row r="119" spans="1:16" ht="15">
      <c r="A119" s="53" t="s">
        <v>105</v>
      </c>
      <c r="B119" s="54" t="s">
        <v>325</v>
      </c>
      <c r="N119" s="98"/>
      <c r="O119" s="55"/>
      <c r="P119" s="55"/>
    </row>
    <row r="120" spans="1:16" ht="15">
      <c r="A120" s="53" t="s">
        <v>326</v>
      </c>
      <c r="B120" s="54" t="s">
        <v>327</v>
      </c>
      <c r="N120" s="98">
        <f>N121+N126+N129+N130+N131+N132</f>
        <v>0</v>
      </c>
      <c r="O120" s="55"/>
      <c r="P120" s="55"/>
    </row>
    <row r="121" spans="1:16" ht="15">
      <c r="A121" s="53" t="s">
        <v>328</v>
      </c>
      <c r="B121" s="54" t="s">
        <v>329</v>
      </c>
      <c r="N121" s="99">
        <f>N122+N126+N129+N130+N131+N132</f>
        <v>0</v>
      </c>
      <c r="O121" s="69"/>
      <c r="P121" s="69"/>
    </row>
    <row r="122" spans="1:16" ht="15">
      <c r="A122" s="56" t="s">
        <v>330</v>
      </c>
      <c r="B122" s="57" t="s">
        <v>331</v>
      </c>
      <c r="N122" s="99">
        <f>N123+N124+N125</f>
        <v>0</v>
      </c>
      <c r="O122" s="69"/>
      <c r="P122" s="69"/>
    </row>
    <row r="123" spans="1:16" ht="15">
      <c r="A123" s="56" t="s">
        <v>332</v>
      </c>
      <c r="B123" s="57" t="s">
        <v>333</v>
      </c>
      <c r="N123" s="99"/>
      <c r="O123" s="69"/>
      <c r="P123" s="69"/>
    </row>
    <row r="124" spans="1:16" ht="15">
      <c r="A124" s="56" t="s">
        <v>334</v>
      </c>
      <c r="B124" s="57" t="s">
        <v>335</v>
      </c>
      <c r="N124" s="99"/>
      <c r="O124" s="69"/>
      <c r="P124" s="69"/>
    </row>
    <row r="125" spans="1:16" ht="15">
      <c r="A125" s="56" t="s">
        <v>336</v>
      </c>
      <c r="B125" s="57" t="s">
        <v>204</v>
      </c>
      <c r="N125" s="99"/>
      <c r="O125" s="69"/>
      <c r="P125" s="69"/>
    </row>
    <row r="126" spans="1:16" ht="15">
      <c r="A126" s="53" t="s">
        <v>337</v>
      </c>
      <c r="B126" s="54" t="s">
        <v>338</v>
      </c>
      <c r="N126" s="99">
        <f>N127+N128</f>
        <v>0</v>
      </c>
      <c r="O126" s="69"/>
      <c r="P126" s="69"/>
    </row>
    <row r="127" spans="1:16" ht="15">
      <c r="A127" s="53" t="s">
        <v>339</v>
      </c>
      <c r="B127" s="54" t="s">
        <v>268</v>
      </c>
      <c r="N127" s="96">
        <f>NOTES!G289</f>
        <v>0</v>
      </c>
      <c r="O127" s="69"/>
      <c r="P127" s="69"/>
    </row>
    <row r="128" spans="1:16" ht="15">
      <c r="A128" s="56" t="s">
        <v>340</v>
      </c>
      <c r="B128" s="57" t="s">
        <v>150</v>
      </c>
      <c r="N128" s="96">
        <f>NOTES!G290</f>
        <v>0</v>
      </c>
      <c r="O128" s="69"/>
      <c r="P128" s="69"/>
    </row>
    <row r="129" spans="1:16" ht="15">
      <c r="A129" s="56" t="s">
        <v>341</v>
      </c>
      <c r="B129" s="57" t="s">
        <v>342</v>
      </c>
      <c r="N129" s="99"/>
      <c r="O129" s="69"/>
      <c r="P129" s="69"/>
    </row>
    <row r="130" spans="1:16" ht="15">
      <c r="A130" s="56" t="s">
        <v>343</v>
      </c>
      <c r="B130" s="57" t="s">
        <v>344</v>
      </c>
      <c r="N130" s="99"/>
      <c r="O130" s="69"/>
      <c r="P130" s="69"/>
    </row>
    <row r="131" spans="1:16" ht="15">
      <c r="A131" s="56" t="s">
        <v>345</v>
      </c>
      <c r="B131" s="57" t="s">
        <v>346</v>
      </c>
      <c r="N131" s="96">
        <f>NOTES!G291</f>
        <v>0</v>
      </c>
      <c r="O131" s="69"/>
      <c r="P131" s="69"/>
    </row>
    <row r="132" spans="1:16" ht="15">
      <c r="A132" s="56" t="s">
        <v>347</v>
      </c>
      <c r="B132" s="57" t="s">
        <v>348</v>
      </c>
      <c r="N132" s="99"/>
      <c r="O132" s="69"/>
      <c r="P132" s="69"/>
    </row>
    <row r="133" spans="1:16" ht="15">
      <c r="A133" s="53" t="s">
        <v>349</v>
      </c>
      <c r="B133" s="54" t="s">
        <v>350</v>
      </c>
      <c r="N133" s="99">
        <f>N134+N135+N139+N140+N141+N142</f>
        <v>0</v>
      </c>
      <c r="O133" s="69"/>
      <c r="P133" s="69"/>
    </row>
    <row r="134" spans="1:16" ht="15">
      <c r="A134" s="56" t="s">
        <v>351</v>
      </c>
      <c r="B134" s="57" t="s">
        <v>352</v>
      </c>
      <c r="N134" s="99"/>
      <c r="O134" s="69"/>
      <c r="P134" s="69"/>
    </row>
    <row r="135" spans="1:16" ht="15">
      <c r="A135" s="53" t="s">
        <v>353</v>
      </c>
      <c r="B135" s="54" t="s">
        <v>354</v>
      </c>
      <c r="N135" s="99">
        <f>N136+N137+N138</f>
        <v>0</v>
      </c>
      <c r="O135" s="69"/>
      <c r="P135" s="69"/>
    </row>
    <row r="136" spans="1:16" ht="15">
      <c r="A136" s="53" t="s">
        <v>355</v>
      </c>
      <c r="B136" s="54" t="s">
        <v>356</v>
      </c>
      <c r="N136" s="99"/>
      <c r="O136" s="69"/>
      <c r="P136" s="69"/>
    </row>
    <row r="137" spans="1:16" ht="15">
      <c r="A137" s="56" t="s">
        <v>357</v>
      </c>
      <c r="B137" s="57" t="s">
        <v>358</v>
      </c>
      <c r="N137" s="99"/>
      <c r="O137" s="69"/>
      <c r="P137" s="69"/>
    </row>
    <row r="138" spans="1:16" ht="15">
      <c r="A138" s="56" t="s">
        <v>359</v>
      </c>
      <c r="B138" s="57" t="s">
        <v>360</v>
      </c>
      <c r="N138" s="99"/>
      <c r="O138" s="69"/>
      <c r="P138" s="69"/>
    </row>
    <row r="139" spans="1:16" ht="15">
      <c r="A139" s="56" t="s">
        <v>361</v>
      </c>
      <c r="B139" s="57" t="s">
        <v>342</v>
      </c>
      <c r="N139" s="99"/>
      <c r="O139" s="69"/>
      <c r="P139" s="69"/>
    </row>
    <row r="140" spans="1:16" ht="15">
      <c r="A140" s="56" t="s">
        <v>362</v>
      </c>
      <c r="B140" s="57" t="s">
        <v>344</v>
      </c>
      <c r="N140" s="99"/>
      <c r="O140" s="69"/>
      <c r="P140" s="69"/>
    </row>
    <row r="141" spans="1:16" ht="15">
      <c r="A141" s="56" t="s">
        <v>363</v>
      </c>
      <c r="B141" s="57" t="s">
        <v>346</v>
      </c>
      <c r="N141" s="99"/>
      <c r="O141" s="69"/>
      <c r="P141" s="69"/>
    </row>
    <row r="142" spans="1:16" ht="15">
      <c r="A142" s="56" t="s">
        <v>364</v>
      </c>
      <c r="B142" s="57" t="s">
        <v>348</v>
      </c>
      <c r="N142" s="99"/>
      <c r="O142" s="69"/>
      <c r="P142" s="69"/>
    </row>
    <row r="143" spans="1:16" ht="15">
      <c r="A143" s="53" t="s">
        <v>365</v>
      </c>
      <c r="B143" s="54" t="s">
        <v>366</v>
      </c>
      <c r="N143" s="99"/>
      <c r="O143" s="69"/>
      <c r="P143" s="69"/>
    </row>
    <row r="144" spans="1:16" ht="15">
      <c r="A144" s="53" t="s">
        <v>367</v>
      </c>
      <c r="B144" s="54" t="s">
        <v>368</v>
      </c>
      <c r="N144" s="99"/>
      <c r="O144" s="69"/>
      <c r="P144" s="69"/>
    </row>
    <row r="145" spans="1:16" ht="15">
      <c r="A145" s="53" t="s">
        <v>369</v>
      </c>
      <c r="B145" s="54" t="s">
        <v>370</v>
      </c>
      <c r="N145" s="96">
        <f>NOTES!G273</f>
        <v>0</v>
      </c>
      <c r="O145" s="69"/>
      <c r="P145" s="69"/>
    </row>
    <row r="146" spans="1:16" ht="15">
      <c r="A146" s="53" t="s">
        <v>371</v>
      </c>
      <c r="B146" s="54" t="s">
        <v>372</v>
      </c>
      <c r="N146" s="99"/>
      <c r="O146" s="69"/>
      <c r="P146" s="69"/>
    </row>
    <row r="147" spans="1:16" ht="15">
      <c r="A147" s="53" t="s">
        <v>373</v>
      </c>
      <c r="B147" s="54" t="s">
        <v>374</v>
      </c>
      <c r="N147" s="96">
        <f>NOTES!G285</f>
        <v>0</v>
      </c>
      <c r="O147" s="69"/>
      <c r="P147" s="69"/>
    </row>
    <row r="148" spans="1:16" ht="15">
      <c r="A148" s="53" t="s">
        <v>375</v>
      </c>
      <c r="B148" s="54" t="s">
        <v>376</v>
      </c>
      <c r="N148" s="99">
        <f>N110+N121+N133+N143+N144+N145+N146+N147</f>
        <v>0</v>
      </c>
      <c r="O148" s="69"/>
      <c r="P148" s="69"/>
    </row>
    <row r="149" spans="1:16" ht="15">
      <c r="A149" s="53" t="s">
        <v>105</v>
      </c>
      <c r="B149" s="54" t="s">
        <v>377</v>
      </c>
      <c r="N149" s="99">
        <f>N150+N151</f>
        <v>0</v>
      </c>
      <c r="O149" s="69"/>
      <c r="P149" s="69"/>
    </row>
    <row r="150" spans="1:16" ht="15">
      <c r="A150" s="53" t="s">
        <v>378</v>
      </c>
      <c r="B150" s="54" t="s">
        <v>379</v>
      </c>
      <c r="N150" s="96">
        <f>NOTES!G298</f>
        <v>0</v>
      </c>
      <c r="O150" s="69"/>
      <c r="P150" s="69"/>
    </row>
    <row r="151" spans="1:16" ht="15">
      <c r="A151" s="53" t="s">
        <v>380</v>
      </c>
      <c r="B151" s="54" t="s">
        <v>381</v>
      </c>
      <c r="N151" s="99">
        <f>N152+N153+N154+N155+N156</f>
        <v>0</v>
      </c>
      <c r="O151" s="69"/>
      <c r="P151" s="69"/>
    </row>
    <row r="152" spans="1:16" ht="15">
      <c r="A152" s="56" t="s">
        <v>382</v>
      </c>
      <c r="B152" s="57" t="s">
        <v>383</v>
      </c>
      <c r="N152" s="96">
        <f>NOTES!G302</f>
        <v>0</v>
      </c>
      <c r="O152" s="69"/>
      <c r="P152" s="69"/>
    </row>
    <row r="153" spans="1:16" ht="15">
      <c r="A153" s="56" t="s">
        <v>384</v>
      </c>
      <c r="B153" s="57" t="s">
        <v>385</v>
      </c>
      <c r="N153" s="99">
        <v>0</v>
      </c>
      <c r="O153" s="69"/>
      <c r="P153" s="69"/>
    </row>
    <row r="154" spans="1:16" ht="15">
      <c r="A154" s="56" t="s">
        <v>386</v>
      </c>
      <c r="B154" s="57" t="s">
        <v>387</v>
      </c>
      <c r="N154" s="96">
        <f>NOTES!G303+NOTES!G308</f>
        <v>0</v>
      </c>
      <c r="O154" s="69"/>
      <c r="P154" s="69"/>
    </row>
    <row r="155" spans="1:16" ht="15">
      <c r="A155" s="56" t="s">
        <v>388</v>
      </c>
      <c r="B155" s="57" t="s">
        <v>389</v>
      </c>
      <c r="N155" s="99">
        <v>0</v>
      </c>
      <c r="O155" s="69"/>
      <c r="P155" s="69"/>
    </row>
    <row r="156" spans="1:16" ht="15">
      <c r="A156" s="56" t="s">
        <v>390</v>
      </c>
      <c r="B156" s="57" t="s">
        <v>391</v>
      </c>
      <c r="N156" s="96">
        <f>NOTES!G304</f>
        <v>0</v>
      </c>
      <c r="O156" s="69"/>
      <c r="P156" s="69"/>
    </row>
    <row r="157" spans="1:16" ht="15">
      <c r="A157" s="53" t="s">
        <v>392</v>
      </c>
      <c r="B157" s="54" t="s">
        <v>393</v>
      </c>
      <c r="N157" s="99">
        <f>N149</f>
        <v>0</v>
      </c>
      <c r="O157" s="69"/>
      <c r="P157" s="69"/>
    </row>
    <row r="158" spans="1:16" ht="15">
      <c r="A158" s="53" t="s">
        <v>394</v>
      </c>
      <c r="B158" s="54" t="s">
        <v>395</v>
      </c>
      <c r="N158" s="99"/>
      <c r="O158" s="69"/>
      <c r="P158" s="69"/>
    </row>
    <row r="159" spans="1:16" ht="15">
      <c r="A159" s="53" t="s">
        <v>396</v>
      </c>
      <c r="B159" s="60" t="s">
        <v>397</v>
      </c>
      <c r="C159" s="61"/>
      <c r="D159" s="61"/>
      <c r="E159" s="61"/>
      <c r="F159" s="61"/>
      <c r="G159" s="61"/>
      <c r="H159" s="61"/>
      <c r="I159" s="61"/>
      <c r="J159" s="61"/>
      <c r="K159" s="61"/>
      <c r="L159" s="61"/>
      <c r="M159" s="61"/>
      <c r="N159" s="103">
        <f>N157+N148</f>
        <v>0</v>
      </c>
      <c r="O159" s="69"/>
      <c r="P159" s="69"/>
    </row>
    <row r="160" spans="1:16" ht="15">
      <c r="N160" s="104"/>
      <c r="O160" s="70"/>
      <c r="P160" s="70"/>
    </row>
    <row r="161" spans="1:16" ht="15">
      <c r="A161" s="67"/>
      <c r="B161" s="68" t="s">
        <v>398</v>
      </c>
      <c r="C161" s="65"/>
      <c r="D161" s="65"/>
      <c r="E161" s="65"/>
      <c r="F161" s="65"/>
      <c r="G161" s="65"/>
      <c r="H161" s="65"/>
      <c r="I161" s="65"/>
      <c r="J161" s="65"/>
      <c r="K161" s="65"/>
      <c r="L161" s="65"/>
      <c r="M161" s="65"/>
      <c r="N161" s="102">
        <f>N107-N159</f>
        <v>0</v>
      </c>
      <c r="O161" s="69"/>
      <c r="P161" s="69"/>
    </row>
    <row r="162" spans="1:16" ht="15">
      <c r="N162" s="58"/>
      <c r="O162" s="69"/>
      <c r="P162" s="69"/>
    </row>
    <row r="163" spans="1:16" ht="15">
      <c r="B163" s="71"/>
      <c r="N163" s="58"/>
      <c r="O163" s="69"/>
      <c r="P163" s="69"/>
    </row>
  </sheetData>
  <sheetProtection algorithmName="SHA-512" hashValue="92dLHc2qmcfhqcB456whAoJK3Hbtw1D2OwRnxMiZBwpTQyFV+IXwJsd/7wYeIJaXhuzwVTcTvcsfUa+IojRd2Q==" saltValue="hzEacpRK90XAlcBZvEHBdQ==" spinCount="100000" sheet="1" objects="1" scenarios="1" selectLockedCells="1" selectUnlockedCells="1"/>
  <mergeCells count="4">
    <mergeCell ref="A1:B1"/>
    <mergeCell ref="A2:B2"/>
    <mergeCell ref="A3:B3"/>
    <mergeCell ref="B4:C4"/>
  </mergeCells>
  <dataValidations count="27">
    <dataValidation allowBlank="1" showInputMessage="1" showErrorMessage="1" promptTitle="External Loan from Private Ent" prompt="Long Term Loan from Private Enterprises" sqref="N141 JJ141 TF141 ADB141 AMX141 AWT141 BGP141 BQL141 CAH141 CKD141 CTZ141 DDV141 DNR141 DXN141 EHJ141 ERF141 FBB141 FKX141 FUT141 GEP141 GOL141 GYH141 HID141 HRZ141 IBV141 ILR141 IVN141 JFJ141 JPF141 JZB141 KIX141 KST141 LCP141 LML141 LWH141 MGD141 MPZ141 MZV141 NJR141 NTN141 ODJ141 ONF141 OXB141 PGX141 PQT141 QAP141 QKL141 QUH141 RED141 RNZ141 RXV141 SHR141 SRN141 TBJ141 TLF141 TVB141 UEX141 UOT141 UYP141 VIL141 VSH141 WCD141 WLZ141 WVV141 N65677 JJ65677 TF65677 ADB65677 AMX65677 AWT65677 BGP65677 BQL65677 CAH65677 CKD65677 CTZ65677 DDV65677 DNR65677 DXN65677 EHJ65677 ERF65677 FBB65677 FKX65677 FUT65677 GEP65677 GOL65677 GYH65677 HID65677 HRZ65677 IBV65677 ILR65677 IVN65677 JFJ65677 JPF65677 JZB65677 KIX65677 KST65677 LCP65677 LML65677 LWH65677 MGD65677 MPZ65677 MZV65677 NJR65677 NTN65677 ODJ65677 ONF65677 OXB65677 PGX65677 PQT65677 QAP65677 QKL65677 QUH65677 RED65677 RNZ65677 RXV65677 SHR65677 SRN65677 TBJ65677 TLF65677 TVB65677 UEX65677 UOT65677 UYP65677 VIL65677 VSH65677 WCD65677 WLZ65677 WVV65677 N131213 JJ131213 TF131213 ADB131213 AMX131213 AWT131213 BGP131213 BQL131213 CAH131213 CKD131213 CTZ131213 DDV131213 DNR131213 DXN131213 EHJ131213 ERF131213 FBB131213 FKX131213 FUT131213 GEP131213 GOL131213 GYH131213 HID131213 HRZ131213 IBV131213 ILR131213 IVN131213 JFJ131213 JPF131213 JZB131213 KIX131213 KST131213 LCP131213 LML131213 LWH131213 MGD131213 MPZ131213 MZV131213 NJR131213 NTN131213 ODJ131213 ONF131213 OXB131213 PGX131213 PQT131213 QAP131213 QKL131213 QUH131213 RED131213 RNZ131213 RXV131213 SHR131213 SRN131213 TBJ131213 TLF131213 TVB131213 UEX131213 UOT131213 UYP131213 VIL131213 VSH131213 WCD131213 WLZ131213 WVV131213 N196749 JJ196749 TF196749 ADB196749 AMX196749 AWT196749 BGP196749 BQL196749 CAH196749 CKD196749 CTZ196749 DDV196749 DNR196749 DXN196749 EHJ196749 ERF196749 FBB196749 FKX196749 FUT196749 GEP196749 GOL196749 GYH196749 HID196749 HRZ196749 IBV196749 ILR196749 IVN196749 JFJ196749 JPF196749 JZB196749 KIX196749 KST196749 LCP196749 LML196749 LWH196749 MGD196749 MPZ196749 MZV196749 NJR196749 NTN196749 ODJ196749 ONF196749 OXB196749 PGX196749 PQT196749 QAP196749 QKL196749 QUH196749 RED196749 RNZ196749 RXV196749 SHR196749 SRN196749 TBJ196749 TLF196749 TVB196749 UEX196749 UOT196749 UYP196749 VIL196749 VSH196749 WCD196749 WLZ196749 WVV196749 N262285 JJ262285 TF262285 ADB262285 AMX262285 AWT262285 BGP262285 BQL262285 CAH262285 CKD262285 CTZ262285 DDV262285 DNR262285 DXN262285 EHJ262285 ERF262285 FBB262285 FKX262285 FUT262285 GEP262285 GOL262285 GYH262285 HID262285 HRZ262285 IBV262285 ILR262285 IVN262285 JFJ262285 JPF262285 JZB262285 KIX262285 KST262285 LCP262285 LML262285 LWH262285 MGD262285 MPZ262285 MZV262285 NJR262285 NTN262285 ODJ262285 ONF262285 OXB262285 PGX262285 PQT262285 QAP262285 QKL262285 QUH262285 RED262285 RNZ262285 RXV262285 SHR262285 SRN262285 TBJ262285 TLF262285 TVB262285 UEX262285 UOT262285 UYP262285 VIL262285 VSH262285 WCD262285 WLZ262285 WVV262285 N327821 JJ327821 TF327821 ADB327821 AMX327821 AWT327821 BGP327821 BQL327821 CAH327821 CKD327821 CTZ327821 DDV327821 DNR327821 DXN327821 EHJ327821 ERF327821 FBB327821 FKX327821 FUT327821 GEP327821 GOL327821 GYH327821 HID327821 HRZ327821 IBV327821 ILR327821 IVN327821 JFJ327821 JPF327821 JZB327821 KIX327821 KST327821 LCP327821 LML327821 LWH327821 MGD327821 MPZ327821 MZV327821 NJR327821 NTN327821 ODJ327821 ONF327821 OXB327821 PGX327821 PQT327821 QAP327821 QKL327821 QUH327821 RED327821 RNZ327821 RXV327821 SHR327821 SRN327821 TBJ327821 TLF327821 TVB327821 UEX327821 UOT327821 UYP327821 VIL327821 VSH327821 WCD327821 WLZ327821 WVV327821 N393357 JJ393357 TF393357 ADB393357 AMX393357 AWT393357 BGP393357 BQL393357 CAH393357 CKD393357 CTZ393357 DDV393357 DNR393357 DXN393357 EHJ393357 ERF393357 FBB393357 FKX393357 FUT393357 GEP393357 GOL393357 GYH393357 HID393357 HRZ393357 IBV393357 ILR393357 IVN393357 JFJ393357 JPF393357 JZB393357 KIX393357 KST393357 LCP393357 LML393357 LWH393357 MGD393357 MPZ393357 MZV393357 NJR393357 NTN393357 ODJ393357 ONF393357 OXB393357 PGX393357 PQT393357 QAP393357 QKL393357 QUH393357 RED393357 RNZ393357 RXV393357 SHR393357 SRN393357 TBJ393357 TLF393357 TVB393357 UEX393357 UOT393357 UYP393357 VIL393357 VSH393357 WCD393357 WLZ393357 WVV393357 N458893 JJ458893 TF458893 ADB458893 AMX458893 AWT458893 BGP458893 BQL458893 CAH458893 CKD458893 CTZ458893 DDV458893 DNR458893 DXN458893 EHJ458893 ERF458893 FBB458893 FKX458893 FUT458893 GEP458893 GOL458893 GYH458893 HID458893 HRZ458893 IBV458893 ILR458893 IVN458893 JFJ458893 JPF458893 JZB458893 KIX458893 KST458893 LCP458893 LML458893 LWH458893 MGD458893 MPZ458893 MZV458893 NJR458893 NTN458893 ODJ458893 ONF458893 OXB458893 PGX458893 PQT458893 QAP458893 QKL458893 QUH458893 RED458893 RNZ458893 RXV458893 SHR458893 SRN458893 TBJ458893 TLF458893 TVB458893 UEX458893 UOT458893 UYP458893 VIL458893 VSH458893 WCD458893 WLZ458893 WVV458893 N524429 JJ524429 TF524429 ADB524429 AMX524429 AWT524429 BGP524429 BQL524429 CAH524429 CKD524429 CTZ524429 DDV524429 DNR524429 DXN524429 EHJ524429 ERF524429 FBB524429 FKX524429 FUT524429 GEP524429 GOL524429 GYH524429 HID524429 HRZ524429 IBV524429 ILR524429 IVN524429 JFJ524429 JPF524429 JZB524429 KIX524429 KST524429 LCP524429 LML524429 LWH524429 MGD524429 MPZ524429 MZV524429 NJR524429 NTN524429 ODJ524429 ONF524429 OXB524429 PGX524429 PQT524429 QAP524429 QKL524429 QUH524429 RED524429 RNZ524429 RXV524429 SHR524429 SRN524429 TBJ524429 TLF524429 TVB524429 UEX524429 UOT524429 UYP524429 VIL524429 VSH524429 WCD524429 WLZ524429 WVV524429 N589965 JJ589965 TF589965 ADB589965 AMX589965 AWT589965 BGP589965 BQL589965 CAH589965 CKD589965 CTZ589965 DDV589965 DNR589965 DXN589965 EHJ589965 ERF589965 FBB589965 FKX589965 FUT589965 GEP589965 GOL589965 GYH589965 HID589965 HRZ589965 IBV589965 ILR589965 IVN589965 JFJ589965 JPF589965 JZB589965 KIX589965 KST589965 LCP589965 LML589965 LWH589965 MGD589965 MPZ589965 MZV589965 NJR589965 NTN589965 ODJ589965 ONF589965 OXB589965 PGX589965 PQT589965 QAP589965 QKL589965 QUH589965 RED589965 RNZ589965 RXV589965 SHR589965 SRN589965 TBJ589965 TLF589965 TVB589965 UEX589965 UOT589965 UYP589965 VIL589965 VSH589965 WCD589965 WLZ589965 WVV589965 N655501 JJ655501 TF655501 ADB655501 AMX655501 AWT655501 BGP655501 BQL655501 CAH655501 CKD655501 CTZ655501 DDV655501 DNR655501 DXN655501 EHJ655501 ERF655501 FBB655501 FKX655501 FUT655501 GEP655501 GOL655501 GYH655501 HID655501 HRZ655501 IBV655501 ILR655501 IVN655501 JFJ655501 JPF655501 JZB655501 KIX655501 KST655501 LCP655501 LML655501 LWH655501 MGD655501 MPZ655501 MZV655501 NJR655501 NTN655501 ODJ655501 ONF655501 OXB655501 PGX655501 PQT655501 QAP655501 QKL655501 QUH655501 RED655501 RNZ655501 RXV655501 SHR655501 SRN655501 TBJ655501 TLF655501 TVB655501 UEX655501 UOT655501 UYP655501 VIL655501 VSH655501 WCD655501 WLZ655501 WVV655501 N721037 JJ721037 TF721037 ADB721037 AMX721037 AWT721037 BGP721037 BQL721037 CAH721037 CKD721037 CTZ721037 DDV721037 DNR721037 DXN721037 EHJ721037 ERF721037 FBB721037 FKX721037 FUT721037 GEP721037 GOL721037 GYH721037 HID721037 HRZ721037 IBV721037 ILR721037 IVN721037 JFJ721037 JPF721037 JZB721037 KIX721037 KST721037 LCP721037 LML721037 LWH721037 MGD721037 MPZ721037 MZV721037 NJR721037 NTN721037 ODJ721037 ONF721037 OXB721037 PGX721037 PQT721037 QAP721037 QKL721037 QUH721037 RED721037 RNZ721037 RXV721037 SHR721037 SRN721037 TBJ721037 TLF721037 TVB721037 UEX721037 UOT721037 UYP721037 VIL721037 VSH721037 WCD721037 WLZ721037 WVV721037 N786573 JJ786573 TF786573 ADB786573 AMX786573 AWT786573 BGP786573 BQL786573 CAH786573 CKD786573 CTZ786573 DDV786573 DNR786573 DXN786573 EHJ786573 ERF786573 FBB786573 FKX786573 FUT786573 GEP786573 GOL786573 GYH786573 HID786573 HRZ786573 IBV786573 ILR786573 IVN786573 JFJ786573 JPF786573 JZB786573 KIX786573 KST786573 LCP786573 LML786573 LWH786573 MGD786573 MPZ786573 MZV786573 NJR786573 NTN786573 ODJ786573 ONF786573 OXB786573 PGX786573 PQT786573 QAP786573 QKL786573 QUH786573 RED786573 RNZ786573 RXV786573 SHR786573 SRN786573 TBJ786573 TLF786573 TVB786573 UEX786573 UOT786573 UYP786573 VIL786573 VSH786573 WCD786573 WLZ786573 WVV786573 N852109 JJ852109 TF852109 ADB852109 AMX852109 AWT852109 BGP852109 BQL852109 CAH852109 CKD852109 CTZ852109 DDV852109 DNR852109 DXN852109 EHJ852109 ERF852109 FBB852109 FKX852109 FUT852109 GEP852109 GOL852109 GYH852109 HID852109 HRZ852109 IBV852109 ILR852109 IVN852109 JFJ852109 JPF852109 JZB852109 KIX852109 KST852109 LCP852109 LML852109 LWH852109 MGD852109 MPZ852109 MZV852109 NJR852109 NTN852109 ODJ852109 ONF852109 OXB852109 PGX852109 PQT852109 QAP852109 QKL852109 QUH852109 RED852109 RNZ852109 RXV852109 SHR852109 SRN852109 TBJ852109 TLF852109 TVB852109 UEX852109 UOT852109 UYP852109 VIL852109 VSH852109 WCD852109 WLZ852109 WVV852109 N917645 JJ917645 TF917645 ADB917645 AMX917645 AWT917645 BGP917645 BQL917645 CAH917645 CKD917645 CTZ917645 DDV917645 DNR917645 DXN917645 EHJ917645 ERF917645 FBB917645 FKX917645 FUT917645 GEP917645 GOL917645 GYH917645 HID917645 HRZ917645 IBV917645 ILR917645 IVN917645 JFJ917645 JPF917645 JZB917645 KIX917645 KST917645 LCP917645 LML917645 LWH917645 MGD917645 MPZ917645 MZV917645 NJR917645 NTN917645 ODJ917645 ONF917645 OXB917645 PGX917645 PQT917645 QAP917645 QKL917645 QUH917645 RED917645 RNZ917645 RXV917645 SHR917645 SRN917645 TBJ917645 TLF917645 TVB917645 UEX917645 UOT917645 UYP917645 VIL917645 VSH917645 WCD917645 WLZ917645 WVV917645 N983181 JJ983181 TF983181 ADB983181 AMX983181 AWT983181 BGP983181 BQL983181 CAH983181 CKD983181 CTZ983181 DDV983181 DNR983181 DXN983181 EHJ983181 ERF983181 FBB983181 FKX983181 FUT983181 GEP983181 GOL983181 GYH983181 HID983181 HRZ983181 IBV983181 ILR983181 IVN983181 JFJ983181 JPF983181 JZB983181 KIX983181 KST983181 LCP983181 LML983181 LWH983181 MGD983181 MPZ983181 MZV983181 NJR983181 NTN983181 ODJ983181 ONF983181 OXB983181 PGX983181 PQT983181 QAP983181 QKL983181 QUH983181 RED983181 RNZ983181 RXV983181 SHR983181 SRN983181 TBJ983181 TLF983181 TVB983181 UEX983181 UOT983181 UYP983181 VIL983181 VSH983181 WCD983181 WLZ983181 WVV983181" xr:uid="{00000000-0002-0000-0200-000000000000}"/>
    <dataValidation allowBlank="1" showInputMessage="1" showErrorMessage="1" promptTitle="External Loan from CUA" prompt="Long Term CFF Loan" sqref="N138 JJ138 TF138 ADB138 AMX138 AWT138 BGP138 BQL138 CAH138 CKD138 CTZ138 DDV138 DNR138 DXN138 EHJ138 ERF138 FBB138 FKX138 FUT138 GEP138 GOL138 GYH138 HID138 HRZ138 IBV138 ILR138 IVN138 JFJ138 JPF138 JZB138 KIX138 KST138 LCP138 LML138 LWH138 MGD138 MPZ138 MZV138 NJR138 NTN138 ODJ138 ONF138 OXB138 PGX138 PQT138 QAP138 QKL138 QUH138 RED138 RNZ138 RXV138 SHR138 SRN138 TBJ138 TLF138 TVB138 UEX138 UOT138 UYP138 VIL138 VSH138 WCD138 WLZ138 WVV138 N65674 JJ65674 TF65674 ADB65674 AMX65674 AWT65674 BGP65674 BQL65674 CAH65674 CKD65674 CTZ65674 DDV65674 DNR65674 DXN65674 EHJ65674 ERF65674 FBB65674 FKX65674 FUT65674 GEP65674 GOL65674 GYH65674 HID65674 HRZ65674 IBV65674 ILR65674 IVN65674 JFJ65674 JPF65674 JZB65674 KIX65674 KST65674 LCP65674 LML65674 LWH65674 MGD65674 MPZ65674 MZV65674 NJR65674 NTN65674 ODJ65674 ONF65674 OXB65674 PGX65674 PQT65674 QAP65674 QKL65674 QUH65674 RED65674 RNZ65674 RXV65674 SHR65674 SRN65674 TBJ65674 TLF65674 TVB65674 UEX65674 UOT65674 UYP65674 VIL65674 VSH65674 WCD65674 WLZ65674 WVV65674 N131210 JJ131210 TF131210 ADB131210 AMX131210 AWT131210 BGP131210 BQL131210 CAH131210 CKD131210 CTZ131210 DDV131210 DNR131210 DXN131210 EHJ131210 ERF131210 FBB131210 FKX131210 FUT131210 GEP131210 GOL131210 GYH131210 HID131210 HRZ131210 IBV131210 ILR131210 IVN131210 JFJ131210 JPF131210 JZB131210 KIX131210 KST131210 LCP131210 LML131210 LWH131210 MGD131210 MPZ131210 MZV131210 NJR131210 NTN131210 ODJ131210 ONF131210 OXB131210 PGX131210 PQT131210 QAP131210 QKL131210 QUH131210 RED131210 RNZ131210 RXV131210 SHR131210 SRN131210 TBJ131210 TLF131210 TVB131210 UEX131210 UOT131210 UYP131210 VIL131210 VSH131210 WCD131210 WLZ131210 WVV131210 N196746 JJ196746 TF196746 ADB196746 AMX196746 AWT196746 BGP196746 BQL196746 CAH196746 CKD196746 CTZ196746 DDV196746 DNR196746 DXN196746 EHJ196746 ERF196746 FBB196746 FKX196746 FUT196746 GEP196746 GOL196746 GYH196746 HID196746 HRZ196746 IBV196746 ILR196746 IVN196746 JFJ196746 JPF196746 JZB196746 KIX196746 KST196746 LCP196746 LML196746 LWH196746 MGD196746 MPZ196746 MZV196746 NJR196746 NTN196746 ODJ196746 ONF196746 OXB196746 PGX196746 PQT196746 QAP196746 QKL196746 QUH196746 RED196746 RNZ196746 RXV196746 SHR196746 SRN196746 TBJ196746 TLF196746 TVB196746 UEX196746 UOT196746 UYP196746 VIL196746 VSH196746 WCD196746 WLZ196746 WVV196746 N262282 JJ262282 TF262282 ADB262282 AMX262282 AWT262282 BGP262282 BQL262282 CAH262282 CKD262282 CTZ262282 DDV262282 DNR262282 DXN262282 EHJ262282 ERF262282 FBB262282 FKX262282 FUT262282 GEP262282 GOL262282 GYH262282 HID262282 HRZ262282 IBV262282 ILR262282 IVN262282 JFJ262282 JPF262282 JZB262282 KIX262282 KST262282 LCP262282 LML262282 LWH262282 MGD262282 MPZ262282 MZV262282 NJR262282 NTN262282 ODJ262282 ONF262282 OXB262282 PGX262282 PQT262282 QAP262282 QKL262282 QUH262282 RED262282 RNZ262282 RXV262282 SHR262282 SRN262282 TBJ262282 TLF262282 TVB262282 UEX262282 UOT262282 UYP262282 VIL262282 VSH262282 WCD262282 WLZ262282 WVV262282 N327818 JJ327818 TF327818 ADB327818 AMX327818 AWT327818 BGP327818 BQL327818 CAH327818 CKD327818 CTZ327818 DDV327818 DNR327818 DXN327818 EHJ327818 ERF327818 FBB327818 FKX327818 FUT327818 GEP327818 GOL327818 GYH327818 HID327818 HRZ327818 IBV327818 ILR327818 IVN327818 JFJ327818 JPF327818 JZB327818 KIX327818 KST327818 LCP327818 LML327818 LWH327818 MGD327818 MPZ327818 MZV327818 NJR327818 NTN327818 ODJ327818 ONF327818 OXB327818 PGX327818 PQT327818 QAP327818 QKL327818 QUH327818 RED327818 RNZ327818 RXV327818 SHR327818 SRN327818 TBJ327818 TLF327818 TVB327818 UEX327818 UOT327818 UYP327818 VIL327818 VSH327818 WCD327818 WLZ327818 WVV327818 N393354 JJ393354 TF393354 ADB393354 AMX393354 AWT393354 BGP393354 BQL393354 CAH393354 CKD393354 CTZ393354 DDV393354 DNR393354 DXN393354 EHJ393354 ERF393354 FBB393354 FKX393354 FUT393354 GEP393354 GOL393354 GYH393354 HID393354 HRZ393354 IBV393354 ILR393354 IVN393354 JFJ393354 JPF393354 JZB393354 KIX393354 KST393354 LCP393354 LML393354 LWH393354 MGD393354 MPZ393354 MZV393354 NJR393354 NTN393354 ODJ393354 ONF393354 OXB393354 PGX393354 PQT393354 QAP393354 QKL393354 QUH393354 RED393354 RNZ393354 RXV393354 SHR393354 SRN393354 TBJ393354 TLF393354 TVB393354 UEX393354 UOT393354 UYP393354 VIL393354 VSH393354 WCD393354 WLZ393354 WVV393354 N458890 JJ458890 TF458890 ADB458890 AMX458890 AWT458890 BGP458890 BQL458890 CAH458890 CKD458890 CTZ458890 DDV458890 DNR458890 DXN458890 EHJ458890 ERF458890 FBB458890 FKX458890 FUT458890 GEP458890 GOL458890 GYH458890 HID458890 HRZ458890 IBV458890 ILR458890 IVN458890 JFJ458890 JPF458890 JZB458890 KIX458890 KST458890 LCP458890 LML458890 LWH458890 MGD458890 MPZ458890 MZV458890 NJR458890 NTN458890 ODJ458890 ONF458890 OXB458890 PGX458890 PQT458890 QAP458890 QKL458890 QUH458890 RED458890 RNZ458890 RXV458890 SHR458890 SRN458890 TBJ458890 TLF458890 TVB458890 UEX458890 UOT458890 UYP458890 VIL458890 VSH458890 WCD458890 WLZ458890 WVV458890 N524426 JJ524426 TF524426 ADB524426 AMX524426 AWT524426 BGP524426 BQL524426 CAH524426 CKD524426 CTZ524426 DDV524426 DNR524426 DXN524426 EHJ524426 ERF524426 FBB524426 FKX524426 FUT524426 GEP524426 GOL524426 GYH524426 HID524426 HRZ524426 IBV524426 ILR524426 IVN524426 JFJ524426 JPF524426 JZB524426 KIX524426 KST524426 LCP524426 LML524426 LWH524426 MGD524426 MPZ524426 MZV524426 NJR524426 NTN524426 ODJ524426 ONF524426 OXB524426 PGX524426 PQT524426 QAP524426 QKL524426 QUH524426 RED524426 RNZ524426 RXV524426 SHR524426 SRN524426 TBJ524426 TLF524426 TVB524426 UEX524426 UOT524426 UYP524426 VIL524426 VSH524426 WCD524426 WLZ524426 WVV524426 N589962 JJ589962 TF589962 ADB589962 AMX589962 AWT589962 BGP589962 BQL589962 CAH589962 CKD589962 CTZ589962 DDV589962 DNR589962 DXN589962 EHJ589962 ERF589962 FBB589962 FKX589962 FUT589962 GEP589962 GOL589962 GYH589962 HID589962 HRZ589962 IBV589962 ILR589962 IVN589962 JFJ589962 JPF589962 JZB589962 KIX589962 KST589962 LCP589962 LML589962 LWH589962 MGD589962 MPZ589962 MZV589962 NJR589962 NTN589962 ODJ589962 ONF589962 OXB589962 PGX589962 PQT589962 QAP589962 QKL589962 QUH589962 RED589962 RNZ589962 RXV589962 SHR589962 SRN589962 TBJ589962 TLF589962 TVB589962 UEX589962 UOT589962 UYP589962 VIL589962 VSH589962 WCD589962 WLZ589962 WVV589962 N655498 JJ655498 TF655498 ADB655498 AMX655498 AWT655498 BGP655498 BQL655498 CAH655498 CKD655498 CTZ655498 DDV655498 DNR655498 DXN655498 EHJ655498 ERF655498 FBB655498 FKX655498 FUT655498 GEP655498 GOL655498 GYH655498 HID655498 HRZ655498 IBV655498 ILR655498 IVN655498 JFJ655498 JPF655498 JZB655498 KIX655498 KST655498 LCP655498 LML655498 LWH655498 MGD655498 MPZ655498 MZV655498 NJR655498 NTN655498 ODJ655498 ONF655498 OXB655498 PGX655498 PQT655498 QAP655498 QKL655498 QUH655498 RED655498 RNZ655498 RXV655498 SHR655498 SRN655498 TBJ655498 TLF655498 TVB655498 UEX655498 UOT655498 UYP655498 VIL655498 VSH655498 WCD655498 WLZ655498 WVV655498 N721034 JJ721034 TF721034 ADB721034 AMX721034 AWT721034 BGP721034 BQL721034 CAH721034 CKD721034 CTZ721034 DDV721034 DNR721034 DXN721034 EHJ721034 ERF721034 FBB721034 FKX721034 FUT721034 GEP721034 GOL721034 GYH721034 HID721034 HRZ721034 IBV721034 ILR721034 IVN721034 JFJ721034 JPF721034 JZB721034 KIX721034 KST721034 LCP721034 LML721034 LWH721034 MGD721034 MPZ721034 MZV721034 NJR721034 NTN721034 ODJ721034 ONF721034 OXB721034 PGX721034 PQT721034 QAP721034 QKL721034 QUH721034 RED721034 RNZ721034 RXV721034 SHR721034 SRN721034 TBJ721034 TLF721034 TVB721034 UEX721034 UOT721034 UYP721034 VIL721034 VSH721034 WCD721034 WLZ721034 WVV721034 N786570 JJ786570 TF786570 ADB786570 AMX786570 AWT786570 BGP786570 BQL786570 CAH786570 CKD786570 CTZ786570 DDV786570 DNR786570 DXN786570 EHJ786570 ERF786570 FBB786570 FKX786570 FUT786570 GEP786570 GOL786570 GYH786570 HID786570 HRZ786570 IBV786570 ILR786570 IVN786570 JFJ786570 JPF786570 JZB786570 KIX786570 KST786570 LCP786570 LML786570 LWH786570 MGD786570 MPZ786570 MZV786570 NJR786570 NTN786570 ODJ786570 ONF786570 OXB786570 PGX786570 PQT786570 QAP786570 QKL786570 QUH786570 RED786570 RNZ786570 RXV786570 SHR786570 SRN786570 TBJ786570 TLF786570 TVB786570 UEX786570 UOT786570 UYP786570 VIL786570 VSH786570 WCD786570 WLZ786570 WVV786570 N852106 JJ852106 TF852106 ADB852106 AMX852106 AWT852106 BGP852106 BQL852106 CAH852106 CKD852106 CTZ852106 DDV852106 DNR852106 DXN852106 EHJ852106 ERF852106 FBB852106 FKX852106 FUT852106 GEP852106 GOL852106 GYH852106 HID852106 HRZ852106 IBV852106 ILR852106 IVN852106 JFJ852106 JPF852106 JZB852106 KIX852106 KST852106 LCP852106 LML852106 LWH852106 MGD852106 MPZ852106 MZV852106 NJR852106 NTN852106 ODJ852106 ONF852106 OXB852106 PGX852106 PQT852106 QAP852106 QKL852106 QUH852106 RED852106 RNZ852106 RXV852106 SHR852106 SRN852106 TBJ852106 TLF852106 TVB852106 UEX852106 UOT852106 UYP852106 VIL852106 VSH852106 WCD852106 WLZ852106 WVV852106 N917642 JJ917642 TF917642 ADB917642 AMX917642 AWT917642 BGP917642 BQL917642 CAH917642 CKD917642 CTZ917642 DDV917642 DNR917642 DXN917642 EHJ917642 ERF917642 FBB917642 FKX917642 FUT917642 GEP917642 GOL917642 GYH917642 HID917642 HRZ917642 IBV917642 ILR917642 IVN917642 JFJ917642 JPF917642 JZB917642 KIX917642 KST917642 LCP917642 LML917642 LWH917642 MGD917642 MPZ917642 MZV917642 NJR917642 NTN917642 ODJ917642 ONF917642 OXB917642 PGX917642 PQT917642 QAP917642 QKL917642 QUH917642 RED917642 RNZ917642 RXV917642 SHR917642 SRN917642 TBJ917642 TLF917642 TVB917642 UEX917642 UOT917642 UYP917642 VIL917642 VSH917642 WCD917642 WLZ917642 WVV917642 N983178 JJ983178 TF983178 ADB983178 AMX983178 AWT983178 BGP983178 BQL983178 CAH983178 CKD983178 CTZ983178 DDV983178 DNR983178 DXN983178 EHJ983178 ERF983178 FBB983178 FKX983178 FUT983178 GEP983178 GOL983178 GYH983178 HID983178 HRZ983178 IBV983178 ILR983178 IVN983178 JFJ983178 JPF983178 JZB983178 KIX983178 KST983178 LCP983178 LML983178 LWH983178 MGD983178 MPZ983178 MZV983178 NJR983178 NTN983178 ODJ983178 ONF983178 OXB983178 PGX983178 PQT983178 QAP983178 QKL983178 QUH983178 RED983178 RNZ983178 RXV983178 SHR983178 SRN983178 TBJ983178 TLF983178 TVB983178 UEX983178 UOT983178 UYP983178 VIL983178 VSH983178 WCD983178 WLZ983178 WVV983178" xr:uid="{00000000-0002-0000-0200-000001000000}"/>
    <dataValidation allowBlank="1" showInputMessage="1" showErrorMessage="1" promptTitle="External Loan from Banks" prompt="Long term Loan for Banks. Example Loan from GCB" sqref="N136 JJ136 TF136 ADB136 AMX136 AWT136 BGP136 BQL136 CAH136 CKD136 CTZ136 DDV136 DNR136 DXN136 EHJ136 ERF136 FBB136 FKX136 FUT136 GEP136 GOL136 GYH136 HID136 HRZ136 IBV136 ILR136 IVN136 JFJ136 JPF136 JZB136 KIX136 KST136 LCP136 LML136 LWH136 MGD136 MPZ136 MZV136 NJR136 NTN136 ODJ136 ONF136 OXB136 PGX136 PQT136 QAP136 QKL136 QUH136 RED136 RNZ136 RXV136 SHR136 SRN136 TBJ136 TLF136 TVB136 UEX136 UOT136 UYP136 VIL136 VSH136 WCD136 WLZ136 WVV136 N65672 JJ65672 TF65672 ADB65672 AMX65672 AWT65672 BGP65672 BQL65672 CAH65672 CKD65672 CTZ65672 DDV65672 DNR65672 DXN65672 EHJ65672 ERF65672 FBB65672 FKX65672 FUT65672 GEP65672 GOL65672 GYH65672 HID65672 HRZ65672 IBV65672 ILR65672 IVN65672 JFJ65672 JPF65672 JZB65672 KIX65672 KST65672 LCP65672 LML65672 LWH65672 MGD65672 MPZ65672 MZV65672 NJR65672 NTN65672 ODJ65672 ONF65672 OXB65672 PGX65672 PQT65672 QAP65672 QKL65672 QUH65672 RED65672 RNZ65672 RXV65672 SHR65672 SRN65672 TBJ65672 TLF65672 TVB65672 UEX65672 UOT65672 UYP65672 VIL65672 VSH65672 WCD65672 WLZ65672 WVV65672 N131208 JJ131208 TF131208 ADB131208 AMX131208 AWT131208 BGP131208 BQL131208 CAH131208 CKD131208 CTZ131208 DDV131208 DNR131208 DXN131208 EHJ131208 ERF131208 FBB131208 FKX131208 FUT131208 GEP131208 GOL131208 GYH131208 HID131208 HRZ131208 IBV131208 ILR131208 IVN131208 JFJ131208 JPF131208 JZB131208 KIX131208 KST131208 LCP131208 LML131208 LWH131208 MGD131208 MPZ131208 MZV131208 NJR131208 NTN131208 ODJ131208 ONF131208 OXB131208 PGX131208 PQT131208 QAP131208 QKL131208 QUH131208 RED131208 RNZ131208 RXV131208 SHR131208 SRN131208 TBJ131208 TLF131208 TVB131208 UEX131208 UOT131208 UYP131208 VIL131208 VSH131208 WCD131208 WLZ131208 WVV131208 N196744 JJ196744 TF196744 ADB196744 AMX196744 AWT196744 BGP196744 BQL196744 CAH196744 CKD196744 CTZ196744 DDV196744 DNR196744 DXN196744 EHJ196744 ERF196744 FBB196744 FKX196744 FUT196744 GEP196744 GOL196744 GYH196744 HID196744 HRZ196744 IBV196744 ILR196744 IVN196744 JFJ196744 JPF196744 JZB196744 KIX196744 KST196744 LCP196744 LML196744 LWH196744 MGD196744 MPZ196744 MZV196744 NJR196744 NTN196744 ODJ196744 ONF196744 OXB196744 PGX196744 PQT196744 QAP196744 QKL196744 QUH196744 RED196744 RNZ196744 RXV196744 SHR196744 SRN196744 TBJ196744 TLF196744 TVB196744 UEX196744 UOT196744 UYP196744 VIL196744 VSH196744 WCD196744 WLZ196744 WVV196744 N262280 JJ262280 TF262280 ADB262280 AMX262280 AWT262280 BGP262280 BQL262280 CAH262280 CKD262280 CTZ262280 DDV262280 DNR262280 DXN262280 EHJ262280 ERF262280 FBB262280 FKX262280 FUT262280 GEP262280 GOL262280 GYH262280 HID262280 HRZ262280 IBV262280 ILR262280 IVN262280 JFJ262280 JPF262280 JZB262280 KIX262280 KST262280 LCP262280 LML262280 LWH262280 MGD262280 MPZ262280 MZV262280 NJR262280 NTN262280 ODJ262280 ONF262280 OXB262280 PGX262280 PQT262280 QAP262280 QKL262280 QUH262280 RED262280 RNZ262280 RXV262280 SHR262280 SRN262280 TBJ262280 TLF262280 TVB262280 UEX262280 UOT262280 UYP262280 VIL262280 VSH262280 WCD262280 WLZ262280 WVV262280 N327816 JJ327816 TF327816 ADB327816 AMX327816 AWT327816 BGP327816 BQL327816 CAH327816 CKD327816 CTZ327816 DDV327816 DNR327816 DXN327816 EHJ327816 ERF327816 FBB327816 FKX327816 FUT327816 GEP327816 GOL327816 GYH327816 HID327816 HRZ327816 IBV327816 ILR327816 IVN327816 JFJ327816 JPF327816 JZB327816 KIX327816 KST327816 LCP327816 LML327816 LWH327816 MGD327816 MPZ327816 MZV327816 NJR327816 NTN327816 ODJ327816 ONF327816 OXB327816 PGX327816 PQT327816 QAP327816 QKL327816 QUH327816 RED327816 RNZ327816 RXV327816 SHR327816 SRN327816 TBJ327816 TLF327816 TVB327816 UEX327816 UOT327816 UYP327816 VIL327816 VSH327816 WCD327816 WLZ327816 WVV327816 N393352 JJ393352 TF393352 ADB393352 AMX393352 AWT393352 BGP393352 BQL393352 CAH393352 CKD393352 CTZ393352 DDV393352 DNR393352 DXN393352 EHJ393352 ERF393352 FBB393352 FKX393352 FUT393352 GEP393352 GOL393352 GYH393352 HID393352 HRZ393352 IBV393352 ILR393352 IVN393352 JFJ393352 JPF393352 JZB393352 KIX393352 KST393352 LCP393352 LML393352 LWH393352 MGD393352 MPZ393352 MZV393352 NJR393352 NTN393352 ODJ393352 ONF393352 OXB393352 PGX393352 PQT393352 QAP393352 QKL393352 QUH393352 RED393352 RNZ393352 RXV393352 SHR393352 SRN393352 TBJ393352 TLF393352 TVB393352 UEX393352 UOT393352 UYP393352 VIL393352 VSH393352 WCD393352 WLZ393352 WVV393352 N458888 JJ458888 TF458888 ADB458888 AMX458888 AWT458888 BGP458888 BQL458888 CAH458888 CKD458888 CTZ458888 DDV458888 DNR458888 DXN458888 EHJ458888 ERF458888 FBB458888 FKX458888 FUT458888 GEP458888 GOL458888 GYH458888 HID458888 HRZ458888 IBV458888 ILR458888 IVN458888 JFJ458888 JPF458888 JZB458888 KIX458888 KST458888 LCP458888 LML458888 LWH458888 MGD458888 MPZ458888 MZV458888 NJR458888 NTN458888 ODJ458888 ONF458888 OXB458888 PGX458888 PQT458888 QAP458888 QKL458888 QUH458888 RED458888 RNZ458888 RXV458888 SHR458888 SRN458888 TBJ458888 TLF458888 TVB458888 UEX458888 UOT458888 UYP458888 VIL458888 VSH458888 WCD458888 WLZ458888 WVV458888 N524424 JJ524424 TF524424 ADB524424 AMX524424 AWT524424 BGP524424 BQL524424 CAH524424 CKD524424 CTZ524424 DDV524424 DNR524424 DXN524424 EHJ524424 ERF524424 FBB524424 FKX524424 FUT524424 GEP524424 GOL524424 GYH524424 HID524424 HRZ524424 IBV524424 ILR524424 IVN524424 JFJ524424 JPF524424 JZB524424 KIX524424 KST524424 LCP524424 LML524424 LWH524424 MGD524424 MPZ524424 MZV524424 NJR524424 NTN524424 ODJ524424 ONF524424 OXB524424 PGX524424 PQT524424 QAP524424 QKL524424 QUH524424 RED524424 RNZ524424 RXV524424 SHR524424 SRN524424 TBJ524424 TLF524424 TVB524424 UEX524424 UOT524424 UYP524424 VIL524424 VSH524424 WCD524424 WLZ524424 WVV524424 N589960 JJ589960 TF589960 ADB589960 AMX589960 AWT589960 BGP589960 BQL589960 CAH589960 CKD589960 CTZ589960 DDV589960 DNR589960 DXN589960 EHJ589960 ERF589960 FBB589960 FKX589960 FUT589960 GEP589960 GOL589960 GYH589960 HID589960 HRZ589960 IBV589960 ILR589960 IVN589960 JFJ589960 JPF589960 JZB589960 KIX589960 KST589960 LCP589960 LML589960 LWH589960 MGD589960 MPZ589960 MZV589960 NJR589960 NTN589960 ODJ589960 ONF589960 OXB589960 PGX589960 PQT589960 QAP589960 QKL589960 QUH589960 RED589960 RNZ589960 RXV589960 SHR589960 SRN589960 TBJ589960 TLF589960 TVB589960 UEX589960 UOT589960 UYP589960 VIL589960 VSH589960 WCD589960 WLZ589960 WVV589960 N655496 JJ655496 TF655496 ADB655496 AMX655496 AWT655496 BGP655496 BQL655496 CAH655496 CKD655496 CTZ655496 DDV655496 DNR655496 DXN655496 EHJ655496 ERF655496 FBB655496 FKX655496 FUT655496 GEP655496 GOL655496 GYH655496 HID655496 HRZ655496 IBV655496 ILR655496 IVN655496 JFJ655496 JPF655496 JZB655496 KIX655496 KST655496 LCP655496 LML655496 LWH655496 MGD655496 MPZ655496 MZV655496 NJR655496 NTN655496 ODJ655496 ONF655496 OXB655496 PGX655496 PQT655496 QAP655496 QKL655496 QUH655496 RED655496 RNZ655496 RXV655496 SHR655496 SRN655496 TBJ655496 TLF655496 TVB655496 UEX655496 UOT655496 UYP655496 VIL655496 VSH655496 WCD655496 WLZ655496 WVV655496 N721032 JJ721032 TF721032 ADB721032 AMX721032 AWT721032 BGP721032 BQL721032 CAH721032 CKD721032 CTZ721032 DDV721032 DNR721032 DXN721032 EHJ721032 ERF721032 FBB721032 FKX721032 FUT721032 GEP721032 GOL721032 GYH721032 HID721032 HRZ721032 IBV721032 ILR721032 IVN721032 JFJ721032 JPF721032 JZB721032 KIX721032 KST721032 LCP721032 LML721032 LWH721032 MGD721032 MPZ721032 MZV721032 NJR721032 NTN721032 ODJ721032 ONF721032 OXB721032 PGX721032 PQT721032 QAP721032 QKL721032 QUH721032 RED721032 RNZ721032 RXV721032 SHR721032 SRN721032 TBJ721032 TLF721032 TVB721032 UEX721032 UOT721032 UYP721032 VIL721032 VSH721032 WCD721032 WLZ721032 WVV721032 N786568 JJ786568 TF786568 ADB786568 AMX786568 AWT786568 BGP786568 BQL786568 CAH786568 CKD786568 CTZ786568 DDV786568 DNR786568 DXN786568 EHJ786568 ERF786568 FBB786568 FKX786568 FUT786568 GEP786568 GOL786568 GYH786568 HID786568 HRZ786568 IBV786568 ILR786568 IVN786568 JFJ786568 JPF786568 JZB786568 KIX786568 KST786568 LCP786568 LML786568 LWH786568 MGD786568 MPZ786568 MZV786568 NJR786568 NTN786568 ODJ786568 ONF786568 OXB786568 PGX786568 PQT786568 QAP786568 QKL786568 QUH786568 RED786568 RNZ786568 RXV786568 SHR786568 SRN786568 TBJ786568 TLF786568 TVB786568 UEX786568 UOT786568 UYP786568 VIL786568 VSH786568 WCD786568 WLZ786568 WVV786568 N852104 JJ852104 TF852104 ADB852104 AMX852104 AWT852104 BGP852104 BQL852104 CAH852104 CKD852104 CTZ852104 DDV852104 DNR852104 DXN852104 EHJ852104 ERF852104 FBB852104 FKX852104 FUT852104 GEP852104 GOL852104 GYH852104 HID852104 HRZ852104 IBV852104 ILR852104 IVN852104 JFJ852104 JPF852104 JZB852104 KIX852104 KST852104 LCP852104 LML852104 LWH852104 MGD852104 MPZ852104 MZV852104 NJR852104 NTN852104 ODJ852104 ONF852104 OXB852104 PGX852104 PQT852104 QAP852104 QKL852104 QUH852104 RED852104 RNZ852104 RXV852104 SHR852104 SRN852104 TBJ852104 TLF852104 TVB852104 UEX852104 UOT852104 UYP852104 VIL852104 VSH852104 WCD852104 WLZ852104 WVV852104 N917640 JJ917640 TF917640 ADB917640 AMX917640 AWT917640 BGP917640 BQL917640 CAH917640 CKD917640 CTZ917640 DDV917640 DNR917640 DXN917640 EHJ917640 ERF917640 FBB917640 FKX917640 FUT917640 GEP917640 GOL917640 GYH917640 HID917640 HRZ917640 IBV917640 ILR917640 IVN917640 JFJ917640 JPF917640 JZB917640 KIX917640 KST917640 LCP917640 LML917640 LWH917640 MGD917640 MPZ917640 MZV917640 NJR917640 NTN917640 ODJ917640 ONF917640 OXB917640 PGX917640 PQT917640 QAP917640 QKL917640 QUH917640 RED917640 RNZ917640 RXV917640 SHR917640 SRN917640 TBJ917640 TLF917640 TVB917640 UEX917640 UOT917640 UYP917640 VIL917640 VSH917640 WCD917640 WLZ917640 WVV917640 N983176 JJ983176 TF983176 ADB983176 AMX983176 AWT983176 BGP983176 BQL983176 CAH983176 CKD983176 CTZ983176 DDV983176 DNR983176 DXN983176 EHJ983176 ERF983176 FBB983176 FKX983176 FUT983176 GEP983176 GOL983176 GYH983176 HID983176 HRZ983176 IBV983176 ILR983176 IVN983176 JFJ983176 JPF983176 JZB983176 KIX983176 KST983176 LCP983176 LML983176 LWH983176 MGD983176 MPZ983176 MZV983176 NJR983176 NTN983176 ODJ983176 ONF983176 OXB983176 PGX983176 PQT983176 QAP983176 QKL983176 QUH983176 RED983176 RNZ983176 RXV983176 SHR983176 SRN983176 TBJ983176 TLF983176 TVB983176 UEX983176 UOT983176 UYP983176 VIL983176 VSH983176 WCD983176 WLZ983176 WVV983176" xr:uid="{00000000-0002-0000-0200-000002000000}"/>
    <dataValidation allowBlank="1" showInputMessage="1" showErrorMessage="1" promptTitle="Non Current Assets" prompt="Pick information from Fixed Asset schedule and Micro Saving Boxes" sqref="N101 JJ101 TF101 ADB101 AMX101 AWT101 BGP101 BQL101 CAH101 CKD101 CTZ101 DDV101 DNR101 DXN101 EHJ101 ERF101 FBB101 FKX101 FUT101 GEP101 GOL101 GYH101 HID101 HRZ101 IBV101 ILR101 IVN101 JFJ101 JPF101 JZB101 KIX101 KST101 LCP101 LML101 LWH101 MGD101 MPZ101 MZV101 NJR101 NTN101 ODJ101 ONF101 OXB101 PGX101 PQT101 QAP101 QKL101 QUH101 RED101 RNZ101 RXV101 SHR101 SRN101 TBJ101 TLF101 TVB101 UEX101 UOT101 UYP101 VIL101 VSH101 WCD101 WLZ101 WVV101 N65637 JJ65637 TF65637 ADB65637 AMX65637 AWT65637 BGP65637 BQL65637 CAH65637 CKD65637 CTZ65637 DDV65637 DNR65637 DXN65637 EHJ65637 ERF65637 FBB65637 FKX65637 FUT65637 GEP65637 GOL65637 GYH65637 HID65637 HRZ65637 IBV65637 ILR65637 IVN65637 JFJ65637 JPF65637 JZB65637 KIX65637 KST65637 LCP65637 LML65637 LWH65637 MGD65637 MPZ65637 MZV65637 NJR65637 NTN65637 ODJ65637 ONF65637 OXB65637 PGX65637 PQT65637 QAP65637 QKL65637 QUH65637 RED65637 RNZ65637 RXV65637 SHR65637 SRN65637 TBJ65637 TLF65637 TVB65637 UEX65637 UOT65637 UYP65637 VIL65637 VSH65637 WCD65637 WLZ65637 WVV65637 N131173 JJ131173 TF131173 ADB131173 AMX131173 AWT131173 BGP131173 BQL131173 CAH131173 CKD131173 CTZ131173 DDV131173 DNR131173 DXN131173 EHJ131173 ERF131173 FBB131173 FKX131173 FUT131173 GEP131173 GOL131173 GYH131173 HID131173 HRZ131173 IBV131173 ILR131173 IVN131173 JFJ131173 JPF131173 JZB131173 KIX131173 KST131173 LCP131173 LML131173 LWH131173 MGD131173 MPZ131173 MZV131173 NJR131173 NTN131173 ODJ131173 ONF131173 OXB131173 PGX131173 PQT131173 QAP131173 QKL131173 QUH131173 RED131173 RNZ131173 RXV131173 SHR131173 SRN131173 TBJ131173 TLF131173 TVB131173 UEX131173 UOT131173 UYP131173 VIL131173 VSH131173 WCD131173 WLZ131173 WVV131173 N196709 JJ196709 TF196709 ADB196709 AMX196709 AWT196709 BGP196709 BQL196709 CAH196709 CKD196709 CTZ196709 DDV196709 DNR196709 DXN196709 EHJ196709 ERF196709 FBB196709 FKX196709 FUT196709 GEP196709 GOL196709 GYH196709 HID196709 HRZ196709 IBV196709 ILR196709 IVN196709 JFJ196709 JPF196709 JZB196709 KIX196709 KST196709 LCP196709 LML196709 LWH196709 MGD196709 MPZ196709 MZV196709 NJR196709 NTN196709 ODJ196709 ONF196709 OXB196709 PGX196709 PQT196709 QAP196709 QKL196709 QUH196709 RED196709 RNZ196709 RXV196709 SHR196709 SRN196709 TBJ196709 TLF196709 TVB196709 UEX196709 UOT196709 UYP196709 VIL196709 VSH196709 WCD196709 WLZ196709 WVV196709 N262245 JJ262245 TF262245 ADB262245 AMX262245 AWT262245 BGP262245 BQL262245 CAH262245 CKD262245 CTZ262245 DDV262245 DNR262245 DXN262245 EHJ262245 ERF262245 FBB262245 FKX262245 FUT262245 GEP262245 GOL262245 GYH262245 HID262245 HRZ262245 IBV262245 ILR262245 IVN262245 JFJ262245 JPF262245 JZB262245 KIX262245 KST262245 LCP262245 LML262245 LWH262245 MGD262245 MPZ262245 MZV262245 NJR262245 NTN262245 ODJ262245 ONF262245 OXB262245 PGX262245 PQT262245 QAP262245 QKL262245 QUH262245 RED262245 RNZ262245 RXV262245 SHR262245 SRN262245 TBJ262245 TLF262245 TVB262245 UEX262245 UOT262245 UYP262245 VIL262245 VSH262245 WCD262245 WLZ262245 WVV262245 N327781 JJ327781 TF327781 ADB327781 AMX327781 AWT327781 BGP327781 BQL327781 CAH327781 CKD327781 CTZ327781 DDV327781 DNR327781 DXN327781 EHJ327781 ERF327781 FBB327781 FKX327781 FUT327781 GEP327781 GOL327781 GYH327781 HID327781 HRZ327781 IBV327781 ILR327781 IVN327781 JFJ327781 JPF327781 JZB327781 KIX327781 KST327781 LCP327781 LML327781 LWH327781 MGD327781 MPZ327781 MZV327781 NJR327781 NTN327781 ODJ327781 ONF327781 OXB327781 PGX327781 PQT327781 QAP327781 QKL327781 QUH327781 RED327781 RNZ327781 RXV327781 SHR327781 SRN327781 TBJ327781 TLF327781 TVB327781 UEX327781 UOT327781 UYP327781 VIL327781 VSH327781 WCD327781 WLZ327781 WVV327781 N393317 JJ393317 TF393317 ADB393317 AMX393317 AWT393317 BGP393317 BQL393317 CAH393317 CKD393317 CTZ393317 DDV393317 DNR393317 DXN393317 EHJ393317 ERF393317 FBB393317 FKX393317 FUT393317 GEP393317 GOL393317 GYH393317 HID393317 HRZ393317 IBV393317 ILR393317 IVN393317 JFJ393317 JPF393317 JZB393317 KIX393317 KST393317 LCP393317 LML393317 LWH393317 MGD393317 MPZ393317 MZV393317 NJR393317 NTN393317 ODJ393317 ONF393317 OXB393317 PGX393317 PQT393317 QAP393317 QKL393317 QUH393317 RED393317 RNZ393317 RXV393317 SHR393317 SRN393317 TBJ393317 TLF393317 TVB393317 UEX393317 UOT393317 UYP393317 VIL393317 VSH393317 WCD393317 WLZ393317 WVV393317 N458853 JJ458853 TF458853 ADB458853 AMX458853 AWT458853 BGP458853 BQL458853 CAH458853 CKD458853 CTZ458853 DDV458853 DNR458853 DXN458853 EHJ458853 ERF458853 FBB458853 FKX458853 FUT458853 GEP458853 GOL458853 GYH458853 HID458853 HRZ458853 IBV458853 ILR458853 IVN458853 JFJ458853 JPF458853 JZB458853 KIX458853 KST458853 LCP458853 LML458853 LWH458853 MGD458853 MPZ458853 MZV458853 NJR458853 NTN458853 ODJ458853 ONF458853 OXB458853 PGX458853 PQT458853 QAP458853 QKL458853 QUH458853 RED458853 RNZ458853 RXV458853 SHR458853 SRN458853 TBJ458853 TLF458853 TVB458853 UEX458853 UOT458853 UYP458853 VIL458853 VSH458853 WCD458853 WLZ458853 WVV458853 N524389 JJ524389 TF524389 ADB524389 AMX524389 AWT524389 BGP524389 BQL524389 CAH524389 CKD524389 CTZ524389 DDV524389 DNR524389 DXN524389 EHJ524389 ERF524389 FBB524389 FKX524389 FUT524389 GEP524389 GOL524389 GYH524389 HID524389 HRZ524389 IBV524389 ILR524389 IVN524389 JFJ524389 JPF524389 JZB524389 KIX524389 KST524389 LCP524389 LML524389 LWH524389 MGD524389 MPZ524389 MZV524389 NJR524389 NTN524389 ODJ524389 ONF524389 OXB524389 PGX524389 PQT524389 QAP524389 QKL524389 QUH524389 RED524389 RNZ524389 RXV524389 SHR524389 SRN524389 TBJ524389 TLF524389 TVB524389 UEX524389 UOT524389 UYP524389 VIL524389 VSH524389 WCD524389 WLZ524389 WVV524389 N589925 JJ589925 TF589925 ADB589925 AMX589925 AWT589925 BGP589925 BQL589925 CAH589925 CKD589925 CTZ589925 DDV589925 DNR589925 DXN589925 EHJ589925 ERF589925 FBB589925 FKX589925 FUT589925 GEP589925 GOL589925 GYH589925 HID589925 HRZ589925 IBV589925 ILR589925 IVN589925 JFJ589925 JPF589925 JZB589925 KIX589925 KST589925 LCP589925 LML589925 LWH589925 MGD589925 MPZ589925 MZV589925 NJR589925 NTN589925 ODJ589925 ONF589925 OXB589925 PGX589925 PQT589925 QAP589925 QKL589925 QUH589925 RED589925 RNZ589925 RXV589925 SHR589925 SRN589925 TBJ589925 TLF589925 TVB589925 UEX589925 UOT589925 UYP589925 VIL589925 VSH589925 WCD589925 WLZ589925 WVV589925 N655461 JJ655461 TF655461 ADB655461 AMX655461 AWT655461 BGP655461 BQL655461 CAH655461 CKD655461 CTZ655461 DDV655461 DNR655461 DXN655461 EHJ655461 ERF655461 FBB655461 FKX655461 FUT655461 GEP655461 GOL655461 GYH655461 HID655461 HRZ655461 IBV655461 ILR655461 IVN655461 JFJ655461 JPF655461 JZB655461 KIX655461 KST655461 LCP655461 LML655461 LWH655461 MGD655461 MPZ655461 MZV655461 NJR655461 NTN655461 ODJ655461 ONF655461 OXB655461 PGX655461 PQT655461 QAP655461 QKL655461 QUH655461 RED655461 RNZ655461 RXV655461 SHR655461 SRN655461 TBJ655461 TLF655461 TVB655461 UEX655461 UOT655461 UYP655461 VIL655461 VSH655461 WCD655461 WLZ655461 WVV655461 N720997 JJ720997 TF720997 ADB720997 AMX720997 AWT720997 BGP720997 BQL720997 CAH720997 CKD720997 CTZ720997 DDV720997 DNR720997 DXN720997 EHJ720997 ERF720997 FBB720997 FKX720997 FUT720997 GEP720997 GOL720997 GYH720997 HID720997 HRZ720997 IBV720997 ILR720997 IVN720997 JFJ720997 JPF720997 JZB720997 KIX720997 KST720997 LCP720997 LML720997 LWH720997 MGD720997 MPZ720997 MZV720997 NJR720997 NTN720997 ODJ720997 ONF720997 OXB720997 PGX720997 PQT720997 QAP720997 QKL720997 QUH720997 RED720997 RNZ720997 RXV720997 SHR720997 SRN720997 TBJ720997 TLF720997 TVB720997 UEX720997 UOT720997 UYP720997 VIL720997 VSH720997 WCD720997 WLZ720997 WVV720997 N786533 JJ786533 TF786533 ADB786533 AMX786533 AWT786533 BGP786533 BQL786533 CAH786533 CKD786533 CTZ786533 DDV786533 DNR786533 DXN786533 EHJ786533 ERF786533 FBB786533 FKX786533 FUT786533 GEP786533 GOL786533 GYH786533 HID786533 HRZ786533 IBV786533 ILR786533 IVN786533 JFJ786533 JPF786533 JZB786533 KIX786533 KST786533 LCP786533 LML786533 LWH786533 MGD786533 MPZ786533 MZV786533 NJR786533 NTN786533 ODJ786533 ONF786533 OXB786533 PGX786533 PQT786533 QAP786533 QKL786533 QUH786533 RED786533 RNZ786533 RXV786533 SHR786533 SRN786533 TBJ786533 TLF786533 TVB786533 UEX786533 UOT786533 UYP786533 VIL786533 VSH786533 WCD786533 WLZ786533 WVV786533 N852069 JJ852069 TF852069 ADB852069 AMX852069 AWT852069 BGP852069 BQL852069 CAH852069 CKD852069 CTZ852069 DDV852069 DNR852069 DXN852069 EHJ852069 ERF852069 FBB852069 FKX852069 FUT852069 GEP852069 GOL852069 GYH852069 HID852069 HRZ852069 IBV852069 ILR852069 IVN852069 JFJ852069 JPF852069 JZB852069 KIX852069 KST852069 LCP852069 LML852069 LWH852069 MGD852069 MPZ852069 MZV852069 NJR852069 NTN852069 ODJ852069 ONF852069 OXB852069 PGX852069 PQT852069 QAP852069 QKL852069 QUH852069 RED852069 RNZ852069 RXV852069 SHR852069 SRN852069 TBJ852069 TLF852069 TVB852069 UEX852069 UOT852069 UYP852069 VIL852069 VSH852069 WCD852069 WLZ852069 WVV852069 N917605 JJ917605 TF917605 ADB917605 AMX917605 AWT917605 BGP917605 BQL917605 CAH917605 CKD917605 CTZ917605 DDV917605 DNR917605 DXN917605 EHJ917605 ERF917605 FBB917605 FKX917605 FUT917605 GEP917605 GOL917605 GYH917605 HID917605 HRZ917605 IBV917605 ILR917605 IVN917605 JFJ917605 JPF917605 JZB917605 KIX917605 KST917605 LCP917605 LML917605 LWH917605 MGD917605 MPZ917605 MZV917605 NJR917605 NTN917605 ODJ917605 ONF917605 OXB917605 PGX917605 PQT917605 QAP917605 QKL917605 QUH917605 RED917605 RNZ917605 RXV917605 SHR917605 SRN917605 TBJ917605 TLF917605 TVB917605 UEX917605 UOT917605 UYP917605 VIL917605 VSH917605 WCD917605 WLZ917605 WVV917605 N983141 JJ983141 TF983141 ADB983141 AMX983141 AWT983141 BGP983141 BQL983141 CAH983141 CKD983141 CTZ983141 DDV983141 DNR983141 DXN983141 EHJ983141 ERF983141 FBB983141 FKX983141 FUT983141 GEP983141 GOL983141 GYH983141 HID983141 HRZ983141 IBV983141 ILR983141 IVN983141 JFJ983141 JPF983141 JZB983141 KIX983141 KST983141 LCP983141 LML983141 LWH983141 MGD983141 MPZ983141 MZV983141 NJR983141 NTN983141 ODJ983141 ONF983141 OXB983141 PGX983141 PQT983141 QAP983141 QKL983141 QUH983141 RED983141 RNZ983141 RXV983141 SHR983141 SRN983141 TBJ983141 TLF983141 TVB983141 UEX983141 UOT983141 UYP983141 VIL983141 VSH983141 WCD983141 WLZ983141 WVV983141" xr:uid="{00000000-0002-0000-0200-000003000000}"/>
    <dataValidation allowBlank="1" showInputMessage="1" showErrorMessage="1" promptTitle="Non Current Assets" prompt="Pick information from Fixed Asset schedule at Notes 22.-24." sqref="N97:N100 JJ97:JJ100 TF97:TF100 ADB97:ADB100 AMX97:AMX100 AWT97:AWT100 BGP97:BGP100 BQL97:BQL100 CAH97:CAH100 CKD97:CKD100 CTZ97:CTZ100 DDV97:DDV100 DNR97:DNR100 DXN97:DXN100 EHJ97:EHJ100 ERF97:ERF100 FBB97:FBB100 FKX97:FKX100 FUT97:FUT100 GEP97:GEP100 GOL97:GOL100 GYH97:GYH100 HID97:HID100 HRZ97:HRZ100 IBV97:IBV100 ILR97:ILR100 IVN97:IVN100 JFJ97:JFJ100 JPF97:JPF100 JZB97:JZB100 KIX97:KIX100 KST97:KST100 LCP97:LCP100 LML97:LML100 LWH97:LWH100 MGD97:MGD100 MPZ97:MPZ100 MZV97:MZV100 NJR97:NJR100 NTN97:NTN100 ODJ97:ODJ100 ONF97:ONF100 OXB97:OXB100 PGX97:PGX100 PQT97:PQT100 QAP97:QAP100 QKL97:QKL100 QUH97:QUH100 RED97:RED100 RNZ97:RNZ100 RXV97:RXV100 SHR97:SHR100 SRN97:SRN100 TBJ97:TBJ100 TLF97:TLF100 TVB97:TVB100 UEX97:UEX100 UOT97:UOT100 UYP97:UYP100 VIL97:VIL100 VSH97:VSH100 WCD97:WCD100 WLZ97:WLZ100 WVV97:WVV100 N65633:N65636 JJ65633:JJ65636 TF65633:TF65636 ADB65633:ADB65636 AMX65633:AMX65636 AWT65633:AWT65636 BGP65633:BGP65636 BQL65633:BQL65636 CAH65633:CAH65636 CKD65633:CKD65636 CTZ65633:CTZ65636 DDV65633:DDV65636 DNR65633:DNR65636 DXN65633:DXN65636 EHJ65633:EHJ65636 ERF65633:ERF65636 FBB65633:FBB65636 FKX65633:FKX65636 FUT65633:FUT65636 GEP65633:GEP65636 GOL65633:GOL65636 GYH65633:GYH65636 HID65633:HID65636 HRZ65633:HRZ65636 IBV65633:IBV65636 ILR65633:ILR65636 IVN65633:IVN65636 JFJ65633:JFJ65636 JPF65633:JPF65636 JZB65633:JZB65636 KIX65633:KIX65636 KST65633:KST65636 LCP65633:LCP65636 LML65633:LML65636 LWH65633:LWH65636 MGD65633:MGD65636 MPZ65633:MPZ65636 MZV65633:MZV65636 NJR65633:NJR65636 NTN65633:NTN65636 ODJ65633:ODJ65636 ONF65633:ONF65636 OXB65633:OXB65636 PGX65633:PGX65636 PQT65633:PQT65636 QAP65633:QAP65636 QKL65633:QKL65636 QUH65633:QUH65636 RED65633:RED65636 RNZ65633:RNZ65636 RXV65633:RXV65636 SHR65633:SHR65636 SRN65633:SRN65636 TBJ65633:TBJ65636 TLF65633:TLF65636 TVB65633:TVB65636 UEX65633:UEX65636 UOT65633:UOT65636 UYP65633:UYP65636 VIL65633:VIL65636 VSH65633:VSH65636 WCD65633:WCD65636 WLZ65633:WLZ65636 WVV65633:WVV65636 N131169:N131172 JJ131169:JJ131172 TF131169:TF131172 ADB131169:ADB131172 AMX131169:AMX131172 AWT131169:AWT131172 BGP131169:BGP131172 BQL131169:BQL131172 CAH131169:CAH131172 CKD131169:CKD131172 CTZ131169:CTZ131172 DDV131169:DDV131172 DNR131169:DNR131172 DXN131169:DXN131172 EHJ131169:EHJ131172 ERF131169:ERF131172 FBB131169:FBB131172 FKX131169:FKX131172 FUT131169:FUT131172 GEP131169:GEP131172 GOL131169:GOL131172 GYH131169:GYH131172 HID131169:HID131172 HRZ131169:HRZ131172 IBV131169:IBV131172 ILR131169:ILR131172 IVN131169:IVN131172 JFJ131169:JFJ131172 JPF131169:JPF131172 JZB131169:JZB131172 KIX131169:KIX131172 KST131169:KST131172 LCP131169:LCP131172 LML131169:LML131172 LWH131169:LWH131172 MGD131169:MGD131172 MPZ131169:MPZ131172 MZV131169:MZV131172 NJR131169:NJR131172 NTN131169:NTN131172 ODJ131169:ODJ131172 ONF131169:ONF131172 OXB131169:OXB131172 PGX131169:PGX131172 PQT131169:PQT131172 QAP131169:QAP131172 QKL131169:QKL131172 QUH131169:QUH131172 RED131169:RED131172 RNZ131169:RNZ131172 RXV131169:RXV131172 SHR131169:SHR131172 SRN131169:SRN131172 TBJ131169:TBJ131172 TLF131169:TLF131172 TVB131169:TVB131172 UEX131169:UEX131172 UOT131169:UOT131172 UYP131169:UYP131172 VIL131169:VIL131172 VSH131169:VSH131172 WCD131169:WCD131172 WLZ131169:WLZ131172 WVV131169:WVV131172 N196705:N196708 JJ196705:JJ196708 TF196705:TF196708 ADB196705:ADB196708 AMX196705:AMX196708 AWT196705:AWT196708 BGP196705:BGP196708 BQL196705:BQL196708 CAH196705:CAH196708 CKD196705:CKD196708 CTZ196705:CTZ196708 DDV196705:DDV196708 DNR196705:DNR196708 DXN196705:DXN196708 EHJ196705:EHJ196708 ERF196705:ERF196708 FBB196705:FBB196708 FKX196705:FKX196708 FUT196705:FUT196708 GEP196705:GEP196708 GOL196705:GOL196708 GYH196705:GYH196708 HID196705:HID196708 HRZ196705:HRZ196708 IBV196705:IBV196708 ILR196705:ILR196708 IVN196705:IVN196708 JFJ196705:JFJ196708 JPF196705:JPF196708 JZB196705:JZB196708 KIX196705:KIX196708 KST196705:KST196708 LCP196705:LCP196708 LML196705:LML196708 LWH196705:LWH196708 MGD196705:MGD196708 MPZ196705:MPZ196708 MZV196705:MZV196708 NJR196705:NJR196708 NTN196705:NTN196708 ODJ196705:ODJ196708 ONF196705:ONF196708 OXB196705:OXB196708 PGX196705:PGX196708 PQT196705:PQT196708 QAP196705:QAP196708 QKL196705:QKL196708 QUH196705:QUH196708 RED196705:RED196708 RNZ196705:RNZ196708 RXV196705:RXV196708 SHR196705:SHR196708 SRN196705:SRN196708 TBJ196705:TBJ196708 TLF196705:TLF196708 TVB196705:TVB196708 UEX196705:UEX196708 UOT196705:UOT196708 UYP196705:UYP196708 VIL196705:VIL196708 VSH196705:VSH196708 WCD196705:WCD196708 WLZ196705:WLZ196708 WVV196705:WVV196708 N262241:N262244 JJ262241:JJ262244 TF262241:TF262244 ADB262241:ADB262244 AMX262241:AMX262244 AWT262241:AWT262244 BGP262241:BGP262244 BQL262241:BQL262244 CAH262241:CAH262244 CKD262241:CKD262244 CTZ262241:CTZ262244 DDV262241:DDV262244 DNR262241:DNR262244 DXN262241:DXN262244 EHJ262241:EHJ262244 ERF262241:ERF262244 FBB262241:FBB262244 FKX262241:FKX262244 FUT262241:FUT262244 GEP262241:GEP262244 GOL262241:GOL262244 GYH262241:GYH262244 HID262241:HID262244 HRZ262241:HRZ262244 IBV262241:IBV262244 ILR262241:ILR262244 IVN262241:IVN262244 JFJ262241:JFJ262244 JPF262241:JPF262244 JZB262241:JZB262244 KIX262241:KIX262244 KST262241:KST262244 LCP262241:LCP262244 LML262241:LML262244 LWH262241:LWH262244 MGD262241:MGD262244 MPZ262241:MPZ262244 MZV262241:MZV262244 NJR262241:NJR262244 NTN262241:NTN262244 ODJ262241:ODJ262244 ONF262241:ONF262244 OXB262241:OXB262244 PGX262241:PGX262244 PQT262241:PQT262244 QAP262241:QAP262244 QKL262241:QKL262244 QUH262241:QUH262244 RED262241:RED262244 RNZ262241:RNZ262244 RXV262241:RXV262244 SHR262241:SHR262244 SRN262241:SRN262244 TBJ262241:TBJ262244 TLF262241:TLF262244 TVB262241:TVB262244 UEX262241:UEX262244 UOT262241:UOT262244 UYP262241:UYP262244 VIL262241:VIL262244 VSH262241:VSH262244 WCD262241:WCD262244 WLZ262241:WLZ262244 WVV262241:WVV262244 N327777:N327780 JJ327777:JJ327780 TF327777:TF327780 ADB327777:ADB327780 AMX327777:AMX327780 AWT327777:AWT327780 BGP327777:BGP327780 BQL327777:BQL327780 CAH327777:CAH327780 CKD327777:CKD327780 CTZ327777:CTZ327780 DDV327777:DDV327780 DNR327777:DNR327780 DXN327777:DXN327780 EHJ327777:EHJ327780 ERF327777:ERF327780 FBB327777:FBB327780 FKX327777:FKX327780 FUT327777:FUT327780 GEP327777:GEP327780 GOL327777:GOL327780 GYH327777:GYH327780 HID327777:HID327780 HRZ327777:HRZ327780 IBV327777:IBV327780 ILR327777:ILR327780 IVN327777:IVN327780 JFJ327777:JFJ327780 JPF327777:JPF327780 JZB327777:JZB327780 KIX327777:KIX327780 KST327777:KST327780 LCP327777:LCP327780 LML327777:LML327780 LWH327777:LWH327780 MGD327777:MGD327780 MPZ327777:MPZ327780 MZV327777:MZV327780 NJR327777:NJR327780 NTN327777:NTN327780 ODJ327777:ODJ327780 ONF327777:ONF327780 OXB327777:OXB327780 PGX327777:PGX327780 PQT327777:PQT327780 QAP327777:QAP327780 QKL327777:QKL327780 QUH327777:QUH327780 RED327777:RED327780 RNZ327777:RNZ327780 RXV327777:RXV327780 SHR327777:SHR327780 SRN327777:SRN327780 TBJ327777:TBJ327780 TLF327777:TLF327780 TVB327777:TVB327780 UEX327777:UEX327780 UOT327777:UOT327780 UYP327777:UYP327780 VIL327777:VIL327780 VSH327777:VSH327780 WCD327777:WCD327780 WLZ327777:WLZ327780 WVV327777:WVV327780 N393313:N393316 JJ393313:JJ393316 TF393313:TF393316 ADB393313:ADB393316 AMX393313:AMX393316 AWT393313:AWT393316 BGP393313:BGP393316 BQL393313:BQL393316 CAH393313:CAH393316 CKD393313:CKD393316 CTZ393313:CTZ393316 DDV393313:DDV393316 DNR393313:DNR393316 DXN393313:DXN393316 EHJ393313:EHJ393316 ERF393313:ERF393316 FBB393313:FBB393316 FKX393313:FKX393316 FUT393313:FUT393316 GEP393313:GEP393316 GOL393313:GOL393316 GYH393313:GYH393316 HID393313:HID393316 HRZ393313:HRZ393316 IBV393313:IBV393316 ILR393313:ILR393316 IVN393313:IVN393316 JFJ393313:JFJ393316 JPF393313:JPF393316 JZB393313:JZB393316 KIX393313:KIX393316 KST393313:KST393316 LCP393313:LCP393316 LML393313:LML393316 LWH393313:LWH393316 MGD393313:MGD393316 MPZ393313:MPZ393316 MZV393313:MZV393316 NJR393313:NJR393316 NTN393313:NTN393316 ODJ393313:ODJ393316 ONF393313:ONF393316 OXB393313:OXB393316 PGX393313:PGX393316 PQT393313:PQT393316 QAP393313:QAP393316 QKL393313:QKL393316 QUH393313:QUH393316 RED393313:RED393316 RNZ393313:RNZ393316 RXV393313:RXV393316 SHR393313:SHR393316 SRN393313:SRN393316 TBJ393313:TBJ393316 TLF393313:TLF393316 TVB393313:TVB393316 UEX393313:UEX393316 UOT393313:UOT393316 UYP393313:UYP393316 VIL393313:VIL393316 VSH393313:VSH393316 WCD393313:WCD393316 WLZ393313:WLZ393316 WVV393313:WVV393316 N458849:N458852 JJ458849:JJ458852 TF458849:TF458852 ADB458849:ADB458852 AMX458849:AMX458852 AWT458849:AWT458852 BGP458849:BGP458852 BQL458849:BQL458852 CAH458849:CAH458852 CKD458849:CKD458852 CTZ458849:CTZ458852 DDV458849:DDV458852 DNR458849:DNR458852 DXN458849:DXN458852 EHJ458849:EHJ458852 ERF458849:ERF458852 FBB458849:FBB458852 FKX458849:FKX458852 FUT458849:FUT458852 GEP458849:GEP458852 GOL458849:GOL458852 GYH458849:GYH458852 HID458849:HID458852 HRZ458849:HRZ458852 IBV458849:IBV458852 ILR458849:ILR458852 IVN458849:IVN458852 JFJ458849:JFJ458852 JPF458849:JPF458852 JZB458849:JZB458852 KIX458849:KIX458852 KST458849:KST458852 LCP458849:LCP458852 LML458849:LML458852 LWH458849:LWH458852 MGD458849:MGD458852 MPZ458849:MPZ458852 MZV458849:MZV458852 NJR458849:NJR458852 NTN458849:NTN458852 ODJ458849:ODJ458852 ONF458849:ONF458852 OXB458849:OXB458852 PGX458849:PGX458852 PQT458849:PQT458852 QAP458849:QAP458852 QKL458849:QKL458852 QUH458849:QUH458852 RED458849:RED458852 RNZ458849:RNZ458852 RXV458849:RXV458852 SHR458849:SHR458852 SRN458849:SRN458852 TBJ458849:TBJ458852 TLF458849:TLF458852 TVB458849:TVB458852 UEX458849:UEX458852 UOT458849:UOT458852 UYP458849:UYP458852 VIL458849:VIL458852 VSH458849:VSH458852 WCD458849:WCD458852 WLZ458849:WLZ458852 WVV458849:WVV458852 N524385:N524388 JJ524385:JJ524388 TF524385:TF524388 ADB524385:ADB524388 AMX524385:AMX524388 AWT524385:AWT524388 BGP524385:BGP524388 BQL524385:BQL524388 CAH524385:CAH524388 CKD524385:CKD524388 CTZ524385:CTZ524388 DDV524385:DDV524388 DNR524385:DNR524388 DXN524385:DXN524388 EHJ524385:EHJ524388 ERF524385:ERF524388 FBB524385:FBB524388 FKX524385:FKX524388 FUT524385:FUT524388 GEP524385:GEP524388 GOL524385:GOL524388 GYH524385:GYH524388 HID524385:HID524388 HRZ524385:HRZ524388 IBV524385:IBV524388 ILR524385:ILR524388 IVN524385:IVN524388 JFJ524385:JFJ524388 JPF524385:JPF524388 JZB524385:JZB524388 KIX524385:KIX524388 KST524385:KST524388 LCP524385:LCP524388 LML524385:LML524388 LWH524385:LWH524388 MGD524385:MGD524388 MPZ524385:MPZ524388 MZV524385:MZV524388 NJR524385:NJR524388 NTN524385:NTN524388 ODJ524385:ODJ524388 ONF524385:ONF524388 OXB524385:OXB524388 PGX524385:PGX524388 PQT524385:PQT524388 QAP524385:QAP524388 QKL524385:QKL524388 QUH524385:QUH524388 RED524385:RED524388 RNZ524385:RNZ524388 RXV524385:RXV524388 SHR524385:SHR524388 SRN524385:SRN524388 TBJ524385:TBJ524388 TLF524385:TLF524388 TVB524385:TVB524388 UEX524385:UEX524388 UOT524385:UOT524388 UYP524385:UYP524388 VIL524385:VIL524388 VSH524385:VSH524388 WCD524385:WCD524388 WLZ524385:WLZ524388 WVV524385:WVV524388 N589921:N589924 JJ589921:JJ589924 TF589921:TF589924 ADB589921:ADB589924 AMX589921:AMX589924 AWT589921:AWT589924 BGP589921:BGP589924 BQL589921:BQL589924 CAH589921:CAH589924 CKD589921:CKD589924 CTZ589921:CTZ589924 DDV589921:DDV589924 DNR589921:DNR589924 DXN589921:DXN589924 EHJ589921:EHJ589924 ERF589921:ERF589924 FBB589921:FBB589924 FKX589921:FKX589924 FUT589921:FUT589924 GEP589921:GEP589924 GOL589921:GOL589924 GYH589921:GYH589924 HID589921:HID589924 HRZ589921:HRZ589924 IBV589921:IBV589924 ILR589921:ILR589924 IVN589921:IVN589924 JFJ589921:JFJ589924 JPF589921:JPF589924 JZB589921:JZB589924 KIX589921:KIX589924 KST589921:KST589924 LCP589921:LCP589924 LML589921:LML589924 LWH589921:LWH589924 MGD589921:MGD589924 MPZ589921:MPZ589924 MZV589921:MZV589924 NJR589921:NJR589924 NTN589921:NTN589924 ODJ589921:ODJ589924 ONF589921:ONF589924 OXB589921:OXB589924 PGX589921:PGX589924 PQT589921:PQT589924 QAP589921:QAP589924 QKL589921:QKL589924 QUH589921:QUH589924 RED589921:RED589924 RNZ589921:RNZ589924 RXV589921:RXV589924 SHR589921:SHR589924 SRN589921:SRN589924 TBJ589921:TBJ589924 TLF589921:TLF589924 TVB589921:TVB589924 UEX589921:UEX589924 UOT589921:UOT589924 UYP589921:UYP589924 VIL589921:VIL589924 VSH589921:VSH589924 WCD589921:WCD589924 WLZ589921:WLZ589924 WVV589921:WVV589924 N655457:N655460 JJ655457:JJ655460 TF655457:TF655460 ADB655457:ADB655460 AMX655457:AMX655460 AWT655457:AWT655460 BGP655457:BGP655460 BQL655457:BQL655460 CAH655457:CAH655460 CKD655457:CKD655460 CTZ655457:CTZ655460 DDV655457:DDV655460 DNR655457:DNR655460 DXN655457:DXN655460 EHJ655457:EHJ655460 ERF655457:ERF655460 FBB655457:FBB655460 FKX655457:FKX655460 FUT655457:FUT655460 GEP655457:GEP655460 GOL655457:GOL655460 GYH655457:GYH655460 HID655457:HID655460 HRZ655457:HRZ655460 IBV655457:IBV655460 ILR655457:ILR655460 IVN655457:IVN655460 JFJ655457:JFJ655460 JPF655457:JPF655460 JZB655457:JZB655460 KIX655457:KIX655460 KST655457:KST655460 LCP655457:LCP655460 LML655457:LML655460 LWH655457:LWH655460 MGD655457:MGD655460 MPZ655457:MPZ655460 MZV655457:MZV655460 NJR655457:NJR655460 NTN655457:NTN655460 ODJ655457:ODJ655460 ONF655457:ONF655460 OXB655457:OXB655460 PGX655457:PGX655460 PQT655457:PQT655460 QAP655457:QAP655460 QKL655457:QKL655460 QUH655457:QUH655460 RED655457:RED655460 RNZ655457:RNZ655460 RXV655457:RXV655460 SHR655457:SHR655460 SRN655457:SRN655460 TBJ655457:TBJ655460 TLF655457:TLF655460 TVB655457:TVB655460 UEX655457:UEX655460 UOT655457:UOT655460 UYP655457:UYP655460 VIL655457:VIL655460 VSH655457:VSH655460 WCD655457:WCD655460 WLZ655457:WLZ655460 WVV655457:WVV655460 N720993:N720996 JJ720993:JJ720996 TF720993:TF720996 ADB720993:ADB720996 AMX720993:AMX720996 AWT720993:AWT720996 BGP720993:BGP720996 BQL720993:BQL720996 CAH720993:CAH720996 CKD720993:CKD720996 CTZ720993:CTZ720996 DDV720993:DDV720996 DNR720993:DNR720996 DXN720993:DXN720996 EHJ720993:EHJ720996 ERF720993:ERF720996 FBB720993:FBB720996 FKX720993:FKX720996 FUT720993:FUT720996 GEP720993:GEP720996 GOL720993:GOL720996 GYH720993:GYH720996 HID720993:HID720996 HRZ720993:HRZ720996 IBV720993:IBV720996 ILR720993:ILR720996 IVN720993:IVN720996 JFJ720993:JFJ720996 JPF720993:JPF720996 JZB720993:JZB720996 KIX720993:KIX720996 KST720993:KST720996 LCP720993:LCP720996 LML720993:LML720996 LWH720993:LWH720996 MGD720993:MGD720996 MPZ720993:MPZ720996 MZV720993:MZV720996 NJR720993:NJR720996 NTN720993:NTN720996 ODJ720993:ODJ720996 ONF720993:ONF720996 OXB720993:OXB720996 PGX720993:PGX720996 PQT720993:PQT720996 QAP720993:QAP720996 QKL720993:QKL720996 QUH720993:QUH720996 RED720993:RED720996 RNZ720993:RNZ720996 RXV720993:RXV720996 SHR720993:SHR720996 SRN720993:SRN720996 TBJ720993:TBJ720996 TLF720993:TLF720996 TVB720993:TVB720996 UEX720993:UEX720996 UOT720993:UOT720996 UYP720993:UYP720996 VIL720993:VIL720996 VSH720993:VSH720996 WCD720993:WCD720996 WLZ720993:WLZ720996 WVV720993:WVV720996 N786529:N786532 JJ786529:JJ786532 TF786529:TF786532 ADB786529:ADB786532 AMX786529:AMX786532 AWT786529:AWT786532 BGP786529:BGP786532 BQL786529:BQL786532 CAH786529:CAH786532 CKD786529:CKD786532 CTZ786529:CTZ786532 DDV786529:DDV786532 DNR786529:DNR786532 DXN786529:DXN786532 EHJ786529:EHJ786532 ERF786529:ERF786532 FBB786529:FBB786532 FKX786529:FKX786532 FUT786529:FUT786532 GEP786529:GEP786532 GOL786529:GOL786532 GYH786529:GYH786532 HID786529:HID786532 HRZ786529:HRZ786532 IBV786529:IBV786532 ILR786529:ILR786532 IVN786529:IVN786532 JFJ786529:JFJ786532 JPF786529:JPF786532 JZB786529:JZB786532 KIX786529:KIX786532 KST786529:KST786532 LCP786529:LCP786532 LML786529:LML786532 LWH786529:LWH786532 MGD786529:MGD786532 MPZ786529:MPZ786532 MZV786529:MZV786532 NJR786529:NJR786532 NTN786529:NTN786532 ODJ786529:ODJ786532 ONF786529:ONF786532 OXB786529:OXB786532 PGX786529:PGX786532 PQT786529:PQT786532 QAP786529:QAP786532 QKL786529:QKL786532 QUH786529:QUH786532 RED786529:RED786532 RNZ786529:RNZ786532 RXV786529:RXV786532 SHR786529:SHR786532 SRN786529:SRN786532 TBJ786529:TBJ786532 TLF786529:TLF786532 TVB786529:TVB786532 UEX786529:UEX786532 UOT786529:UOT786532 UYP786529:UYP786532 VIL786529:VIL786532 VSH786529:VSH786532 WCD786529:WCD786532 WLZ786529:WLZ786532 WVV786529:WVV786532 N852065:N852068 JJ852065:JJ852068 TF852065:TF852068 ADB852065:ADB852068 AMX852065:AMX852068 AWT852065:AWT852068 BGP852065:BGP852068 BQL852065:BQL852068 CAH852065:CAH852068 CKD852065:CKD852068 CTZ852065:CTZ852068 DDV852065:DDV852068 DNR852065:DNR852068 DXN852065:DXN852068 EHJ852065:EHJ852068 ERF852065:ERF852068 FBB852065:FBB852068 FKX852065:FKX852068 FUT852065:FUT852068 GEP852065:GEP852068 GOL852065:GOL852068 GYH852065:GYH852068 HID852065:HID852068 HRZ852065:HRZ852068 IBV852065:IBV852068 ILR852065:ILR852068 IVN852065:IVN852068 JFJ852065:JFJ852068 JPF852065:JPF852068 JZB852065:JZB852068 KIX852065:KIX852068 KST852065:KST852068 LCP852065:LCP852068 LML852065:LML852068 LWH852065:LWH852068 MGD852065:MGD852068 MPZ852065:MPZ852068 MZV852065:MZV852068 NJR852065:NJR852068 NTN852065:NTN852068 ODJ852065:ODJ852068 ONF852065:ONF852068 OXB852065:OXB852068 PGX852065:PGX852068 PQT852065:PQT852068 QAP852065:QAP852068 QKL852065:QKL852068 QUH852065:QUH852068 RED852065:RED852068 RNZ852065:RNZ852068 RXV852065:RXV852068 SHR852065:SHR852068 SRN852065:SRN852068 TBJ852065:TBJ852068 TLF852065:TLF852068 TVB852065:TVB852068 UEX852065:UEX852068 UOT852065:UOT852068 UYP852065:UYP852068 VIL852065:VIL852068 VSH852065:VSH852068 WCD852065:WCD852068 WLZ852065:WLZ852068 WVV852065:WVV852068 N917601:N917604 JJ917601:JJ917604 TF917601:TF917604 ADB917601:ADB917604 AMX917601:AMX917604 AWT917601:AWT917604 BGP917601:BGP917604 BQL917601:BQL917604 CAH917601:CAH917604 CKD917601:CKD917604 CTZ917601:CTZ917604 DDV917601:DDV917604 DNR917601:DNR917604 DXN917601:DXN917604 EHJ917601:EHJ917604 ERF917601:ERF917604 FBB917601:FBB917604 FKX917601:FKX917604 FUT917601:FUT917604 GEP917601:GEP917604 GOL917601:GOL917604 GYH917601:GYH917604 HID917601:HID917604 HRZ917601:HRZ917604 IBV917601:IBV917604 ILR917601:ILR917604 IVN917601:IVN917604 JFJ917601:JFJ917604 JPF917601:JPF917604 JZB917601:JZB917604 KIX917601:KIX917604 KST917601:KST917604 LCP917601:LCP917604 LML917601:LML917604 LWH917601:LWH917604 MGD917601:MGD917604 MPZ917601:MPZ917604 MZV917601:MZV917604 NJR917601:NJR917604 NTN917601:NTN917604 ODJ917601:ODJ917604 ONF917601:ONF917604 OXB917601:OXB917604 PGX917601:PGX917604 PQT917601:PQT917604 QAP917601:QAP917604 QKL917601:QKL917604 QUH917601:QUH917604 RED917601:RED917604 RNZ917601:RNZ917604 RXV917601:RXV917604 SHR917601:SHR917604 SRN917601:SRN917604 TBJ917601:TBJ917604 TLF917601:TLF917604 TVB917601:TVB917604 UEX917601:UEX917604 UOT917601:UOT917604 UYP917601:UYP917604 VIL917601:VIL917604 VSH917601:VSH917604 WCD917601:WCD917604 WLZ917601:WLZ917604 WVV917601:WVV917604 N983137:N983140 JJ983137:JJ983140 TF983137:TF983140 ADB983137:ADB983140 AMX983137:AMX983140 AWT983137:AWT983140 BGP983137:BGP983140 BQL983137:BQL983140 CAH983137:CAH983140 CKD983137:CKD983140 CTZ983137:CTZ983140 DDV983137:DDV983140 DNR983137:DNR983140 DXN983137:DXN983140 EHJ983137:EHJ983140 ERF983137:ERF983140 FBB983137:FBB983140 FKX983137:FKX983140 FUT983137:FUT983140 GEP983137:GEP983140 GOL983137:GOL983140 GYH983137:GYH983140 HID983137:HID983140 HRZ983137:HRZ983140 IBV983137:IBV983140 ILR983137:ILR983140 IVN983137:IVN983140 JFJ983137:JFJ983140 JPF983137:JPF983140 JZB983137:JZB983140 KIX983137:KIX983140 KST983137:KST983140 LCP983137:LCP983140 LML983137:LML983140 LWH983137:LWH983140 MGD983137:MGD983140 MPZ983137:MPZ983140 MZV983137:MZV983140 NJR983137:NJR983140 NTN983137:NTN983140 ODJ983137:ODJ983140 ONF983137:ONF983140 OXB983137:OXB983140 PGX983137:PGX983140 PQT983137:PQT983140 QAP983137:QAP983140 QKL983137:QKL983140 QUH983137:QUH983140 RED983137:RED983140 RNZ983137:RNZ983140 RXV983137:RXV983140 SHR983137:SHR983140 SRN983137:SRN983140 TBJ983137:TBJ983140 TLF983137:TLF983140 TVB983137:TVB983140 UEX983137:UEX983140 UOT983137:UOT983140 UYP983137:UYP983140 VIL983137:VIL983140 VSH983137:VSH983140 WCD983137:WCD983140 WLZ983137:WLZ983140 WVV983137:WVV983140 N102:N104 JJ102:JJ104 TF102:TF104 ADB102:ADB104 AMX102:AMX104 AWT102:AWT104 BGP102:BGP104 BQL102:BQL104 CAH102:CAH104 CKD102:CKD104 CTZ102:CTZ104 DDV102:DDV104 DNR102:DNR104 DXN102:DXN104 EHJ102:EHJ104 ERF102:ERF104 FBB102:FBB104 FKX102:FKX104 FUT102:FUT104 GEP102:GEP104 GOL102:GOL104 GYH102:GYH104 HID102:HID104 HRZ102:HRZ104 IBV102:IBV104 ILR102:ILR104 IVN102:IVN104 JFJ102:JFJ104 JPF102:JPF104 JZB102:JZB104 KIX102:KIX104 KST102:KST104 LCP102:LCP104 LML102:LML104 LWH102:LWH104 MGD102:MGD104 MPZ102:MPZ104 MZV102:MZV104 NJR102:NJR104 NTN102:NTN104 ODJ102:ODJ104 ONF102:ONF104 OXB102:OXB104 PGX102:PGX104 PQT102:PQT104 QAP102:QAP104 QKL102:QKL104 QUH102:QUH104 RED102:RED104 RNZ102:RNZ104 RXV102:RXV104 SHR102:SHR104 SRN102:SRN104 TBJ102:TBJ104 TLF102:TLF104 TVB102:TVB104 UEX102:UEX104 UOT102:UOT104 UYP102:UYP104 VIL102:VIL104 VSH102:VSH104 WCD102:WCD104 WLZ102:WLZ104 WVV102:WVV104 N65638:N65640 JJ65638:JJ65640 TF65638:TF65640 ADB65638:ADB65640 AMX65638:AMX65640 AWT65638:AWT65640 BGP65638:BGP65640 BQL65638:BQL65640 CAH65638:CAH65640 CKD65638:CKD65640 CTZ65638:CTZ65640 DDV65638:DDV65640 DNR65638:DNR65640 DXN65638:DXN65640 EHJ65638:EHJ65640 ERF65638:ERF65640 FBB65638:FBB65640 FKX65638:FKX65640 FUT65638:FUT65640 GEP65638:GEP65640 GOL65638:GOL65640 GYH65638:GYH65640 HID65638:HID65640 HRZ65638:HRZ65640 IBV65638:IBV65640 ILR65638:ILR65640 IVN65638:IVN65640 JFJ65638:JFJ65640 JPF65638:JPF65640 JZB65638:JZB65640 KIX65638:KIX65640 KST65638:KST65640 LCP65638:LCP65640 LML65638:LML65640 LWH65638:LWH65640 MGD65638:MGD65640 MPZ65638:MPZ65640 MZV65638:MZV65640 NJR65638:NJR65640 NTN65638:NTN65640 ODJ65638:ODJ65640 ONF65638:ONF65640 OXB65638:OXB65640 PGX65638:PGX65640 PQT65638:PQT65640 QAP65638:QAP65640 QKL65638:QKL65640 QUH65638:QUH65640 RED65638:RED65640 RNZ65638:RNZ65640 RXV65638:RXV65640 SHR65638:SHR65640 SRN65638:SRN65640 TBJ65638:TBJ65640 TLF65638:TLF65640 TVB65638:TVB65640 UEX65638:UEX65640 UOT65638:UOT65640 UYP65638:UYP65640 VIL65638:VIL65640 VSH65638:VSH65640 WCD65638:WCD65640 WLZ65638:WLZ65640 WVV65638:WVV65640 N131174:N131176 JJ131174:JJ131176 TF131174:TF131176 ADB131174:ADB131176 AMX131174:AMX131176 AWT131174:AWT131176 BGP131174:BGP131176 BQL131174:BQL131176 CAH131174:CAH131176 CKD131174:CKD131176 CTZ131174:CTZ131176 DDV131174:DDV131176 DNR131174:DNR131176 DXN131174:DXN131176 EHJ131174:EHJ131176 ERF131174:ERF131176 FBB131174:FBB131176 FKX131174:FKX131176 FUT131174:FUT131176 GEP131174:GEP131176 GOL131174:GOL131176 GYH131174:GYH131176 HID131174:HID131176 HRZ131174:HRZ131176 IBV131174:IBV131176 ILR131174:ILR131176 IVN131174:IVN131176 JFJ131174:JFJ131176 JPF131174:JPF131176 JZB131174:JZB131176 KIX131174:KIX131176 KST131174:KST131176 LCP131174:LCP131176 LML131174:LML131176 LWH131174:LWH131176 MGD131174:MGD131176 MPZ131174:MPZ131176 MZV131174:MZV131176 NJR131174:NJR131176 NTN131174:NTN131176 ODJ131174:ODJ131176 ONF131174:ONF131176 OXB131174:OXB131176 PGX131174:PGX131176 PQT131174:PQT131176 QAP131174:QAP131176 QKL131174:QKL131176 QUH131174:QUH131176 RED131174:RED131176 RNZ131174:RNZ131176 RXV131174:RXV131176 SHR131174:SHR131176 SRN131174:SRN131176 TBJ131174:TBJ131176 TLF131174:TLF131176 TVB131174:TVB131176 UEX131174:UEX131176 UOT131174:UOT131176 UYP131174:UYP131176 VIL131174:VIL131176 VSH131174:VSH131176 WCD131174:WCD131176 WLZ131174:WLZ131176 WVV131174:WVV131176 N196710:N196712 JJ196710:JJ196712 TF196710:TF196712 ADB196710:ADB196712 AMX196710:AMX196712 AWT196710:AWT196712 BGP196710:BGP196712 BQL196710:BQL196712 CAH196710:CAH196712 CKD196710:CKD196712 CTZ196710:CTZ196712 DDV196710:DDV196712 DNR196710:DNR196712 DXN196710:DXN196712 EHJ196710:EHJ196712 ERF196710:ERF196712 FBB196710:FBB196712 FKX196710:FKX196712 FUT196710:FUT196712 GEP196710:GEP196712 GOL196710:GOL196712 GYH196710:GYH196712 HID196710:HID196712 HRZ196710:HRZ196712 IBV196710:IBV196712 ILR196710:ILR196712 IVN196710:IVN196712 JFJ196710:JFJ196712 JPF196710:JPF196712 JZB196710:JZB196712 KIX196710:KIX196712 KST196710:KST196712 LCP196710:LCP196712 LML196710:LML196712 LWH196710:LWH196712 MGD196710:MGD196712 MPZ196710:MPZ196712 MZV196710:MZV196712 NJR196710:NJR196712 NTN196710:NTN196712 ODJ196710:ODJ196712 ONF196710:ONF196712 OXB196710:OXB196712 PGX196710:PGX196712 PQT196710:PQT196712 QAP196710:QAP196712 QKL196710:QKL196712 QUH196710:QUH196712 RED196710:RED196712 RNZ196710:RNZ196712 RXV196710:RXV196712 SHR196710:SHR196712 SRN196710:SRN196712 TBJ196710:TBJ196712 TLF196710:TLF196712 TVB196710:TVB196712 UEX196710:UEX196712 UOT196710:UOT196712 UYP196710:UYP196712 VIL196710:VIL196712 VSH196710:VSH196712 WCD196710:WCD196712 WLZ196710:WLZ196712 WVV196710:WVV196712 N262246:N262248 JJ262246:JJ262248 TF262246:TF262248 ADB262246:ADB262248 AMX262246:AMX262248 AWT262246:AWT262248 BGP262246:BGP262248 BQL262246:BQL262248 CAH262246:CAH262248 CKD262246:CKD262248 CTZ262246:CTZ262248 DDV262246:DDV262248 DNR262246:DNR262248 DXN262246:DXN262248 EHJ262246:EHJ262248 ERF262246:ERF262248 FBB262246:FBB262248 FKX262246:FKX262248 FUT262246:FUT262248 GEP262246:GEP262248 GOL262246:GOL262248 GYH262246:GYH262248 HID262246:HID262248 HRZ262246:HRZ262248 IBV262246:IBV262248 ILR262246:ILR262248 IVN262246:IVN262248 JFJ262246:JFJ262248 JPF262246:JPF262248 JZB262246:JZB262248 KIX262246:KIX262248 KST262246:KST262248 LCP262246:LCP262248 LML262246:LML262248 LWH262246:LWH262248 MGD262246:MGD262248 MPZ262246:MPZ262248 MZV262246:MZV262248 NJR262246:NJR262248 NTN262246:NTN262248 ODJ262246:ODJ262248 ONF262246:ONF262248 OXB262246:OXB262248 PGX262246:PGX262248 PQT262246:PQT262248 QAP262246:QAP262248 QKL262246:QKL262248 QUH262246:QUH262248 RED262246:RED262248 RNZ262246:RNZ262248 RXV262246:RXV262248 SHR262246:SHR262248 SRN262246:SRN262248 TBJ262246:TBJ262248 TLF262246:TLF262248 TVB262246:TVB262248 UEX262246:UEX262248 UOT262246:UOT262248 UYP262246:UYP262248 VIL262246:VIL262248 VSH262246:VSH262248 WCD262246:WCD262248 WLZ262246:WLZ262248 WVV262246:WVV262248 N327782:N327784 JJ327782:JJ327784 TF327782:TF327784 ADB327782:ADB327784 AMX327782:AMX327784 AWT327782:AWT327784 BGP327782:BGP327784 BQL327782:BQL327784 CAH327782:CAH327784 CKD327782:CKD327784 CTZ327782:CTZ327784 DDV327782:DDV327784 DNR327782:DNR327784 DXN327782:DXN327784 EHJ327782:EHJ327784 ERF327782:ERF327784 FBB327782:FBB327784 FKX327782:FKX327784 FUT327782:FUT327784 GEP327782:GEP327784 GOL327782:GOL327784 GYH327782:GYH327784 HID327782:HID327784 HRZ327782:HRZ327784 IBV327782:IBV327784 ILR327782:ILR327784 IVN327782:IVN327784 JFJ327782:JFJ327784 JPF327782:JPF327784 JZB327782:JZB327784 KIX327782:KIX327784 KST327782:KST327784 LCP327782:LCP327784 LML327782:LML327784 LWH327782:LWH327784 MGD327782:MGD327784 MPZ327782:MPZ327784 MZV327782:MZV327784 NJR327782:NJR327784 NTN327782:NTN327784 ODJ327782:ODJ327784 ONF327782:ONF327784 OXB327782:OXB327784 PGX327782:PGX327784 PQT327782:PQT327784 QAP327782:QAP327784 QKL327782:QKL327784 QUH327782:QUH327784 RED327782:RED327784 RNZ327782:RNZ327784 RXV327782:RXV327784 SHR327782:SHR327784 SRN327782:SRN327784 TBJ327782:TBJ327784 TLF327782:TLF327784 TVB327782:TVB327784 UEX327782:UEX327784 UOT327782:UOT327784 UYP327782:UYP327784 VIL327782:VIL327784 VSH327782:VSH327784 WCD327782:WCD327784 WLZ327782:WLZ327784 WVV327782:WVV327784 N393318:N393320 JJ393318:JJ393320 TF393318:TF393320 ADB393318:ADB393320 AMX393318:AMX393320 AWT393318:AWT393320 BGP393318:BGP393320 BQL393318:BQL393320 CAH393318:CAH393320 CKD393318:CKD393320 CTZ393318:CTZ393320 DDV393318:DDV393320 DNR393318:DNR393320 DXN393318:DXN393320 EHJ393318:EHJ393320 ERF393318:ERF393320 FBB393318:FBB393320 FKX393318:FKX393320 FUT393318:FUT393320 GEP393318:GEP393320 GOL393318:GOL393320 GYH393318:GYH393320 HID393318:HID393320 HRZ393318:HRZ393320 IBV393318:IBV393320 ILR393318:ILR393320 IVN393318:IVN393320 JFJ393318:JFJ393320 JPF393318:JPF393320 JZB393318:JZB393320 KIX393318:KIX393320 KST393318:KST393320 LCP393318:LCP393320 LML393318:LML393320 LWH393318:LWH393320 MGD393318:MGD393320 MPZ393318:MPZ393320 MZV393318:MZV393320 NJR393318:NJR393320 NTN393318:NTN393320 ODJ393318:ODJ393320 ONF393318:ONF393320 OXB393318:OXB393320 PGX393318:PGX393320 PQT393318:PQT393320 QAP393318:QAP393320 QKL393318:QKL393320 QUH393318:QUH393320 RED393318:RED393320 RNZ393318:RNZ393320 RXV393318:RXV393320 SHR393318:SHR393320 SRN393318:SRN393320 TBJ393318:TBJ393320 TLF393318:TLF393320 TVB393318:TVB393320 UEX393318:UEX393320 UOT393318:UOT393320 UYP393318:UYP393320 VIL393318:VIL393320 VSH393318:VSH393320 WCD393318:WCD393320 WLZ393318:WLZ393320 WVV393318:WVV393320 N458854:N458856 JJ458854:JJ458856 TF458854:TF458856 ADB458854:ADB458856 AMX458854:AMX458856 AWT458854:AWT458856 BGP458854:BGP458856 BQL458854:BQL458856 CAH458854:CAH458856 CKD458854:CKD458856 CTZ458854:CTZ458856 DDV458854:DDV458856 DNR458854:DNR458856 DXN458854:DXN458856 EHJ458854:EHJ458856 ERF458854:ERF458856 FBB458854:FBB458856 FKX458854:FKX458856 FUT458854:FUT458856 GEP458854:GEP458856 GOL458854:GOL458856 GYH458854:GYH458856 HID458854:HID458856 HRZ458854:HRZ458856 IBV458854:IBV458856 ILR458854:ILR458856 IVN458854:IVN458856 JFJ458854:JFJ458856 JPF458854:JPF458856 JZB458854:JZB458856 KIX458854:KIX458856 KST458854:KST458856 LCP458854:LCP458856 LML458854:LML458856 LWH458854:LWH458856 MGD458854:MGD458856 MPZ458854:MPZ458856 MZV458854:MZV458856 NJR458854:NJR458856 NTN458854:NTN458856 ODJ458854:ODJ458856 ONF458854:ONF458856 OXB458854:OXB458856 PGX458854:PGX458856 PQT458854:PQT458856 QAP458854:QAP458856 QKL458854:QKL458856 QUH458854:QUH458856 RED458854:RED458856 RNZ458854:RNZ458856 RXV458854:RXV458856 SHR458854:SHR458856 SRN458854:SRN458856 TBJ458854:TBJ458856 TLF458854:TLF458856 TVB458854:TVB458856 UEX458854:UEX458856 UOT458854:UOT458856 UYP458854:UYP458856 VIL458854:VIL458856 VSH458854:VSH458856 WCD458854:WCD458856 WLZ458854:WLZ458856 WVV458854:WVV458856 N524390:N524392 JJ524390:JJ524392 TF524390:TF524392 ADB524390:ADB524392 AMX524390:AMX524392 AWT524390:AWT524392 BGP524390:BGP524392 BQL524390:BQL524392 CAH524390:CAH524392 CKD524390:CKD524392 CTZ524390:CTZ524392 DDV524390:DDV524392 DNR524390:DNR524392 DXN524390:DXN524392 EHJ524390:EHJ524392 ERF524390:ERF524392 FBB524390:FBB524392 FKX524390:FKX524392 FUT524390:FUT524392 GEP524390:GEP524392 GOL524390:GOL524392 GYH524390:GYH524392 HID524390:HID524392 HRZ524390:HRZ524392 IBV524390:IBV524392 ILR524390:ILR524392 IVN524390:IVN524392 JFJ524390:JFJ524392 JPF524390:JPF524392 JZB524390:JZB524392 KIX524390:KIX524392 KST524390:KST524392 LCP524390:LCP524392 LML524390:LML524392 LWH524390:LWH524392 MGD524390:MGD524392 MPZ524390:MPZ524392 MZV524390:MZV524392 NJR524390:NJR524392 NTN524390:NTN524392 ODJ524390:ODJ524392 ONF524390:ONF524392 OXB524390:OXB524392 PGX524390:PGX524392 PQT524390:PQT524392 QAP524390:QAP524392 QKL524390:QKL524392 QUH524390:QUH524392 RED524390:RED524392 RNZ524390:RNZ524392 RXV524390:RXV524392 SHR524390:SHR524392 SRN524390:SRN524392 TBJ524390:TBJ524392 TLF524390:TLF524392 TVB524390:TVB524392 UEX524390:UEX524392 UOT524390:UOT524392 UYP524390:UYP524392 VIL524390:VIL524392 VSH524390:VSH524392 WCD524390:WCD524392 WLZ524390:WLZ524392 WVV524390:WVV524392 N589926:N589928 JJ589926:JJ589928 TF589926:TF589928 ADB589926:ADB589928 AMX589926:AMX589928 AWT589926:AWT589928 BGP589926:BGP589928 BQL589926:BQL589928 CAH589926:CAH589928 CKD589926:CKD589928 CTZ589926:CTZ589928 DDV589926:DDV589928 DNR589926:DNR589928 DXN589926:DXN589928 EHJ589926:EHJ589928 ERF589926:ERF589928 FBB589926:FBB589928 FKX589926:FKX589928 FUT589926:FUT589928 GEP589926:GEP589928 GOL589926:GOL589928 GYH589926:GYH589928 HID589926:HID589928 HRZ589926:HRZ589928 IBV589926:IBV589928 ILR589926:ILR589928 IVN589926:IVN589928 JFJ589926:JFJ589928 JPF589926:JPF589928 JZB589926:JZB589928 KIX589926:KIX589928 KST589926:KST589928 LCP589926:LCP589928 LML589926:LML589928 LWH589926:LWH589928 MGD589926:MGD589928 MPZ589926:MPZ589928 MZV589926:MZV589928 NJR589926:NJR589928 NTN589926:NTN589928 ODJ589926:ODJ589928 ONF589926:ONF589928 OXB589926:OXB589928 PGX589926:PGX589928 PQT589926:PQT589928 QAP589926:QAP589928 QKL589926:QKL589928 QUH589926:QUH589928 RED589926:RED589928 RNZ589926:RNZ589928 RXV589926:RXV589928 SHR589926:SHR589928 SRN589926:SRN589928 TBJ589926:TBJ589928 TLF589926:TLF589928 TVB589926:TVB589928 UEX589926:UEX589928 UOT589926:UOT589928 UYP589926:UYP589928 VIL589926:VIL589928 VSH589926:VSH589928 WCD589926:WCD589928 WLZ589926:WLZ589928 WVV589926:WVV589928 N655462:N655464 JJ655462:JJ655464 TF655462:TF655464 ADB655462:ADB655464 AMX655462:AMX655464 AWT655462:AWT655464 BGP655462:BGP655464 BQL655462:BQL655464 CAH655462:CAH655464 CKD655462:CKD655464 CTZ655462:CTZ655464 DDV655462:DDV655464 DNR655462:DNR655464 DXN655462:DXN655464 EHJ655462:EHJ655464 ERF655462:ERF655464 FBB655462:FBB655464 FKX655462:FKX655464 FUT655462:FUT655464 GEP655462:GEP655464 GOL655462:GOL655464 GYH655462:GYH655464 HID655462:HID655464 HRZ655462:HRZ655464 IBV655462:IBV655464 ILR655462:ILR655464 IVN655462:IVN655464 JFJ655462:JFJ655464 JPF655462:JPF655464 JZB655462:JZB655464 KIX655462:KIX655464 KST655462:KST655464 LCP655462:LCP655464 LML655462:LML655464 LWH655462:LWH655464 MGD655462:MGD655464 MPZ655462:MPZ655464 MZV655462:MZV655464 NJR655462:NJR655464 NTN655462:NTN655464 ODJ655462:ODJ655464 ONF655462:ONF655464 OXB655462:OXB655464 PGX655462:PGX655464 PQT655462:PQT655464 QAP655462:QAP655464 QKL655462:QKL655464 QUH655462:QUH655464 RED655462:RED655464 RNZ655462:RNZ655464 RXV655462:RXV655464 SHR655462:SHR655464 SRN655462:SRN655464 TBJ655462:TBJ655464 TLF655462:TLF655464 TVB655462:TVB655464 UEX655462:UEX655464 UOT655462:UOT655464 UYP655462:UYP655464 VIL655462:VIL655464 VSH655462:VSH655464 WCD655462:WCD655464 WLZ655462:WLZ655464 WVV655462:WVV655464 N720998:N721000 JJ720998:JJ721000 TF720998:TF721000 ADB720998:ADB721000 AMX720998:AMX721000 AWT720998:AWT721000 BGP720998:BGP721000 BQL720998:BQL721000 CAH720998:CAH721000 CKD720998:CKD721000 CTZ720998:CTZ721000 DDV720998:DDV721000 DNR720998:DNR721000 DXN720998:DXN721000 EHJ720998:EHJ721000 ERF720998:ERF721000 FBB720998:FBB721000 FKX720998:FKX721000 FUT720998:FUT721000 GEP720998:GEP721000 GOL720998:GOL721000 GYH720998:GYH721000 HID720998:HID721000 HRZ720998:HRZ721000 IBV720998:IBV721000 ILR720998:ILR721000 IVN720998:IVN721000 JFJ720998:JFJ721000 JPF720998:JPF721000 JZB720998:JZB721000 KIX720998:KIX721000 KST720998:KST721000 LCP720998:LCP721000 LML720998:LML721000 LWH720998:LWH721000 MGD720998:MGD721000 MPZ720998:MPZ721000 MZV720998:MZV721000 NJR720998:NJR721000 NTN720998:NTN721000 ODJ720998:ODJ721000 ONF720998:ONF721000 OXB720998:OXB721000 PGX720998:PGX721000 PQT720998:PQT721000 QAP720998:QAP721000 QKL720998:QKL721000 QUH720998:QUH721000 RED720998:RED721000 RNZ720998:RNZ721000 RXV720998:RXV721000 SHR720998:SHR721000 SRN720998:SRN721000 TBJ720998:TBJ721000 TLF720998:TLF721000 TVB720998:TVB721000 UEX720998:UEX721000 UOT720998:UOT721000 UYP720998:UYP721000 VIL720998:VIL721000 VSH720998:VSH721000 WCD720998:WCD721000 WLZ720998:WLZ721000 WVV720998:WVV721000 N786534:N786536 JJ786534:JJ786536 TF786534:TF786536 ADB786534:ADB786536 AMX786534:AMX786536 AWT786534:AWT786536 BGP786534:BGP786536 BQL786534:BQL786536 CAH786534:CAH786536 CKD786534:CKD786536 CTZ786534:CTZ786536 DDV786534:DDV786536 DNR786534:DNR786536 DXN786534:DXN786536 EHJ786534:EHJ786536 ERF786534:ERF786536 FBB786534:FBB786536 FKX786534:FKX786536 FUT786534:FUT786536 GEP786534:GEP786536 GOL786534:GOL786536 GYH786534:GYH786536 HID786534:HID786536 HRZ786534:HRZ786536 IBV786534:IBV786536 ILR786534:ILR786536 IVN786534:IVN786536 JFJ786534:JFJ786536 JPF786534:JPF786536 JZB786534:JZB786536 KIX786534:KIX786536 KST786534:KST786536 LCP786534:LCP786536 LML786534:LML786536 LWH786534:LWH786536 MGD786534:MGD786536 MPZ786534:MPZ786536 MZV786534:MZV786536 NJR786534:NJR786536 NTN786534:NTN786536 ODJ786534:ODJ786536 ONF786534:ONF786536 OXB786534:OXB786536 PGX786534:PGX786536 PQT786534:PQT786536 QAP786534:QAP786536 QKL786534:QKL786536 QUH786534:QUH786536 RED786534:RED786536 RNZ786534:RNZ786536 RXV786534:RXV786536 SHR786534:SHR786536 SRN786534:SRN786536 TBJ786534:TBJ786536 TLF786534:TLF786536 TVB786534:TVB786536 UEX786534:UEX786536 UOT786534:UOT786536 UYP786534:UYP786536 VIL786534:VIL786536 VSH786534:VSH786536 WCD786534:WCD786536 WLZ786534:WLZ786536 WVV786534:WVV786536 N852070:N852072 JJ852070:JJ852072 TF852070:TF852072 ADB852070:ADB852072 AMX852070:AMX852072 AWT852070:AWT852072 BGP852070:BGP852072 BQL852070:BQL852072 CAH852070:CAH852072 CKD852070:CKD852072 CTZ852070:CTZ852072 DDV852070:DDV852072 DNR852070:DNR852072 DXN852070:DXN852072 EHJ852070:EHJ852072 ERF852070:ERF852072 FBB852070:FBB852072 FKX852070:FKX852072 FUT852070:FUT852072 GEP852070:GEP852072 GOL852070:GOL852072 GYH852070:GYH852072 HID852070:HID852072 HRZ852070:HRZ852072 IBV852070:IBV852072 ILR852070:ILR852072 IVN852070:IVN852072 JFJ852070:JFJ852072 JPF852070:JPF852072 JZB852070:JZB852072 KIX852070:KIX852072 KST852070:KST852072 LCP852070:LCP852072 LML852070:LML852072 LWH852070:LWH852072 MGD852070:MGD852072 MPZ852070:MPZ852072 MZV852070:MZV852072 NJR852070:NJR852072 NTN852070:NTN852072 ODJ852070:ODJ852072 ONF852070:ONF852072 OXB852070:OXB852072 PGX852070:PGX852072 PQT852070:PQT852072 QAP852070:QAP852072 QKL852070:QKL852072 QUH852070:QUH852072 RED852070:RED852072 RNZ852070:RNZ852072 RXV852070:RXV852072 SHR852070:SHR852072 SRN852070:SRN852072 TBJ852070:TBJ852072 TLF852070:TLF852072 TVB852070:TVB852072 UEX852070:UEX852072 UOT852070:UOT852072 UYP852070:UYP852072 VIL852070:VIL852072 VSH852070:VSH852072 WCD852070:WCD852072 WLZ852070:WLZ852072 WVV852070:WVV852072 N917606:N917608 JJ917606:JJ917608 TF917606:TF917608 ADB917606:ADB917608 AMX917606:AMX917608 AWT917606:AWT917608 BGP917606:BGP917608 BQL917606:BQL917608 CAH917606:CAH917608 CKD917606:CKD917608 CTZ917606:CTZ917608 DDV917606:DDV917608 DNR917606:DNR917608 DXN917606:DXN917608 EHJ917606:EHJ917608 ERF917606:ERF917608 FBB917606:FBB917608 FKX917606:FKX917608 FUT917606:FUT917608 GEP917606:GEP917608 GOL917606:GOL917608 GYH917606:GYH917608 HID917606:HID917608 HRZ917606:HRZ917608 IBV917606:IBV917608 ILR917606:ILR917608 IVN917606:IVN917608 JFJ917606:JFJ917608 JPF917606:JPF917608 JZB917606:JZB917608 KIX917606:KIX917608 KST917606:KST917608 LCP917606:LCP917608 LML917606:LML917608 LWH917606:LWH917608 MGD917606:MGD917608 MPZ917606:MPZ917608 MZV917606:MZV917608 NJR917606:NJR917608 NTN917606:NTN917608 ODJ917606:ODJ917608 ONF917606:ONF917608 OXB917606:OXB917608 PGX917606:PGX917608 PQT917606:PQT917608 QAP917606:QAP917608 QKL917606:QKL917608 QUH917606:QUH917608 RED917606:RED917608 RNZ917606:RNZ917608 RXV917606:RXV917608 SHR917606:SHR917608 SRN917606:SRN917608 TBJ917606:TBJ917608 TLF917606:TLF917608 TVB917606:TVB917608 UEX917606:UEX917608 UOT917606:UOT917608 UYP917606:UYP917608 VIL917606:VIL917608 VSH917606:VSH917608 WCD917606:WCD917608 WLZ917606:WLZ917608 WVV917606:WVV917608 N983142:N983144 JJ983142:JJ983144 TF983142:TF983144 ADB983142:ADB983144 AMX983142:AMX983144 AWT983142:AWT983144 BGP983142:BGP983144 BQL983142:BQL983144 CAH983142:CAH983144 CKD983142:CKD983144 CTZ983142:CTZ983144 DDV983142:DDV983144 DNR983142:DNR983144 DXN983142:DXN983144 EHJ983142:EHJ983144 ERF983142:ERF983144 FBB983142:FBB983144 FKX983142:FKX983144 FUT983142:FUT983144 GEP983142:GEP983144 GOL983142:GOL983144 GYH983142:GYH983144 HID983142:HID983144 HRZ983142:HRZ983144 IBV983142:IBV983144 ILR983142:ILR983144 IVN983142:IVN983144 JFJ983142:JFJ983144 JPF983142:JPF983144 JZB983142:JZB983144 KIX983142:KIX983144 KST983142:KST983144 LCP983142:LCP983144 LML983142:LML983144 LWH983142:LWH983144 MGD983142:MGD983144 MPZ983142:MPZ983144 MZV983142:MZV983144 NJR983142:NJR983144 NTN983142:NTN983144 ODJ983142:ODJ983144 ONF983142:ONF983144 OXB983142:OXB983144 PGX983142:PGX983144 PQT983142:PQT983144 QAP983142:QAP983144 QKL983142:QKL983144 QUH983142:QUH983144 RED983142:RED983144 RNZ983142:RNZ983144 RXV983142:RXV983144 SHR983142:SHR983144 SRN983142:SRN983144 TBJ983142:TBJ983144 TLF983142:TLF983144 TVB983142:TVB983144 UEX983142:UEX983144 UOT983142:UOT983144 UYP983142:UYP983144 VIL983142:VIL983144 VSH983142:VSH983144 WCD983142:WCD983144 WLZ983142:WLZ983144 WVV983142:WVV983144" xr:uid="{00000000-0002-0000-0200-000004000000}"/>
    <dataValidation allowBlank="1" showInputMessage="1" showErrorMessage="1" promptTitle="Prov. for Loan Loss" prompt="Totals of Provision for loan loss for the month" sqref="N25 JJ25 TF25 ADB25 AMX25 AWT25 BGP25 BQL25 CAH25 CKD25 CTZ25 DDV25 DNR25 DXN25 EHJ25 ERF25 FBB25 FKX25 FUT25 GEP25 GOL25 GYH25 HID25 HRZ25 IBV25 ILR25 IVN25 JFJ25 JPF25 JZB25 KIX25 KST25 LCP25 LML25 LWH25 MGD25 MPZ25 MZV25 NJR25 NTN25 ODJ25 ONF25 OXB25 PGX25 PQT25 QAP25 QKL25 QUH25 RED25 RNZ25 RXV25 SHR25 SRN25 TBJ25 TLF25 TVB25 UEX25 UOT25 UYP25 VIL25 VSH25 WCD25 WLZ25 WVV25 N65561 JJ65561 TF65561 ADB65561 AMX65561 AWT65561 BGP65561 BQL65561 CAH65561 CKD65561 CTZ65561 DDV65561 DNR65561 DXN65561 EHJ65561 ERF65561 FBB65561 FKX65561 FUT65561 GEP65561 GOL65561 GYH65561 HID65561 HRZ65561 IBV65561 ILR65561 IVN65561 JFJ65561 JPF65561 JZB65561 KIX65561 KST65561 LCP65561 LML65561 LWH65561 MGD65561 MPZ65561 MZV65561 NJR65561 NTN65561 ODJ65561 ONF65561 OXB65561 PGX65561 PQT65561 QAP65561 QKL65561 QUH65561 RED65561 RNZ65561 RXV65561 SHR65561 SRN65561 TBJ65561 TLF65561 TVB65561 UEX65561 UOT65561 UYP65561 VIL65561 VSH65561 WCD65561 WLZ65561 WVV65561 N131097 JJ131097 TF131097 ADB131097 AMX131097 AWT131097 BGP131097 BQL131097 CAH131097 CKD131097 CTZ131097 DDV131097 DNR131097 DXN131097 EHJ131097 ERF131097 FBB131097 FKX131097 FUT131097 GEP131097 GOL131097 GYH131097 HID131097 HRZ131097 IBV131097 ILR131097 IVN131097 JFJ131097 JPF131097 JZB131097 KIX131097 KST131097 LCP131097 LML131097 LWH131097 MGD131097 MPZ131097 MZV131097 NJR131097 NTN131097 ODJ131097 ONF131097 OXB131097 PGX131097 PQT131097 QAP131097 QKL131097 QUH131097 RED131097 RNZ131097 RXV131097 SHR131097 SRN131097 TBJ131097 TLF131097 TVB131097 UEX131097 UOT131097 UYP131097 VIL131097 VSH131097 WCD131097 WLZ131097 WVV131097 N196633 JJ196633 TF196633 ADB196633 AMX196633 AWT196633 BGP196633 BQL196633 CAH196633 CKD196633 CTZ196633 DDV196633 DNR196633 DXN196633 EHJ196633 ERF196633 FBB196633 FKX196633 FUT196633 GEP196633 GOL196633 GYH196633 HID196633 HRZ196633 IBV196633 ILR196633 IVN196633 JFJ196633 JPF196633 JZB196633 KIX196633 KST196633 LCP196633 LML196633 LWH196633 MGD196633 MPZ196633 MZV196633 NJR196633 NTN196633 ODJ196633 ONF196633 OXB196633 PGX196633 PQT196633 QAP196633 QKL196633 QUH196633 RED196633 RNZ196633 RXV196633 SHR196633 SRN196633 TBJ196633 TLF196633 TVB196633 UEX196633 UOT196633 UYP196633 VIL196633 VSH196633 WCD196633 WLZ196633 WVV196633 N262169 JJ262169 TF262169 ADB262169 AMX262169 AWT262169 BGP262169 BQL262169 CAH262169 CKD262169 CTZ262169 DDV262169 DNR262169 DXN262169 EHJ262169 ERF262169 FBB262169 FKX262169 FUT262169 GEP262169 GOL262169 GYH262169 HID262169 HRZ262169 IBV262169 ILR262169 IVN262169 JFJ262169 JPF262169 JZB262169 KIX262169 KST262169 LCP262169 LML262169 LWH262169 MGD262169 MPZ262169 MZV262169 NJR262169 NTN262169 ODJ262169 ONF262169 OXB262169 PGX262169 PQT262169 QAP262169 QKL262169 QUH262169 RED262169 RNZ262169 RXV262169 SHR262169 SRN262169 TBJ262169 TLF262169 TVB262169 UEX262169 UOT262169 UYP262169 VIL262169 VSH262169 WCD262169 WLZ262169 WVV262169 N327705 JJ327705 TF327705 ADB327705 AMX327705 AWT327705 BGP327705 BQL327705 CAH327705 CKD327705 CTZ327705 DDV327705 DNR327705 DXN327705 EHJ327705 ERF327705 FBB327705 FKX327705 FUT327705 GEP327705 GOL327705 GYH327705 HID327705 HRZ327705 IBV327705 ILR327705 IVN327705 JFJ327705 JPF327705 JZB327705 KIX327705 KST327705 LCP327705 LML327705 LWH327705 MGD327705 MPZ327705 MZV327705 NJR327705 NTN327705 ODJ327705 ONF327705 OXB327705 PGX327705 PQT327705 QAP327705 QKL327705 QUH327705 RED327705 RNZ327705 RXV327705 SHR327705 SRN327705 TBJ327705 TLF327705 TVB327705 UEX327705 UOT327705 UYP327705 VIL327705 VSH327705 WCD327705 WLZ327705 WVV327705 N393241 JJ393241 TF393241 ADB393241 AMX393241 AWT393241 BGP393241 BQL393241 CAH393241 CKD393241 CTZ393241 DDV393241 DNR393241 DXN393241 EHJ393241 ERF393241 FBB393241 FKX393241 FUT393241 GEP393241 GOL393241 GYH393241 HID393241 HRZ393241 IBV393241 ILR393241 IVN393241 JFJ393241 JPF393241 JZB393241 KIX393241 KST393241 LCP393241 LML393241 LWH393241 MGD393241 MPZ393241 MZV393241 NJR393241 NTN393241 ODJ393241 ONF393241 OXB393241 PGX393241 PQT393241 QAP393241 QKL393241 QUH393241 RED393241 RNZ393241 RXV393241 SHR393241 SRN393241 TBJ393241 TLF393241 TVB393241 UEX393241 UOT393241 UYP393241 VIL393241 VSH393241 WCD393241 WLZ393241 WVV393241 N458777 JJ458777 TF458777 ADB458777 AMX458777 AWT458777 BGP458777 BQL458777 CAH458777 CKD458777 CTZ458777 DDV458777 DNR458777 DXN458777 EHJ458777 ERF458777 FBB458777 FKX458777 FUT458777 GEP458777 GOL458777 GYH458777 HID458777 HRZ458777 IBV458777 ILR458777 IVN458777 JFJ458777 JPF458777 JZB458777 KIX458777 KST458777 LCP458777 LML458777 LWH458777 MGD458777 MPZ458777 MZV458777 NJR458777 NTN458777 ODJ458777 ONF458777 OXB458777 PGX458777 PQT458777 QAP458777 QKL458777 QUH458777 RED458777 RNZ458777 RXV458777 SHR458777 SRN458777 TBJ458777 TLF458777 TVB458777 UEX458777 UOT458777 UYP458777 VIL458777 VSH458777 WCD458777 WLZ458777 WVV458777 N524313 JJ524313 TF524313 ADB524313 AMX524313 AWT524313 BGP524313 BQL524313 CAH524313 CKD524313 CTZ524313 DDV524313 DNR524313 DXN524313 EHJ524313 ERF524313 FBB524313 FKX524313 FUT524313 GEP524313 GOL524313 GYH524313 HID524313 HRZ524313 IBV524313 ILR524313 IVN524313 JFJ524313 JPF524313 JZB524313 KIX524313 KST524313 LCP524313 LML524313 LWH524313 MGD524313 MPZ524313 MZV524313 NJR524313 NTN524313 ODJ524313 ONF524313 OXB524313 PGX524313 PQT524313 QAP524313 QKL524313 QUH524313 RED524313 RNZ524313 RXV524313 SHR524313 SRN524313 TBJ524313 TLF524313 TVB524313 UEX524313 UOT524313 UYP524313 VIL524313 VSH524313 WCD524313 WLZ524313 WVV524313 N589849 JJ589849 TF589849 ADB589849 AMX589849 AWT589849 BGP589849 BQL589849 CAH589849 CKD589849 CTZ589849 DDV589849 DNR589849 DXN589849 EHJ589849 ERF589849 FBB589849 FKX589849 FUT589849 GEP589849 GOL589849 GYH589849 HID589849 HRZ589849 IBV589849 ILR589849 IVN589849 JFJ589849 JPF589849 JZB589849 KIX589849 KST589849 LCP589849 LML589849 LWH589849 MGD589849 MPZ589849 MZV589849 NJR589849 NTN589849 ODJ589849 ONF589849 OXB589849 PGX589849 PQT589849 QAP589849 QKL589849 QUH589849 RED589849 RNZ589849 RXV589849 SHR589849 SRN589849 TBJ589849 TLF589849 TVB589849 UEX589849 UOT589849 UYP589849 VIL589849 VSH589849 WCD589849 WLZ589849 WVV589849 N655385 JJ655385 TF655385 ADB655385 AMX655385 AWT655385 BGP655385 BQL655385 CAH655385 CKD655385 CTZ655385 DDV655385 DNR655385 DXN655385 EHJ655385 ERF655385 FBB655385 FKX655385 FUT655385 GEP655385 GOL655385 GYH655385 HID655385 HRZ655385 IBV655385 ILR655385 IVN655385 JFJ655385 JPF655385 JZB655385 KIX655385 KST655385 LCP655385 LML655385 LWH655385 MGD655385 MPZ655385 MZV655385 NJR655385 NTN655385 ODJ655385 ONF655385 OXB655385 PGX655385 PQT655385 QAP655385 QKL655385 QUH655385 RED655385 RNZ655385 RXV655385 SHR655385 SRN655385 TBJ655385 TLF655385 TVB655385 UEX655385 UOT655385 UYP655385 VIL655385 VSH655385 WCD655385 WLZ655385 WVV655385 N720921 JJ720921 TF720921 ADB720921 AMX720921 AWT720921 BGP720921 BQL720921 CAH720921 CKD720921 CTZ720921 DDV720921 DNR720921 DXN720921 EHJ720921 ERF720921 FBB720921 FKX720921 FUT720921 GEP720921 GOL720921 GYH720921 HID720921 HRZ720921 IBV720921 ILR720921 IVN720921 JFJ720921 JPF720921 JZB720921 KIX720921 KST720921 LCP720921 LML720921 LWH720921 MGD720921 MPZ720921 MZV720921 NJR720921 NTN720921 ODJ720921 ONF720921 OXB720921 PGX720921 PQT720921 QAP720921 QKL720921 QUH720921 RED720921 RNZ720921 RXV720921 SHR720921 SRN720921 TBJ720921 TLF720921 TVB720921 UEX720921 UOT720921 UYP720921 VIL720921 VSH720921 WCD720921 WLZ720921 WVV720921 N786457 JJ786457 TF786457 ADB786457 AMX786457 AWT786457 BGP786457 BQL786457 CAH786457 CKD786457 CTZ786457 DDV786457 DNR786457 DXN786457 EHJ786457 ERF786457 FBB786457 FKX786457 FUT786457 GEP786457 GOL786457 GYH786457 HID786457 HRZ786457 IBV786457 ILR786457 IVN786457 JFJ786457 JPF786457 JZB786457 KIX786457 KST786457 LCP786457 LML786457 LWH786457 MGD786457 MPZ786457 MZV786457 NJR786457 NTN786457 ODJ786457 ONF786457 OXB786457 PGX786457 PQT786457 QAP786457 QKL786457 QUH786457 RED786457 RNZ786457 RXV786457 SHR786457 SRN786457 TBJ786457 TLF786457 TVB786457 UEX786457 UOT786457 UYP786457 VIL786457 VSH786457 WCD786457 WLZ786457 WVV786457 N851993 JJ851993 TF851993 ADB851993 AMX851993 AWT851993 BGP851993 BQL851993 CAH851993 CKD851993 CTZ851993 DDV851993 DNR851993 DXN851993 EHJ851993 ERF851993 FBB851993 FKX851993 FUT851993 GEP851993 GOL851993 GYH851993 HID851993 HRZ851993 IBV851993 ILR851993 IVN851993 JFJ851993 JPF851993 JZB851993 KIX851993 KST851993 LCP851993 LML851993 LWH851993 MGD851993 MPZ851993 MZV851993 NJR851993 NTN851993 ODJ851993 ONF851993 OXB851993 PGX851993 PQT851993 QAP851993 QKL851993 QUH851993 RED851993 RNZ851993 RXV851993 SHR851993 SRN851993 TBJ851993 TLF851993 TVB851993 UEX851993 UOT851993 UYP851993 VIL851993 VSH851993 WCD851993 WLZ851993 WVV851993 N917529 JJ917529 TF917529 ADB917529 AMX917529 AWT917529 BGP917529 BQL917529 CAH917529 CKD917529 CTZ917529 DDV917529 DNR917529 DXN917529 EHJ917529 ERF917529 FBB917529 FKX917529 FUT917529 GEP917529 GOL917529 GYH917529 HID917529 HRZ917529 IBV917529 ILR917529 IVN917529 JFJ917529 JPF917529 JZB917529 KIX917529 KST917529 LCP917529 LML917529 LWH917529 MGD917529 MPZ917529 MZV917529 NJR917529 NTN917529 ODJ917529 ONF917529 OXB917529 PGX917529 PQT917529 QAP917529 QKL917529 QUH917529 RED917529 RNZ917529 RXV917529 SHR917529 SRN917529 TBJ917529 TLF917529 TVB917529 UEX917529 UOT917529 UYP917529 VIL917529 VSH917529 WCD917529 WLZ917529 WVV917529 N983065 JJ983065 TF983065 ADB983065 AMX983065 AWT983065 BGP983065 BQL983065 CAH983065 CKD983065 CTZ983065 DDV983065 DNR983065 DXN983065 EHJ983065 ERF983065 FBB983065 FKX983065 FUT983065 GEP983065 GOL983065 GYH983065 HID983065 HRZ983065 IBV983065 ILR983065 IVN983065 JFJ983065 JPF983065 JZB983065 KIX983065 KST983065 LCP983065 LML983065 LWH983065 MGD983065 MPZ983065 MZV983065 NJR983065 NTN983065 ODJ983065 ONF983065 OXB983065 PGX983065 PQT983065 QAP983065 QKL983065 QUH983065 RED983065 RNZ983065 RXV983065 SHR983065 SRN983065 TBJ983065 TLF983065 TVB983065 UEX983065 UOT983065 UYP983065 VIL983065 VSH983065 WCD983065 WLZ983065 WVV983065" xr:uid="{00000000-0002-0000-0200-000005000000}"/>
    <dataValidation allowBlank="1" showInputMessage="1" showErrorMessage="1" promptTitle="Cash on Hand" prompt="Example Cash on Hand, Petty Cash, Cashier imprest, Cast imprest" sqref="N10 JJ10 TF10 ADB10 AMX10 AWT10 BGP10 BQL10 CAH10 CKD10 CTZ10 DDV10 DNR10 DXN10 EHJ10 ERF10 FBB10 FKX10 FUT10 GEP10 GOL10 GYH10 HID10 HRZ10 IBV10 ILR10 IVN10 JFJ10 JPF10 JZB10 KIX10 KST10 LCP10 LML10 LWH10 MGD10 MPZ10 MZV10 NJR10 NTN10 ODJ10 ONF10 OXB10 PGX10 PQT10 QAP10 QKL10 QUH10 RED10 RNZ10 RXV10 SHR10 SRN10 TBJ10 TLF10 TVB10 UEX10 UOT10 UYP10 VIL10 VSH10 WCD10 WLZ10 WVV10 N65546 JJ65546 TF65546 ADB65546 AMX65546 AWT65546 BGP65546 BQL65546 CAH65546 CKD65546 CTZ65546 DDV65546 DNR65546 DXN65546 EHJ65546 ERF65546 FBB65546 FKX65546 FUT65546 GEP65546 GOL65546 GYH65546 HID65546 HRZ65546 IBV65546 ILR65546 IVN65546 JFJ65546 JPF65546 JZB65546 KIX65546 KST65546 LCP65546 LML65546 LWH65546 MGD65546 MPZ65546 MZV65546 NJR65546 NTN65546 ODJ65546 ONF65546 OXB65546 PGX65546 PQT65546 QAP65546 QKL65546 QUH65546 RED65546 RNZ65546 RXV65546 SHR65546 SRN65546 TBJ65546 TLF65546 TVB65546 UEX65546 UOT65546 UYP65546 VIL65546 VSH65546 WCD65546 WLZ65546 WVV65546 N131082 JJ131082 TF131082 ADB131082 AMX131082 AWT131082 BGP131082 BQL131082 CAH131082 CKD131082 CTZ131082 DDV131082 DNR131082 DXN131082 EHJ131082 ERF131082 FBB131082 FKX131082 FUT131082 GEP131082 GOL131082 GYH131082 HID131082 HRZ131082 IBV131082 ILR131082 IVN131082 JFJ131082 JPF131082 JZB131082 KIX131082 KST131082 LCP131082 LML131082 LWH131082 MGD131082 MPZ131082 MZV131082 NJR131082 NTN131082 ODJ131082 ONF131082 OXB131082 PGX131082 PQT131082 QAP131082 QKL131082 QUH131082 RED131082 RNZ131082 RXV131082 SHR131082 SRN131082 TBJ131082 TLF131082 TVB131082 UEX131082 UOT131082 UYP131082 VIL131082 VSH131082 WCD131082 WLZ131082 WVV131082 N196618 JJ196618 TF196618 ADB196618 AMX196618 AWT196618 BGP196618 BQL196618 CAH196618 CKD196618 CTZ196618 DDV196618 DNR196618 DXN196618 EHJ196618 ERF196618 FBB196618 FKX196618 FUT196618 GEP196618 GOL196618 GYH196618 HID196618 HRZ196618 IBV196618 ILR196618 IVN196618 JFJ196618 JPF196618 JZB196618 KIX196618 KST196618 LCP196618 LML196618 LWH196618 MGD196618 MPZ196618 MZV196618 NJR196618 NTN196618 ODJ196618 ONF196618 OXB196618 PGX196618 PQT196618 QAP196618 QKL196618 QUH196618 RED196618 RNZ196618 RXV196618 SHR196618 SRN196618 TBJ196618 TLF196618 TVB196618 UEX196618 UOT196618 UYP196618 VIL196618 VSH196618 WCD196618 WLZ196618 WVV196618 N262154 JJ262154 TF262154 ADB262154 AMX262154 AWT262154 BGP262154 BQL262154 CAH262154 CKD262154 CTZ262154 DDV262154 DNR262154 DXN262154 EHJ262154 ERF262154 FBB262154 FKX262154 FUT262154 GEP262154 GOL262154 GYH262154 HID262154 HRZ262154 IBV262154 ILR262154 IVN262154 JFJ262154 JPF262154 JZB262154 KIX262154 KST262154 LCP262154 LML262154 LWH262154 MGD262154 MPZ262154 MZV262154 NJR262154 NTN262154 ODJ262154 ONF262154 OXB262154 PGX262154 PQT262154 QAP262154 QKL262154 QUH262154 RED262154 RNZ262154 RXV262154 SHR262154 SRN262154 TBJ262154 TLF262154 TVB262154 UEX262154 UOT262154 UYP262154 VIL262154 VSH262154 WCD262154 WLZ262154 WVV262154 N327690 JJ327690 TF327690 ADB327690 AMX327690 AWT327690 BGP327690 BQL327690 CAH327690 CKD327690 CTZ327690 DDV327690 DNR327690 DXN327690 EHJ327690 ERF327690 FBB327690 FKX327690 FUT327690 GEP327690 GOL327690 GYH327690 HID327690 HRZ327690 IBV327690 ILR327690 IVN327690 JFJ327690 JPF327690 JZB327690 KIX327690 KST327690 LCP327690 LML327690 LWH327690 MGD327690 MPZ327690 MZV327690 NJR327690 NTN327690 ODJ327690 ONF327690 OXB327690 PGX327690 PQT327690 QAP327690 QKL327690 QUH327690 RED327690 RNZ327690 RXV327690 SHR327690 SRN327690 TBJ327690 TLF327690 TVB327690 UEX327690 UOT327690 UYP327690 VIL327690 VSH327690 WCD327690 WLZ327690 WVV327690 N393226 JJ393226 TF393226 ADB393226 AMX393226 AWT393226 BGP393226 BQL393226 CAH393226 CKD393226 CTZ393226 DDV393226 DNR393226 DXN393226 EHJ393226 ERF393226 FBB393226 FKX393226 FUT393226 GEP393226 GOL393226 GYH393226 HID393226 HRZ393226 IBV393226 ILR393226 IVN393226 JFJ393226 JPF393226 JZB393226 KIX393226 KST393226 LCP393226 LML393226 LWH393226 MGD393226 MPZ393226 MZV393226 NJR393226 NTN393226 ODJ393226 ONF393226 OXB393226 PGX393226 PQT393226 QAP393226 QKL393226 QUH393226 RED393226 RNZ393226 RXV393226 SHR393226 SRN393226 TBJ393226 TLF393226 TVB393226 UEX393226 UOT393226 UYP393226 VIL393226 VSH393226 WCD393226 WLZ393226 WVV393226 N458762 JJ458762 TF458762 ADB458762 AMX458762 AWT458762 BGP458762 BQL458762 CAH458762 CKD458762 CTZ458762 DDV458762 DNR458762 DXN458762 EHJ458762 ERF458762 FBB458762 FKX458762 FUT458762 GEP458762 GOL458762 GYH458762 HID458762 HRZ458762 IBV458762 ILR458762 IVN458762 JFJ458762 JPF458762 JZB458762 KIX458762 KST458762 LCP458762 LML458762 LWH458762 MGD458762 MPZ458762 MZV458762 NJR458762 NTN458762 ODJ458762 ONF458762 OXB458762 PGX458762 PQT458762 QAP458762 QKL458762 QUH458762 RED458762 RNZ458762 RXV458762 SHR458762 SRN458762 TBJ458762 TLF458762 TVB458762 UEX458762 UOT458762 UYP458762 VIL458762 VSH458762 WCD458762 WLZ458762 WVV458762 N524298 JJ524298 TF524298 ADB524298 AMX524298 AWT524298 BGP524298 BQL524298 CAH524298 CKD524298 CTZ524298 DDV524298 DNR524298 DXN524298 EHJ524298 ERF524298 FBB524298 FKX524298 FUT524298 GEP524298 GOL524298 GYH524298 HID524298 HRZ524298 IBV524298 ILR524298 IVN524298 JFJ524298 JPF524298 JZB524298 KIX524298 KST524298 LCP524298 LML524298 LWH524298 MGD524298 MPZ524298 MZV524298 NJR524298 NTN524298 ODJ524298 ONF524298 OXB524298 PGX524298 PQT524298 QAP524298 QKL524298 QUH524298 RED524298 RNZ524298 RXV524298 SHR524298 SRN524298 TBJ524298 TLF524298 TVB524298 UEX524298 UOT524298 UYP524298 VIL524298 VSH524298 WCD524298 WLZ524298 WVV524298 N589834 JJ589834 TF589834 ADB589834 AMX589834 AWT589834 BGP589834 BQL589834 CAH589834 CKD589834 CTZ589834 DDV589834 DNR589834 DXN589834 EHJ589834 ERF589834 FBB589834 FKX589834 FUT589834 GEP589834 GOL589834 GYH589834 HID589834 HRZ589834 IBV589834 ILR589834 IVN589834 JFJ589834 JPF589834 JZB589834 KIX589834 KST589834 LCP589834 LML589834 LWH589834 MGD589834 MPZ589834 MZV589834 NJR589834 NTN589834 ODJ589834 ONF589834 OXB589834 PGX589834 PQT589834 QAP589834 QKL589834 QUH589834 RED589834 RNZ589834 RXV589834 SHR589834 SRN589834 TBJ589834 TLF589834 TVB589834 UEX589834 UOT589834 UYP589834 VIL589834 VSH589834 WCD589834 WLZ589834 WVV589834 N655370 JJ655370 TF655370 ADB655370 AMX655370 AWT655370 BGP655370 BQL655370 CAH655370 CKD655370 CTZ655370 DDV655370 DNR655370 DXN655370 EHJ655370 ERF655370 FBB655370 FKX655370 FUT655370 GEP655370 GOL655370 GYH655370 HID655370 HRZ655370 IBV655370 ILR655370 IVN655370 JFJ655370 JPF655370 JZB655370 KIX655370 KST655370 LCP655370 LML655370 LWH655370 MGD655370 MPZ655370 MZV655370 NJR655370 NTN655370 ODJ655370 ONF655370 OXB655370 PGX655370 PQT655370 QAP655370 QKL655370 QUH655370 RED655370 RNZ655370 RXV655370 SHR655370 SRN655370 TBJ655370 TLF655370 TVB655370 UEX655370 UOT655370 UYP655370 VIL655370 VSH655370 WCD655370 WLZ655370 WVV655370 N720906 JJ720906 TF720906 ADB720906 AMX720906 AWT720906 BGP720906 BQL720906 CAH720906 CKD720906 CTZ720906 DDV720906 DNR720906 DXN720906 EHJ720906 ERF720906 FBB720906 FKX720906 FUT720906 GEP720906 GOL720906 GYH720906 HID720906 HRZ720906 IBV720906 ILR720906 IVN720906 JFJ720906 JPF720906 JZB720906 KIX720906 KST720906 LCP720906 LML720906 LWH720906 MGD720906 MPZ720906 MZV720906 NJR720906 NTN720906 ODJ720906 ONF720906 OXB720906 PGX720906 PQT720906 QAP720906 QKL720906 QUH720906 RED720906 RNZ720906 RXV720906 SHR720906 SRN720906 TBJ720906 TLF720906 TVB720906 UEX720906 UOT720906 UYP720906 VIL720906 VSH720906 WCD720906 WLZ720906 WVV720906 N786442 JJ786442 TF786442 ADB786442 AMX786442 AWT786442 BGP786442 BQL786442 CAH786442 CKD786442 CTZ786442 DDV786442 DNR786442 DXN786442 EHJ786442 ERF786442 FBB786442 FKX786442 FUT786442 GEP786442 GOL786442 GYH786442 HID786442 HRZ786442 IBV786442 ILR786442 IVN786442 JFJ786442 JPF786442 JZB786442 KIX786442 KST786442 LCP786442 LML786442 LWH786442 MGD786442 MPZ786442 MZV786442 NJR786442 NTN786442 ODJ786442 ONF786442 OXB786442 PGX786442 PQT786442 QAP786442 QKL786442 QUH786442 RED786442 RNZ786442 RXV786442 SHR786442 SRN786442 TBJ786442 TLF786442 TVB786442 UEX786442 UOT786442 UYP786442 VIL786442 VSH786442 WCD786442 WLZ786442 WVV786442 N851978 JJ851978 TF851978 ADB851978 AMX851978 AWT851978 BGP851978 BQL851978 CAH851978 CKD851978 CTZ851978 DDV851978 DNR851978 DXN851978 EHJ851978 ERF851978 FBB851978 FKX851978 FUT851978 GEP851978 GOL851978 GYH851978 HID851978 HRZ851978 IBV851978 ILR851978 IVN851978 JFJ851978 JPF851978 JZB851978 KIX851978 KST851978 LCP851978 LML851978 LWH851978 MGD851978 MPZ851978 MZV851978 NJR851978 NTN851978 ODJ851978 ONF851978 OXB851978 PGX851978 PQT851978 QAP851978 QKL851978 QUH851978 RED851978 RNZ851978 RXV851978 SHR851978 SRN851978 TBJ851978 TLF851978 TVB851978 UEX851978 UOT851978 UYP851978 VIL851978 VSH851978 WCD851978 WLZ851978 WVV851978 N917514 JJ917514 TF917514 ADB917514 AMX917514 AWT917514 BGP917514 BQL917514 CAH917514 CKD917514 CTZ917514 DDV917514 DNR917514 DXN917514 EHJ917514 ERF917514 FBB917514 FKX917514 FUT917514 GEP917514 GOL917514 GYH917514 HID917514 HRZ917514 IBV917514 ILR917514 IVN917514 JFJ917514 JPF917514 JZB917514 KIX917514 KST917514 LCP917514 LML917514 LWH917514 MGD917514 MPZ917514 MZV917514 NJR917514 NTN917514 ODJ917514 ONF917514 OXB917514 PGX917514 PQT917514 QAP917514 QKL917514 QUH917514 RED917514 RNZ917514 RXV917514 SHR917514 SRN917514 TBJ917514 TLF917514 TVB917514 UEX917514 UOT917514 UYP917514 VIL917514 VSH917514 WCD917514 WLZ917514 WVV917514 N983050 JJ983050 TF983050 ADB983050 AMX983050 AWT983050 BGP983050 BQL983050 CAH983050 CKD983050 CTZ983050 DDV983050 DNR983050 DXN983050 EHJ983050 ERF983050 FBB983050 FKX983050 FUT983050 GEP983050 GOL983050 GYH983050 HID983050 HRZ983050 IBV983050 ILR983050 IVN983050 JFJ983050 JPF983050 JZB983050 KIX983050 KST983050 LCP983050 LML983050 LWH983050 MGD983050 MPZ983050 MZV983050 NJR983050 NTN983050 ODJ983050 ONF983050 OXB983050 PGX983050 PQT983050 QAP983050 QKL983050 QUH983050 RED983050 RNZ983050 RXV983050 SHR983050 SRN983050 TBJ983050 TLF983050 TVB983050 UEX983050 UOT983050 UYP983050 VIL983050 VSH983050 WCD983050 WLZ983050 WVV983050" xr:uid="{00000000-0002-0000-0200-000006000000}"/>
    <dataValidation allowBlank="1" showInputMessage="1" showErrorMessage="1" promptTitle="Current Accounts with Banks" prompt="Non interest earning accounts with Banks. Example GCB Bank current, ADB Bank Current" sqref="N11 JJ11 TF11 ADB11 AMX11 AWT11 BGP11 BQL11 CAH11 CKD11 CTZ11 DDV11 DNR11 DXN11 EHJ11 ERF11 FBB11 FKX11 FUT11 GEP11 GOL11 GYH11 HID11 HRZ11 IBV11 ILR11 IVN11 JFJ11 JPF11 JZB11 KIX11 KST11 LCP11 LML11 LWH11 MGD11 MPZ11 MZV11 NJR11 NTN11 ODJ11 ONF11 OXB11 PGX11 PQT11 QAP11 QKL11 QUH11 RED11 RNZ11 RXV11 SHR11 SRN11 TBJ11 TLF11 TVB11 UEX11 UOT11 UYP11 VIL11 VSH11 WCD11 WLZ11 WVV11 N65547 JJ65547 TF65547 ADB65547 AMX65547 AWT65547 BGP65547 BQL65547 CAH65547 CKD65547 CTZ65547 DDV65547 DNR65547 DXN65547 EHJ65547 ERF65547 FBB65547 FKX65547 FUT65547 GEP65547 GOL65547 GYH65547 HID65547 HRZ65547 IBV65547 ILR65547 IVN65547 JFJ65547 JPF65547 JZB65547 KIX65547 KST65547 LCP65547 LML65547 LWH65547 MGD65547 MPZ65547 MZV65547 NJR65547 NTN65547 ODJ65547 ONF65547 OXB65547 PGX65547 PQT65547 QAP65547 QKL65547 QUH65547 RED65547 RNZ65547 RXV65547 SHR65547 SRN65547 TBJ65547 TLF65547 TVB65547 UEX65547 UOT65547 UYP65547 VIL65547 VSH65547 WCD65547 WLZ65547 WVV65547 N131083 JJ131083 TF131083 ADB131083 AMX131083 AWT131083 BGP131083 BQL131083 CAH131083 CKD131083 CTZ131083 DDV131083 DNR131083 DXN131083 EHJ131083 ERF131083 FBB131083 FKX131083 FUT131083 GEP131083 GOL131083 GYH131083 HID131083 HRZ131083 IBV131083 ILR131083 IVN131083 JFJ131083 JPF131083 JZB131083 KIX131083 KST131083 LCP131083 LML131083 LWH131083 MGD131083 MPZ131083 MZV131083 NJR131083 NTN131083 ODJ131083 ONF131083 OXB131083 PGX131083 PQT131083 QAP131083 QKL131083 QUH131083 RED131083 RNZ131083 RXV131083 SHR131083 SRN131083 TBJ131083 TLF131083 TVB131083 UEX131083 UOT131083 UYP131083 VIL131083 VSH131083 WCD131083 WLZ131083 WVV131083 N196619 JJ196619 TF196619 ADB196619 AMX196619 AWT196619 BGP196619 BQL196619 CAH196619 CKD196619 CTZ196619 DDV196619 DNR196619 DXN196619 EHJ196619 ERF196619 FBB196619 FKX196619 FUT196619 GEP196619 GOL196619 GYH196619 HID196619 HRZ196619 IBV196619 ILR196619 IVN196619 JFJ196619 JPF196619 JZB196619 KIX196619 KST196619 LCP196619 LML196619 LWH196619 MGD196619 MPZ196619 MZV196619 NJR196619 NTN196619 ODJ196619 ONF196619 OXB196619 PGX196619 PQT196619 QAP196619 QKL196619 QUH196619 RED196619 RNZ196619 RXV196619 SHR196619 SRN196619 TBJ196619 TLF196619 TVB196619 UEX196619 UOT196619 UYP196619 VIL196619 VSH196619 WCD196619 WLZ196619 WVV196619 N262155 JJ262155 TF262155 ADB262155 AMX262155 AWT262155 BGP262155 BQL262155 CAH262155 CKD262155 CTZ262155 DDV262155 DNR262155 DXN262155 EHJ262155 ERF262155 FBB262155 FKX262155 FUT262155 GEP262155 GOL262155 GYH262155 HID262155 HRZ262155 IBV262155 ILR262155 IVN262155 JFJ262155 JPF262155 JZB262155 KIX262155 KST262155 LCP262155 LML262155 LWH262155 MGD262155 MPZ262155 MZV262155 NJR262155 NTN262155 ODJ262155 ONF262155 OXB262155 PGX262155 PQT262155 QAP262155 QKL262155 QUH262155 RED262155 RNZ262155 RXV262155 SHR262155 SRN262155 TBJ262155 TLF262155 TVB262155 UEX262155 UOT262155 UYP262155 VIL262155 VSH262155 WCD262155 WLZ262155 WVV262155 N327691 JJ327691 TF327691 ADB327691 AMX327691 AWT327691 BGP327691 BQL327691 CAH327691 CKD327691 CTZ327691 DDV327691 DNR327691 DXN327691 EHJ327691 ERF327691 FBB327691 FKX327691 FUT327691 GEP327691 GOL327691 GYH327691 HID327691 HRZ327691 IBV327691 ILR327691 IVN327691 JFJ327691 JPF327691 JZB327691 KIX327691 KST327691 LCP327691 LML327691 LWH327691 MGD327691 MPZ327691 MZV327691 NJR327691 NTN327691 ODJ327691 ONF327691 OXB327691 PGX327691 PQT327691 QAP327691 QKL327691 QUH327691 RED327691 RNZ327691 RXV327691 SHR327691 SRN327691 TBJ327691 TLF327691 TVB327691 UEX327691 UOT327691 UYP327691 VIL327691 VSH327691 WCD327691 WLZ327691 WVV327691 N393227 JJ393227 TF393227 ADB393227 AMX393227 AWT393227 BGP393227 BQL393227 CAH393227 CKD393227 CTZ393227 DDV393227 DNR393227 DXN393227 EHJ393227 ERF393227 FBB393227 FKX393227 FUT393227 GEP393227 GOL393227 GYH393227 HID393227 HRZ393227 IBV393227 ILR393227 IVN393227 JFJ393227 JPF393227 JZB393227 KIX393227 KST393227 LCP393227 LML393227 LWH393227 MGD393227 MPZ393227 MZV393227 NJR393227 NTN393227 ODJ393227 ONF393227 OXB393227 PGX393227 PQT393227 QAP393227 QKL393227 QUH393227 RED393227 RNZ393227 RXV393227 SHR393227 SRN393227 TBJ393227 TLF393227 TVB393227 UEX393227 UOT393227 UYP393227 VIL393227 VSH393227 WCD393227 WLZ393227 WVV393227 N458763 JJ458763 TF458763 ADB458763 AMX458763 AWT458763 BGP458763 BQL458763 CAH458763 CKD458763 CTZ458763 DDV458763 DNR458763 DXN458763 EHJ458763 ERF458763 FBB458763 FKX458763 FUT458763 GEP458763 GOL458763 GYH458763 HID458763 HRZ458763 IBV458763 ILR458763 IVN458763 JFJ458763 JPF458763 JZB458763 KIX458763 KST458763 LCP458763 LML458763 LWH458763 MGD458763 MPZ458763 MZV458763 NJR458763 NTN458763 ODJ458763 ONF458763 OXB458763 PGX458763 PQT458763 QAP458763 QKL458763 QUH458763 RED458763 RNZ458763 RXV458763 SHR458763 SRN458763 TBJ458763 TLF458763 TVB458763 UEX458763 UOT458763 UYP458763 VIL458763 VSH458763 WCD458763 WLZ458763 WVV458763 N524299 JJ524299 TF524299 ADB524299 AMX524299 AWT524299 BGP524299 BQL524299 CAH524299 CKD524299 CTZ524299 DDV524299 DNR524299 DXN524299 EHJ524299 ERF524299 FBB524299 FKX524299 FUT524299 GEP524299 GOL524299 GYH524299 HID524299 HRZ524299 IBV524299 ILR524299 IVN524299 JFJ524299 JPF524299 JZB524299 KIX524299 KST524299 LCP524299 LML524299 LWH524299 MGD524299 MPZ524299 MZV524299 NJR524299 NTN524299 ODJ524299 ONF524299 OXB524299 PGX524299 PQT524299 QAP524299 QKL524299 QUH524299 RED524299 RNZ524299 RXV524299 SHR524299 SRN524299 TBJ524299 TLF524299 TVB524299 UEX524299 UOT524299 UYP524299 VIL524299 VSH524299 WCD524299 WLZ524299 WVV524299 N589835 JJ589835 TF589835 ADB589835 AMX589835 AWT589835 BGP589835 BQL589835 CAH589835 CKD589835 CTZ589835 DDV589835 DNR589835 DXN589835 EHJ589835 ERF589835 FBB589835 FKX589835 FUT589835 GEP589835 GOL589835 GYH589835 HID589835 HRZ589835 IBV589835 ILR589835 IVN589835 JFJ589835 JPF589835 JZB589835 KIX589835 KST589835 LCP589835 LML589835 LWH589835 MGD589835 MPZ589835 MZV589835 NJR589835 NTN589835 ODJ589835 ONF589835 OXB589835 PGX589835 PQT589835 QAP589835 QKL589835 QUH589835 RED589835 RNZ589835 RXV589835 SHR589835 SRN589835 TBJ589835 TLF589835 TVB589835 UEX589835 UOT589835 UYP589835 VIL589835 VSH589835 WCD589835 WLZ589835 WVV589835 N655371 JJ655371 TF655371 ADB655371 AMX655371 AWT655371 BGP655371 BQL655371 CAH655371 CKD655371 CTZ655371 DDV655371 DNR655371 DXN655371 EHJ655371 ERF655371 FBB655371 FKX655371 FUT655371 GEP655371 GOL655371 GYH655371 HID655371 HRZ655371 IBV655371 ILR655371 IVN655371 JFJ655371 JPF655371 JZB655371 KIX655371 KST655371 LCP655371 LML655371 LWH655371 MGD655371 MPZ655371 MZV655371 NJR655371 NTN655371 ODJ655371 ONF655371 OXB655371 PGX655371 PQT655371 QAP655371 QKL655371 QUH655371 RED655371 RNZ655371 RXV655371 SHR655371 SRN655371 TBJ655371 TLF655371 TVB655371 UEX655371 UOT655371 UYP655371 VIL655371 VSH655371 WCD655371 WLZ655371 WVV655371 N720907 JJ720907 TF720907 ADB720907 AMX720907 AWT720907 BGP720907 BQL720907 CAH720907 CKD720907 CTZ720907 DDV720907 DNR720907 DXN720907 EHJ720907 ERF720907 FBB720907 FKX720907 FUT720907 GEP720907 GOL720907 GYH720907 HID720907 HRZ720907 IBV720907 ILR720907 IVN720907 JFJ720907 JPF720907 JZB720907 KIX720907 KST720907 LCP720907 LML720907 LWH720907 MGD720907 MPZ720907 MZV720907 NJR720907 NTN720907 ODJ720907 ONF720907 OXB720907 PGX720907 PQT720907 QAP720907 QKL720907 QUH720907 RED720907 RNZ720907 RXV720907 SHR720907 SRN720907 TBJ720907 TLF720907 TVB720907 UEX720907 UOT720907 UYP720907 VIL720907 VSH720907 WCD720907 WLZ720907 WVV720907 N786443 JJ786443 TF786443 ADB786443 AMX786443 AWT786443 BGP786443 BQL786443 CAH786443 CKD786443 CTZ786443 DDV786443 DNR786443 DXN786443 EHJ786443 ERF786443 FBB786443 FKX786443 FUT786443 GEP786443 GOL786443 GYH786443 HID786443 HRZ786443 IBV786443 ILR786443 IVN786443 JFJ786443 JPF786443 JZB786443 KIX786443 KST786443 LCP786443 LML786443 LWH786443 MGD786443 MPZ786443 MZV786443 NJR786443 NTN786443 ODJ786443 ONF786443 OXB786443 PGX786443 PQT786443 QAP786443 QKL786443 QUH786443 RED786443 RNZ786443 RXV786443 SHR786443 SRN786443 TBJ786443 TLF786443 TVB786443 UEX786443 UOT786443 UYP786443 VIL786443 VSH786443 WCD786443 WLZ786443 WVV786443 N851979 JJ851979 TF851979 ADB851979 AMX851979 AWT851979 BGP851979 BQL851979 CAH851979 CKD851979 CTZ851979 DDV851979 DNR851979 DXN851979 EHJ851979 ERF851979 FBB851979 FKX851979 FUT851979 GEP851979 GOL851979 GYH851979 HID851979 HRZ851979 IBV851979 ILR851979 IVN851979 JFJ851979 JPF851979 JZB851979 KIX851979 KST851979 LCP851979 LML851979 LWH851979 MGD851979 MPZ851979 MZV851979 NJR851979 NTN851979 ODJ851979 ONF851979 OXB851979 PGX851979 PQT851979 QAP851979 QKL851979 QUH851979 RED851979 RNZ851979 RXV851979 SHR851979 SRN851979 TBJ851979 TLF851979 TVB851979 UEX851979 UOT851979 UYP851979 VIL851979 VSH851979 WCD851979 WLZ851979 WVV851979 N917515 JJ917515 TF917515 ADB917515 AMX917515 AWT917515 BGP917515 BQL917515 CAH917515 CKD917515 CTZ917515 DDV917515 DNR917515 DXN917515 EHJ917515 ERF917515 FBB917515 FKX917515 FUT917515 GEP917515 GOL917515 GYH917515 HID917515 HRZ917515 IBV917515 ILR917515 IVN917515 JFJ917515 JPF917515 JZB917515 KIX917515 KST917515 LCP917515 LML917515 LWH917515 MGD917515 MPZ917515 MZV917515 NJR917515 NTN917515 ODJ917515 ONF917515 OXB917515 PGX917515 PQT917515 QAP917515 QKL917515 QUH917515 RED917515 RNZ917515 RXV917515 SHR917515 SRN917515 TBJ917515 TLF917515 TVB917515 UEX917515 UOT917515 UYP917515 VIL917515 VSH917515 WCD917515 WLZ917515 WVV917515 N983051 JJ983051 TF983051 ADB983051 AMX983051 AWT983051 BGP983051 BQL983051 CAH983051 CKD983051 CTZ983051 DDV983051 DNR983051 DXN983051 EHJ983051 ERF983051 FBB983051 FKX983051 FUT983051 GEP983051 GOL983051 GYH983051 HID983051 HRZ983051 IBV983051 ILR983051 IVN983051 JFJ983051 JPF983051 JZB983051 KIX983051 KST983051 LCP983051 LML983051 LWH983051 MGD983051 MPZ983051 MZV983051 NJR983051 NTN983051 ODJ983051 ONF983051 OXB983051 PGX983051 PQT983051 QAP983051 QKL983051 QUH983051 RED983051 RNZ983051 RXV983051 SHR983051 SRN983051 TBJ983051 TLF983051 TVB983051 UEX983051 UOT983051 UYP983051 VIL983051 VSH983051 WCD983051 WLZ983051 WVV983051" xr:uid="{00000000-0002-0000-0200-000007000000}"/>
    <dataValidation allowBlank="1" showInputMessage="1" showErrorMessage="1" promptTitle="Call fund &amp; T deposit with Banks" prompt="Interest earning deposit with Banks. Example GCB Bank Savings, Call Current with Ecobank, Barclays Fixed Deposit" sqref="N13 JJ13 TF13 ADB13 AMX13 AWT13 BGP13 BQL13 CAH13 CKD13 CTZ13 DDV13 DNR13 DXN13 EHJ13 ERF13 FBB13 FKX13 FUT13 GEP13 GOL13 GYH13 HID13 HRZ13 IBV13 ILR13 IVN13 JFJ13 JPF13 JZB13 KIX13 KST13 LCP13 LML13 LWH13 MGD13 MPZ13 MZV13 NJR13 NTN13 ODJ13 ONF13 OXB13 PGX13 PQT13 QAP13 QKL13 QUH13 RED13 RNZ13 RXV13 SHR13 SRN13 TBJ13 TLF13 TVB13 UEX13 UOT13 UYP13 VIL13 VSH13 WCD13 WLZ13 WVV13 N65549 JJ65549 TF65549 ADB65549 AMX65549 AWT65549 BGP65549 BQL65549 CAH65549 CKD65549 CTZ65549 DDV65549 DNR65549 DXN65549 EHJ65549 ERF65549 FBB65549 FKX65549 FUT65549 GEP65549 GOL65549 GYH65549 HID65549 HRZ65549 IBV65549 ILR65549 IVN65549 JFJ65549 JPF65549 JZB65549 KIX65549 KST65549 LCP65549 LML65549 LWH65549 MGD65549 MPZ65549 MZV65549 NJR65549 NTN65549 ODJ65549 ONF65549 OXB65549 PGX65549 PQT65549 QAP65549 QKL65549 QUH65549 RED65549 RNZ65549 RXV65549 SHR65549 SRN65549 TBJ65549 TLF65549 TVB65549 UEX65549 UOT65549 UYP65549 VIL65549 VSH65549 WCD65549 WLZ65549 WVV65549 N131085 JJ131085 TF131085 ADB131085 AMX131085 AWT131085 BGP131085 BQL131085 CAH131085 CKD131085 CTZ131085 DDV131085 DNR131085 DXN131085 EHJ131085 ERF131085 FBB131085 FKX131085 FUT131085 GEP131085 GOL131085 GYH131085 HID131085 HRZ131085 IBV131085 ILR131085 IVN131085 JFJ131085 JPF131085 JZB131085 KIX131085 KST131085 LCP131085 LML131085 LWH131085 MGD131085 MPZ131085 MZV131085 NJR131085 NTN131085 ODJ131085 ONF131085 OXB131085 PGX131085 PQT131085 QAP131085 QKL131085 QUH131085 RED131085 RNZ131085 RXV131085 SHR131085 SRN131085 TBJ131085 TLF131085 TVB131085 UEX131085 UOT131085 UYP131085 VIL131085 VSH131085 WCD131085 WLZ131085 WVV131085 N196621 JJ196621 TF196621 ADB196621 AMX196621 AWT196621 BGP196621 BQL196621 CAH196621 CKD196621 CTZ196621 DDV196621 DNR196621 DXN196621 EHJ196621 ERF196621 FBB196621 FKX196621 FUT196621 GEP196621 GOL196621 GYH196621 HID196621 HRZ196621 IBV196621 ILR196621 IVN196621 JFJ196621 JPF196621 JZB196621 KIX196621 KST196621 LCP196621 LML196621 LWH196621 MGD196621 MPZ196621 MZV196621 NJR196621 NTN196621 ODJ196621 ONF196621 OXB196621 PGX196621 PQT196621 QAP196621 QKL196621 QUH196621 RED196621 RNZ196621 RXV196621 SHR196621 SRN196621 TBJ196621 TLF196621 TVB196621 UEX196621 UOT196621 UYP196621 VIL196621 VSH196621 WCD196621 WLZ196621 WVV196621 N262157 JJ262157 TF262157 ADB262157 AMX262157 AWT262157 BGP262157 BQL262157 CAH262157 CKD262157 CTZ262157 DDV262157 DNR262157 DXN262157 EHJ262157 ERF262157 FBB262157 FKX262157 FUT262157 GEP262157 GOL262157 GYH262157 HID262157 HRZ262157 IBV262157 ILR262157 IVN262157 JFJ262157 JPF262157 JZB262157 KIX262157 KST262157 LCP262157 LML262157 LWH262157 MGD262157 MPZ262157 MZV262157 NJR262157 NTN262157 ODJ262157 ONF262157 OXB262157 PGX262157 PQT262157 QAP262157 QKL262157 QUH262157 RED262157 RNZ262157 RXV262157 SHR262157 SRN262157 TBJ262157 TLF262157 TVB262157 UEX262157 UOT262157 UYP262157 VIL262157 VSH262157 WCD262157 WLZ262157 WVV262157 N327693 JJ327693 TF327693 ADB327693 AMX327693 AWT327693 BGP327693 BQL327693 CAH327693 CKD327693 CTZ327693 DDV327693 DNR327693 DXN327693 EHJ327693 ERF327693 FBB327693 FKX327693 FUT327693 GEP327693 GOL327693 GYH327693 HID327693 HRZ327693 IBV327693 ILR327693 IVN327693 JFJ327693 JPF327693 JZB327693 KIX327693 KST327693 LCP327693 LML327693 LWH327693 MGD327693 MPZ327693 MZV327693 NJR327693 NTN327693 ODJ327693 ONF327693 OXB327693 PGX327693 PQT327693 QAP327693 QKL327693 QUH327693 RED327693 RNZ327693 RXV327693 SHR327693 SRN327693 TBJ327693 TLF327693 TVB327693 UEX327693 UOT327693 UYP327693 VIL327693 VSH327693 WCD327693 WLZ327693 WVV327693 N393229 JJ393229 TF393229 ADB393229 AMX393229 AWT393229 BGP393229 BQL393229 CAH393229 CKD393229 CTZ393229 DDV393229 DNR393229 DXN393229 EHJ393229 ERF393229 FBB393229 FKX393229 FUT393229 GEP393229 GOL393229 GYH393229 HID393229 HRZ393229 IBV393229 ILR393229 IVN393229 JFJ393229 JPF393229 JZB393229 KIX393229 KST393229 LCP393229 LML393229 LWH393229 MGD393229 MPZ393229 MZV393229 NJR393229 NTN393229 ODJ393229 ONF393229 OXB393229 PGX393229 PQT393229 QAP393229 QKL393229 QUH393229 RED393229 RNZ393229 RXV393229 SHR393229 SRN393229 TBJ393229 TLF393229 TVB393229 UEX393229 UOT393229 UYP393229 VIL393229 VSH393229 WCD393229 WLZ393229 WVV393229 N458765 JJ458765 TF458765 ADB458765 AMX458765 AWT458765 BGP458765 BQL458765 CAH458765 CKD458765 CTZ458765 DDV458765 DNR458765 DXN458765 EHJ458765 ERF458765 FBB458765 FKX458765 FUT458765 GEP458765 GOL458765 GYH458765 HID458765 HRZ458765 IBV458765 ILR458765 IVN458765 JFJ458765 JPF458765 JZB458765 KIX458765 KST458765 LCP458765 LML458765 LWH458765 MGD458765 MPZ458765 MZV458765 NJR458765 NTN458765 ODJ458765 ONF458765 OXB458765 PGX458765 PQT458765 QAP458765 QKL458765 QUH458765 RED458765 RNZ458765 RXV458765 SHR458765 SRN458765 TBJ458765 TLF458765 TVB458765 UEX458765 UOT458765 UYP458765 VIL458765 VSH458765 WCD458765 WLZ458765 WVV458765 N524301 JJ524301 TF524301 ADB524301 AMX524301 AWT524301 BGP524301 BQL524301 CAH524301 CKD524301 CTZ524301 DDV524301 DNR524301 DXN524301 EHJ524301 ERF524301 FBB524301 FKX524301 FUT524301 GEP524301 GOL524301 GYH524301 HID524301 HRZ524301 IBV524301 ILR524301 IVN524301 JFJ524301 JPF524301 JZB524301 KIX524301 KST524301 LCP524301 LML524301 LWH524301 MGD524301 MPZ524301 MZV524301 NJR524301 NTN524301 ODJ524301 ONF524301 OXB524301 PGX524301 PQT524301 QAP524301 QKL524301 QUH524301 RED524301 RNZ524301 RXV524301 SHR524301 SRN524301 TBJ524301 TLF524301 TVB524301 UEX524301 UOT524301 UYP524301 VIL524301 VSH524301 WCD524301 WLZ524301 WVV524301 N589837 JJ589837 TF589837 ADB589837 AMX589837 AWT589837 BGP589837 BQL589837 CAH589837 CKD589837 CTZ589837 DDV589837 DNR589837 DXN589837 EHJ589837 ERF589837 FBB589837 FKX589837 FUT589837 GEP589837 GOL589837 GYH589837 HID589837 HRZ589837 IBV589837 ILR589837 IVN589837 JFJ589837 JPF589837 JZB589837 KIX589837 KST589837 LCP589837 LML589837 LWH589837 MGD589837 MPZ589837 MZV589837 NJR589837 NTN589837 ODJ589837 ONF589837 OXB589837 PGX589837 PQT589837 QAP589837 QKL589837 QUH589837 RED589837 RNZ589837 RXV589837 SHR589837 SRN589837 TBJ589837 TLF589837 TVB589837 UEX589837 UOT589837 UYP589837 VIL589837 VSH589837 WCD589837 WLZ589837 WVV589837 N655373 JJ655373 TF655373 ADB655373 AMX655373 AWT655373 BGP655373 BQL655373 CAH655373 CKD655373 CTZ655373 DDV655373 DNR655373 DXN655373 EHJ655373 ERF655373 FBB655373 FKX655373 FUT655373 GEP655373 GOL655373 GYH655373 HID655373 HRZ655373 IBV655373 ILR655373 IVN655373 JFJ655373 JPF655373 JZB655373 KIX655373 KST655373 LCP655373 LML655373 LWH655373 MGD655373 MPZ655373 MZV655373 NJR655373 NTN655373 ODJ655373 ONF655373 OXB655373 PGX655373 PQT655373 QAP655373 QKL655373 QUH655373 RED655373 RNZ655373 RXV655373 SHR655373 SRN655373 TBJ655373 TLF655373 TVB655373 UEX655373 UOT655373 UYP655373 VIL655373 VSH655373 WCD655373 WLZ655373 WVV655373 N720909 JJ720909 TF720909 ADB720909 AMX720909 AWT720909 BGP720909 BQL720909 CAH720909 CKD720909 CTZ720909 DDV720909 DNR720909 DXN720909 EHJ720909 ERF720909 FBB720909 FKX720909 FUT720909 GEP720909 GOL720909 GYH720909 HID720909 HRZ720909 IBV720909 ILR720909 IVN720909 JFJ720909 JPF720909 JZB720909 KIX720909 KST720909 LCP720909 LML720909 LWH720909 MGD720909 MPZ720909 MZV720909 NJR720909 NTN720909 ODJ720909 ONF720909 OXB720909 PGX720909 PQT720909 QAP720909 QKL720909 QUH720909 RED720909 RNZ720909 RXV720909 SHR720909 SRN720909 TBJ720909 TLF720909 TVB720909 UEX720909 UOT720909 UYP720909 VIL720909 VSH720909 WCD720909 WLZ720909 WVV720909 N786445 JJ786445 TF786445 ADB786445 AMX786445 AWT786445 BGP786445 BQL786445 CAH786445 CKD786445 CTZ786445 DDV786445 DNR786445 DXN786445 EHJ786445 ERF786445 FBB786445 FKX786445 FUT786445 GEP786445 GOL786445 GYH786445 HID786445 HRZ786445 IBV786445 ILR786445 IVN786445 JFJ786445 JPF786445 JZB786445 KIX786445 KST786445 LCP786445 LML786445 LWH786445 MGD786445 MPZ786445 MZV786445 NJR786445 NTN786445 ODJ786445 ONF786445 OXB786445 PGX786445 PQT786445 QAP786445 QKL786445 QUH786445 RED786445 RNZ786445 RXV786445 SHR786445 SRN786445 TBJ786445 TLF786445 TVB786445 UEX786445 UOT786445 UYP786445 VIL786445 VSH786445 WCD786445 WLZ786445 WVV786445 N851981 JJ851981 TF851981 ADB851981 AMX851981 AWT851981 BGP851981 BQL851981 CAH851981 CKD851981 CTZ851981 DDV851981 DNR851981 DXN851981 EHJ851981 ERF851981 FBB851981 FKX851981 FUT851981 GEP851981 GOL851981 GYH851981 HID851981 HRZ851981 IBV851981 ILR851981 IVN851981 JFJ851981 JPF851981 JZB851981 KIX851981 KST851981 LCP851981 LML851981 LWH851981 MGD851981 MPZ851981 MZV851981 NJR851981 NTN851981 ODJ851981 ONF851981 OXB851981 PGX851981 PQT851981 QAP851981 QKL851981 QUH851981 RED851981 RNZ851981 RXV851981 SHR851981 SRN851981 TBJ851981 TLF851981 TVB851981 UEX851981 UOT851981 UYP851981 VIL851981 VSH851981 WCD851981 WLZ851981 WVV851981 N917517 JJ917517 TF917517 ADB917517 AMX917517 AWT917517 BGP917517 BQL917517 CAH917517 CKD917517 CTZ917517 DDV917517 DNR917517 DXN917517 EHJ917517 ERF917517 FBB917517 FKX917517 FUT917517 GEP917517 GOL917517 GYH917517 HID917517 HRZ917517 IBV917517 ILR917517 IVN917517 JFJ917517 JPF917517 JZB917517 KIX917517 KST917517 LCP917517 LML917517 LWH917517 MGD917517 MPZ917517 MZV917517 NJR917517 NTN917517 ODJ917517 ONF917517 OXB917517 PGX917517 PQT917517 QAP917517 QKL917517 QUH917517 RED917517 RNZ917517 RXV917517 SHR917517 SRN917517 TBJ917517 TLF917517 TVB917517 UEX917517 UOT917517 UYP917517 VIL917517 VSH917517 WCD917517 WLZ917517 WVV917517 N983053 JJ983053 TF983053 ADB983053 AMX983053 AWT983053 BGP983053 BQL983053 CAH983053 CKD983053 CTZ983053 DDV983053 DNR983053 DXN983053 EHJ983053 ERF983053 FBB983053 FKX983053 FUT983053 GEP983053 GOL983053 GYH983053 HID983053 HRZ983053 IBV983053 ILR983053 IVN983053 JFJ983053 JPF983053 JZB983053 KIX983053 KST983053 LCP983053 LML983053 LWH983053 MGD983053 MPZ983053 MZV983053 NJR983053 NTN983053 ODJ983053 ONF983053 OXB983053 PGX983053 PQT983053 QAP983053 QKL983053 QUH983053 RED983053 RNZ983053 RXV983053 SHR983053 SRN983053 TBJ983053 TLF983053 TVB983053 UEX983053 UOT983053 UYP983053 VIL983053 VSH983053 WCD983053 WLZ983053 WVV983053" xr:uid="{00000000-0002-0000-0200-000008000000}"/>
    <dataValidation allowBlank="1" showInputMessage="1" showErrorMessage="1" promptTitle="S T Deposit with Discount House" prompt="Interest earning Calls &amp; short term deposits with discount houses. Example Gold Coast Securities Fixed deposit, Dalex Investment etc. " sqref="N15 JJ15 TF15 ADB15 AMX15 AWT15 BGP15 BQL15 CAH15 CKD15 CTZ15 DDV15 DNR15 DXN15 EHJ15 ERF15 FBB15 FKX15 FUT15 GEP15 GOL15 GYH15 HID15 HRZ15 IBV15 ILR15 IVN15 JFJ15 JPF15 JZB15 KIX15 KST15 LCP15 LML15 LWH15 MGD15 MPZ15 MZV15 NJR15 NTN15 ODJ15 ONF15 OXB15 PGX15 PQT15 QAP15 QKL15 QUH15 RED15 RNZ15 RXV15 SHR15 SRN15 TBJ15 TLF15 TVB15 UEX15 UOT15 UYP15 VIL15 VSH15 WCD15 WLZ15 WVV15 N65551 JJ65551 TF65551 ADB65551 AMX65551 AWT65551 BGP65551 BQL65551 CAH65551 CKD65551 CTZ65551 DDV65551 DNR65551 DXN65551 EHJ65551 ERF65551 FBB65551 FKX65551 FUT65551 GEP65551 GOL65551 GYH65551 HID65551 HRZ65551 IBV65551 ILR65551 IVN65551 JFJ65551 JPF65551 JZB65551 KIX65551 KST65551 LCP65551 LML65551 LWH65551 MGD65551 MPZ65551 MZV65551 NJR65551 NTN65551 ODJ65551 ONF65551 OXB65551 PGX65551 PQT65551 QAP65551 QKL65551 QUH65551 RED65551 RNZ65551 RXV65551 SHR65551 SRN65551 TBJ65551 TLF65551 TVB65551 UEX65551 UOT65551 UYP65551 VIL65551 VSH65551 WCD65551 WLZ65551 WVV65551 N131087 JJ131087 TF131087 ADB131087 AMX131087 AWT131087 BGP131087 BQL131087 CAH131087 CKD131087 CTZ131087 DDV131087 DNR131087 DXN131087 EHJ131087 ERF131087 FBB131087 FKX131087 FUT131087 GEP131087 GOL131087 GYH131087 HID131087 HRZ131087 IBV131087 ILR131087 IVN131087 JFJ131087 JPF131087 JZB131087 KIX131087 KST131087 LCP131087 LML131087 LWH131087 MGD131087 MPZ131087 MZV131087 NJR131087 NTN131087 ODJ131087 ONF131087 OXB131087 PGX131087 PQT131087 QAP131087 QKL131087 QUH131087 RED131087 RNZ131087 RXV131087 SHR131087 SRN131087 TBJ131087 TLF131087 TVB131087 UEX131087 UOT131087 UYP131087 VIL131087 VSH131087 WCD131087 WLZ131087 WVV131087 N196623 JJ196623 TF196623 ADB196623 AMX196623 AWT196623 BGP196623 BQL196623 CAH196623 CKD196623 CTZ196623 DDV196623 DNR196623 DXN196623 EHJ196623 ERF196623 FBB196623 FKX196623 FUT196623 GEP196623 GOL196623 GYH196623 HID196623 HRZ196623 IBV196623 ILR196623 IVN196623 JFJ196623 JPF196623 JZB196623 KIX196623 KST196623 LCP196623 LML196623 LWH196623 MGD196623 MPZ196623 MZV196623 NJR196623 NTN196623 ODJ196623 ONF196623 OXB196623 PGX196623 PQT196623 QAP196623 QKL196623 QUH196623 RED196623 RNZ196623 RXV196623 SHR196623 SRN196623 TBJ196623 TLF196623 TVB196623 UEX196623 UOT196623 UYP196623 VIL196623 VSH196623 WCD196623 WLZ196623 WVV196623 N262159 JJ262159 TF262159 ADB262159 AMX262159 AWT262159 BGP262159 BQL262159 CAH262159 CKD262159 CTZ262159 DDV262159 DNR262159 DXN262159 EHJ262159 ERF262159 FBB262159 FKX262159 FUT262159 GEP262159 GOL262159 GYH262159 HID262159 HRZ262159 IBV262159 ILR262159 IVN262159 JFJ262159 JPF262159 JZB262159 KIX262159 KST262159 LCP262159 LML262159 LWH262159 MGD262159 MPZ262159 MZV262159 NJR262159 NTN262159 ODJ262159 ONF262159 OXB262159 PGX262159 PQT262159 QAP262159 QKL262159 QUH262159 RED262159 RNZ262159 RXV262159 SHR262159 SRN262159 TBJ262159 TLF262159 TVB262159 UEX262159 UOT262159 UYP262159 VIL262159 VSH262159 WCD262159 WLZ262159 WVV262159 N327695 JJ327695 TF327695 ADB327695 AMX327695 AWT327695 BGP327695 BQL327695 CAH327695 CKD327695 CTZ327695 DDV327695 DNR327695 DXN327695 EHJ327695 ERF327695 FBB327695 FKX327695 FUT327695 GEP327695 GOL327695 GYH327695 HID327695 HRZ327695 IBV327695 ILR327695 IVN327695 JFJ327695 JPF327695 JZB327695 KIX327695 KST327695 LCP327695 LML327695 LWH327695 MGD327695 MPZ327695 MZV327695 NJR327695 NTN327695 ODJ327695 ONF327695 OXB327695 PGX327695 PQT327695 QAP327695 QKL327695 QUH327695 RED327695 RNZ327695 RXV327695 SHR327695 SRN327695 TBJ327695 TLF327695 TVB327695 UEX327695 UOT327695 UYP327695 VIL327695 VSH327695 WCD327695 WLZ327695 WVV327695 N393231 JJ393231 TF393231 ADB393231 AMX393231 AWT393231 BGP393231 BQL393231 CAH393231 CKD393231 CTZ393231 DDV393231 DNR393231 DXN393231 EHJ393231 ERF393231 FBB393231 FKX393231 FUT393231 GEP393231 GOL393231 GYH393231 HID393231 HRZ393231 IBV393231 ILR393231 IVN393231 JFJ393231 JPF393231 JZB393231 KIX393231 KST393231 LCP393231 LML393231 LWH393231 MGD393231 MPZ393231 MZV393231 NJR393231 NTN393231 ODJ393231 ONF393231 OXB393231 PGX393231 PQT393231 QAP393231 QKL393231 QUH393231 RED393231 RNZ393231 RXV393231 SHR393231 SRN393231 TBJ393231 TLF393231 TVB393231 UEX393231 UOT393231 UYP393231 VIL393231 VSH393231 WCD393231 WLZ393231 WVV393231 N458767 JJ458767 TF458767 ADB458767 AMX458767 AWT458767 BGP458767 BQL458767 CAH458767 CKD458767 CTZ458767 DDV458767 DNR458767 DXN458767 EHJ458767 ERF458767 FBB458767 FKX458767 FUT458767 GEP458767 GOL458767 GYH458767 HID458767 HRZ458767 IBV458767 ILR458767 IVN458767 JFJ458767 JPF458767 JZB458767 KIX458767 KST458767 LCP458767 LML458767 LWH458767 MGD458767 MPZ458767 MZV458767 NJR458767 NTN458767 ODJ458767 ONF458767 OXB458767 PGX458767 PQT458767 QAP458767 QKL458767 QUH458767 RED458767 RNZ458767 RXV458767 SHR458767 SRN458767 TBJ458767 TLF458767 TVB458767 UEX458767 UOT458767 UYP458767 VIL458767 VSH458767 WCD458767 WLZ458767 WVV458767 N524303 JJ524303 TF524303 ADB524303 AMX524303 AWT524303 BGP524303 BQL524303 CAH524303 CKD524303 CTZ524303 DDV524303 DNR524303 DXN524303 EHJ524303 ERF524303 FBB524303 FKX524303 FUT524303 GEP524303 GOL524303 GYH524303 HID524303 HRZ524303 IBV524303 ILR524303 IVN524303 JFJ524303 JPF524303 JZB524303 KIX524303 KST524303 LCP524303 LML524303 LWH524303 MGD524303 MPZ524303 MZV524303 NJR524303 NTN524303 ODJ524303 ONF524303 OXB524303 PGX524303 PQT524303 QAP524303 QKL524303 QUH524303 RED524303 RNZ524303 RXV524303 SHR524303 SRN524303 TBJ524303 TLF524303 TVB524303 UEX524303 UOT524303 UYP524303 VIL524303 VSH524303 WCD524303 WLZ524303 WVV524303 N589839 JJ589839 TF589839 ADB589839 AMX589839 AWT589839 BGP589839 BQL589839 CAH589839 CKD589839 CTZ589839 DDV589839 DNR589839 DXN589839 EHJ589839 ERF589839 FBB589839 FKX589839 FUT589839 GEP589839 GOL589839 GYH589839 HID589839 HRZ589839 IBV589839 ILR589839 IVN589839 JFJ589839 JPF589839 JZB589839 KIX589839 KST589839 LCP589839 LML589839 LWH589839 MGD589839 MPZ589839 MZV589839 NJR589839 NTN589839 ODJ589839 ONF589839 OXB589839 PGX589839 PQT589839 QAP589839 QKL589839 QUH589839 RED589839 RNZ589839 RXV589839 SHR589839 SRN589839 TBJ589839 TLF589839 TVB589839 UEX589839 UOT589839 UYP589839 VIL589839 VSH589839 WCD589839 WLZ589839 WVV589839 N655375 JJ655375 TF655375 ADB655375 AMX655375 AWT655375 BGP655375 BQL655375 CAH655375 CKD655375 CTZ655375 DDV655375 DNR655375 DXN655375 EHJ655375 ERF655375 FBB655375 FKX655375 FUT655375 GEP655375 GOL655375 GYH655375 HID655375 HRZ655375 IBV655375 ILR655375 IVN655375 JFJ655375 JPF655375 JZB655375 KIX655375 KST655375 LCP655375 LML655375 LWH655375 MGD655375 MPZ655375 MZV655375 NJR655375 NTN655375 ODJ655375 ONF655375 OXB655375 PGX655375 PQT655375 QAP655375 QKL655375 QUH655375 RED655375 RNZ655375 RXV655375 SHR655375 SRN655375 TBJ655375 TLF655375 TVB655375 UEX655375 UOT655375 UYP655375 VIL655375 VSH655375 WCD655375 WLZ655375 WVV655375 N720911 JJ720911 TF720911 ADB720911 AMX720911 AWT720911 BGP720911 BQL720911 CAH720911 CKD720911 CTZ720911 DDV720911 DNR720911 DXN720911 EHJ720911 ERF720911 FBB720911 FKX720911 FUT720911 GEP720911 GOL720911 GYH720911 HID720911 HRZ720911 IBV720911 ILR720911 IVN720911 JFJ720911 JPF720911 JZB720911 KIX720911 KST720911 LCP720911 LML720911 LWH720911 MGD720911 MPZ720911 MZV720911 NJR720911 NTN720911 ODJ720911 ONF720911 OXB720911 PGX720911 PQT720911 QAP720911 QKL720911 QUH720911 RED720911 RNZ720911 RXV720911 SHR720911 SRN720911 TBJ720911 TLF720911 TVB720911 UEX720911 UOT720911 UYP720911 VIL720911 VSH720911 WCD720911 WLZ720911 WVV720911 N786447 JJ786447 TF786447 ADB786447 AMX786447 AWT786447 BGP786447 BQL786447 CAH786447 CKD786447 CTZ786447 DDV786447 DNR786447 DXN786447 EHJ786447 ERF786447 FBB786447 FKX786447 FUT786447 GEP786447 GOL786447 GYH786447 HID786447 HRZ786447 IBV786447 ILR786447 IVN786447 JFJ786447 JPF786447 JZB786447 KIX786447 KST786447 LCP786447 LML786447 LWH786447 MGD786447 MPZ786447 MZV786447 NJR786447 NTN786447 ODJ786447 ONF786447 OXB786447 PGX786447 PQT786447 QAP786447 QKL786447 QUH786447 RED786447 RNZ786447 RXV786447 SHR786447 SRN786447 TBJ786447 TLF786447 TVB786447 UEX786447 UOT786447 UYP786447 VIL786447 VSH786447 WCD786447 WLZ786447 WVV786447 N851983 JJ851983 TF851983 ADB851983 AMX851983 AWT851983 BGP851983 BQL851983 CAH851983 CKD851983 CTZ851983 DDV851983 DNR851983 DXN851983 EHJ851983 ERF851983 FBB851983 FKX851983 FUT851983 GEP851983 GOL851983 GYH851983 HID851983 HRZ851983 IBV851983 ILR851983 IVN851983 JFJ851983 JPF851983 JZB851983 KIX851983 KST851983 LCP851983 LML851983 LWH851983 MGD851983 MPZ851983 MZV851983 NJR851983 NTN851983 ODJ851983 ONF851983 OXB851983 PGX851983 PQT851983 QAP851983 QKL851983 QUH851983 RED851983 RNZ851983 RXV851983 SHR851983 SRN851983 TBJ851983 TLF851983 TVB851983 UEX851983 UOT851983 UYP851983 VIL851983 VSH851983 WCD851983 WLZ851983 WVV851983 N917519 JJ917519 TF917519 ADB917519 AMX917519 AWT917519 BGP917519 BQL917519 CAH917519 CKD917519 CTZ917519 DDV917519 DNR917519 DXN917519 EHJ917519 ERF917519 FBB917519 FKX917519 FUT917519 GEP917519 GOL917519 GYH917519 HID917519 HRZ917519 IBV917519 ILR917519 IVN917519 JFJ917519 JPF917519 JZB917519 KIX917519 KST917519 LCP917519 LML917519 LWH917519 MGD917519 MPZ917519 MZV917519 NJR917519 NTN917519 ODJ917519 ONF917519 OXB917519 PGX917519 PQT917519 QAP917519 QKL917519 QUH917519 RED917519 RNZ917519 RXV917519 SHR917519 SRN917519 TBJ917519 TLF917519 TVB917519 UEX917519 UOT917519 UYP917519 VIL917519 VSH917519 WCD917519 WLZ917519 WVV917519 N983055 JJ983055 TF983055 ADB983055 AMX983055 AWT983055 BGP983055 BQL983055 CAH983055 CKD983055 CTZ983055 DDV983055 DNR983055 DXN983055 EHJ983055 ERF983055 FBB983055 FKX983055 FUT983055 GEP983055 GOL983055 GYH983055 HID983055 HRZ983055 IBV983055 ILR983055 IVN983055 JFJ983055 JPF983055 JZB983055 KIX983055 KST983055 LCP983055 LML983055 LWH983055 MGD983055 MPZ983055 MZV983055 NJR983055 NTN983055 ODJ983055 ONF983055 OXB983055 PGX983055 PQT983055 QAP983055 QKL983055 QUH983055 RED983055 RNZ983055 RXV983055 SHR983055 SRN983055 TBJ983055 TLF983055 TVB983055 UEX983055 UOT983055 UYP983055 VIL983055 VSH983055 WCD983055 WLZ983055 WVV983055" xr:uid="{00000000-0002-0000-0200-000009000000}"/>
    <dataValidation allowBlank="1" showInputMessage="1" showErrorMessage="1" promptTitle="Other Current Asset" prompt="All items under Other Current asset" sqref="N95 JJ95 TF95 ADB95 AMX95 AWT95 BGP95 BQL95 CAH95 CKD95 CTZ95 DDV95 DNR95 DXN95 EHJ95 ERF95 FBB95 FKX95 FUT95 GEP95 GOL95 GYH95 HID95 HRZ95 IBV95 ILR95 IVN95 JFJ95 JPF95 JZB95 KIX95 KST95 LCP95 LML95 LWH95 MGD95 MPZ95 MZV95 NJR95 NTN95 ODJ95 ONF95 OXB95 PGX95 PQT95 QAP95 QKL95 QUH95 RED95 RNZ95 RXV95 SHR95 SRN95 TBJ95 TLF95 TVB95 UEX95 UOT95 UYP95 VIL95 VSH95 WCD95 WLZ95 WVV95 N65631 JJ65631 TF65631 ADB65631 AMX65631 AWT65631 BGP65631 BQL65631 CAH65631 CKD65631 CTZ65631 DDV65631 DNR65631 DXN65631 EHJ65631 ERF65631 FBB65631 FKX65631 FUT65631 GEP65631 GOL65631 GYH65631 HID65631 HRZ65631 IBV65631 ILR65631 IVN65631 JFJ65631 JPF65631 JZB65631 KIX65631 KST65631 LCP65631 LML65631 LWH65631 MGD65631 MPZ65631 MZV65631 NJR65631 NTN65631 ODJ65631 ONF65631 OXB65631 PGX65631 PQT65631 QAP65631 QKL65631 QUH65631 RED65631 RNZ65631 RXV65631 SHR65631 SRN65631 TBJ65631 TLF65631 TVB65631 UEX65631 UOT65631 UYP65631 VIL65631 VSH65631 WCD65631 WLZ65631 WVV65631 N131167 JJ131167 TF131167 ADB131167 AMX131167 AWT131167 BGP131167 BQL131167 CAH131167 CKD131167 CTZ131167 DDV131167 DNR131167 DXN131167 EHJ131167 ERF131167 FBB131167 FKX131167 FUT131167 GEP131167 GOL131167 GYH131167 HID131167 HRZ131167 IBV131167 ILR131167 IVN131167 JFJ131167 JPF131167 JZB131167 KIX131167 KST131167 LCP131167 LML131167 LWH131167 MGD131167 MPZ131167 MZV131167 NJR131167 NTN131167 ODJ131167 ONF131167 OXB131167 PGX131167 PQT131167 QAP131167 QKL131167 QUH131167 RED131167 RNZ131167 RXV131167 SHR131167 SRN131167 TBJ131167 TLF131167 TVB131167 UEX131167 UOT131167 UYP131167 VIL131167 VSH131167 WCD131167 WLZ131167 WVV131167 N196703 JJ196703 TF196703 ADB196703 AMX196703 AWT196703 BGP196703 BQL196703 CAH196703 CKD196703 CTZ196703 DDV196703 DNR196703 DXN196703 EHJ196703 ERF196703 FBB196703 FKX196703 FUT196703 GEP196703 GOL196703 GYH196703 HID196703 HRZ196703 IBV196703 ILR196703 IVN196703 JFJ196703 JPF196703 JZB196703 KIX196703 KST196703 LCP196703 LML196703 LWH196703 MGD196703 MPZ196703 MZV196703 NJR196703 NTN196703 ODJ196703 ONF196703 OXB196703 PGX196703 PQT196703 QAP196703 QKL196703 QUH196703 RED196703 RNZ196703 RXV196703 SHR196703 SRN196703 TBJ196703 TLF196703 TVB196703 UEX196703 UOT196703 UYP196703 VIL196703 VSH196703 WCD196703 WLZ196703 WVV196703 N262239 JJ262239 TF262239 ADB262239 AMX262239 AWT262239 BGP262239 BQL262239 CAH262239 CKD262239 CTZ262239 DDV262239 DNR262239 DXN262239 EHJ262239 ERF262239 FBB262239 FKX262239 FUT262239 GEP262239 GOL262239 GYH262239 HID262239 HRZ262239 IBV262239 ILR262239 IVN262239 JFJ262239 JPF262239 JZB262239 KIX262239 KST262239 LCP262239 LML262239 LWH262239 MGD262239 MPZ262239 MZV262239 NJR262239 NTN262239 ODJ262239 ONF262239 OXB262239 PGX262239 PQT262239 QAP262239 QKL262239 QUH262239 RED262239 RNZ262239 RXV262239 SHR262239 SRN262239 TBJ262239 TLF262239 TVB262239 UEX262239 UOT262239 UYP262239 VIL262239 VSH262239 WCD262239 WLZ262239 WVV262239 N327775 JJ327775 TF327775 ADB327775 AMX327775 AWT327775 BGP327775 BQL327775 CAH327775 CKD327775 CTZ327775 DDV327775 DNR327775 DXN327775 EHJ327775 ERF327775 FBB327775 FKX327775 FUT327775 GEP327775 GOL327775 GYH327775 HID327775 HRZ327775 IBV327775 ILR327775 IVN327775 JFJ327775 JPF327775 JZB327775 KIX327775 KST327775 LCP327775 LML327775 LWH327775 MGD327775 MPZ327775 MZV327775 NJR327775 NTN327775 ODJ327775 ONF327775 OXB327775 PGX327775 PQT327775 QAP327775 QKL327775 QUH327775 RED327775 RNZ327775 RXV327775 SHR327775 SRN327775 TBJ327775 TLF327775 TVB327775 UEX327775 UOT327775 UYP327775 VIL327775 VSH327775 WCD327775 WLZ327775 WVV327775 N393311 JJ393311 TF393311 ADB393311 AMX393311 AWT393311 BGP393311 BQL393311 CAH393311 CKD393311 CTZ393311 DDV393311 DNR393311 DXN393311 EHJ393311 ERF393311 FBB393311 FKX393311 FUT393311 GEP393311 GOL393311 GYH393311 HID393311 HRZ393311 IBV393311 ILR393311 IVN393311 JFJ393311 JPF393311 JZB393311 KIX393311 KST393311 LCP393311 LML393311 LWH393311 MGD393311 MPZ393311 MZV393311 NJR393311 NTN393311 ODJ393311 ONF393311 OXB393311 PGX393311 PQT393311 QAP393311 QKL393311 QUH393311 RED393311 RNZ393311 RXV393311 SHR393311 SRN393311 TBJ393311 TLF393311 TVB393311 UEX393311 UOT393311 UYP393311 VIL393311 VSH393311 WCD393311 WLZ393311 WVV393311 N458847 JJ458847 TF458847 ADB458847 AMX458847 AWT458847 BGP458847 BQL458847 CAH458847 CKD458847 CTZ458847 DDV458847 DNR458847 DXN458847 EHJ458847 ERF458847 FBB458847 FKX458847 FUT458847 GEP458847 GOL458847 GYH458847 HID458847 HRZ458847 IBV458847 ILR458847 IVN458847 JFJ458847 JPF458847 JZB458847 KIX458847 KST458847 LCP458847 LML458847 LWH458847 MGD458847 MPZ458847 MZV458847 NJR458847 NTN458847 ODJ458847 ONF458847 OXB458847 PGX458847 PQT458847 QAP458847 QKL458847 QUH458847 RED458847 RNZ458847 RXV458847 SHR458847 SRN458847 TBJ458847 TLF458847 TVB458847 UEX458847 UOT458847 UYP458847 VIL458847 VSH458847 WCD458847 WLZ458847 WVV458847 N524383 JJ524383 TF524383 ADB524383 AMX524383 AWT524383 BGP524383 BQL524383 CAH524383 CKD524383 CTZ524383 DDV524383 DNR524383 DXN524383 EHJ524383 ERF524383 FBB524383 FKX524383 FUT524383 GEP524383 GOL524383 GYH524383 HID524383 HRZ524383 IBV524383 ILR524383 IVN524383 JFJ524383 JPF524383 JZB524383 KIX524383 KST524383 LCP524383 LML524383 LWH524383 MGD524383 MPZ524383 MZV524383 NJR524383 NTN524383 ODJ524383 ONF524383 OXB524383 PGX524383 PQT524383 QAP524383 QKL524383 QUH524383 RED524383 RNZ524383 RXV524383 SHR524383 SRN524383 TBJ524383 TLF524383 TVB524383 UEX524383 UOT524383 UYP524383 VIL524383 VSH524383 WCD524383 WLZ524383 WVV524383 N589919 JJ589919 TF589919 ADB589919 AMX589919 AWT589919 BGP589919 BQL589919 CAH589919 CKD589919 CTZ589919 DDV589919 DNR589919 DXN589919 EHJ589919 ERF589919 FBB589919 FKX589919 FUT589919 GEP589919 GOL589919 GYH589919 HID589919 HRZ589919 IBV589919 ILR589919 IVN589919 JFJ589919 JPF589919 JZB589919 KIX589919 KST589919 LCP589919 LML589919 LWH589919 MGD589919 MPZ589919 MZV589919 NJR589919 NTN589919 ODJ589919 ONF589919 OXB589919 PGX589919 PQT589919 QAP589919 QKL589919 QUH589919 RED589919 RNZ589919 RXV589919 SHR589919 SRN589919 TBJ589919 TLF589919 TVB589919 UEX589919 UOT589919 UYP589919 VIL589919 VSH589919 WCD589919 WLZ589919 WVV589919 N655455 JJ655455 TF655455 ADB655455 AMX655455 AWT655455 BGP655455 BQL655455 CAH655455 CKD655455 CTZ655455 DDV655455 DNR655455 DXN655455 EHJ655455 ERF655455 FBB655455 FKX655455 FUT655455 GEP655455 GOL655455 GYH655455 HID655455 HRZ655455 IBV655455 ILR655455 IVN655455 JFJ655455 JPF655455 JZB655455 KIX655455 KST655455 LCP655455 LML655455 LWH655455 MGD655455 MPZ655455 MZV655455 NJR655455 NTN655455 ODJ655455 ONF655455 OXB655455 PGX655455 PQT655455 QAP655455 QKL655455 QUH655455 RED655455 RNZ655455 RXV655455 SHR655455 SRN655455 TBJ655455 TLF655455 TVB655455 UEX655455 UOT655455 UYP655455 VIL655455 VSH655455 WCD655455 WLZ655455 WVV655455 N720991 JJ720991 TF720991 ADB720991 AMX720991 AWT720991 BGP720991 BQL720991 CAH720991 CKD720991 CTZ720991 DDV720991 DNR720991 DXN720991 EHJ720991 ERF720991 FBB720991 FKX720991 FUT720991 GEP720991 GOL720991 GYH720991 HID720991 HRZ720991 IBV720991 ILR720991 IVN720991 JFJ720991 JPF720991 JZB720991 KIX720991 KST720991 LCP720991 LML720991 LWH720991 MGD720991 MPZ720991 MZV720991 NJR720991 NTN720991 ODJ720991 ONF720991 OXB720991 PGX720991 PQT720991 QAP720991 QKL720991 QUH720991 RED720991 RNZ720991 RXV720991 SHR720991 SRN720991 TBJ720991 TLF720991 TVB720991 UEX720991 UOT720991 UYP720991 VIL720991 VSH720991 WCD720991 WLZ720991 WVV720991 N786527 JJ786527 TF786527 ADB786527 AMX786527 AWT786527 BGP786527 BQL786527 CAH786527 CKD786527 CTZ786527 DDV786527 DNR786527 DXN786527 EHJ786527 ERF786527 FBB786527 FKX786527 FUT786527 GEP786527 GOL786527 GYH786527 HID786527 HRZ786527 IBV786527 ILR786527 IVN786527 JFJ786527 JPF786527 JZB786527 KIX786527 KST786527 LCP786527 LML786527 LWH786527 MGD786527 MPZ786527 MZV786527 NJR786527 NTN786527 ODJ786527 ONF786527 OXB786527 PGX786527 PQT786527 QAP786527 QKL786527 QUH786527 RED786527 RNZ786527 RXV786527 SHR786527 SRN786527 TBJ786527 TLF786527 TVB786527 UEX786527 UOT786527 UYP786527 VIL786527 VSH786527 WCD786527 WLZ786527 WVV786527 N852063 JJ852063 TF852063 ADB852063 AMX852063 AWT852063 BGP852063 BQL852063 CAH852063 CKD852063 CTZ852063 DDV852063 DNR852063 DXN852063 EHJ852063 ERF852063 FBB852063 FKX852063 FUT852063 GEP852063 GOL852063 GYH852063 HID852063 HRZ852063 IBV852063 ILR852063 IVN852063 JFJ852063 JPF852063 JZB852063 KIX852063 KST852063 LCP852063 LML852063 LWH852063 MGD852063 MPZ852063 MZV852063 NJR852063 NTN852063 ODJ852063 ONF852063 OXB852063 PGX852063 PQT852063 QAP852063 QKL852063 QUH852063 RED852063 RNZ852063 RXV852063 SHR852063 SRN852063 TBJ852063 TLF852063 TVB852063 UEX852063 UOT852063 UYP852063 VIL852063 VSH852063 WCD852063 WLZ852063 WVV852063 N917599 JJ917599 TF917599 ADB917599 AMX917599 AWT917599 BGP917599 BQL917599 CAH917599 CKD917599 CTZ917599 DDV917599 DNR917599 DXN917599 EHJ917599 ERF917599 FBB917599 FKX917599 FUT917599 GEP917599 GOL917599 GYH917599 HID917599 HRZ917599 IBV917599 ILR917599 IVN917599 JFJ917599 JPF917599 JZB917599 KIX917599 KST917599 LCP917599 LML917599 LWH917599 MGD917599 MPZ917599 MZV917599 NJR917599 NTN917599 ODJ917599 ONF917599 OXB917599 PGX917599 PQT917599 QAP917599 QKL917599 QUH917599 RED917599 RNZ917599 RXV917599 SHR917599 SRN917599 TBJ917599 TLF917599 TVB917599 UEX917599 UOT917599 UYP917599 VIL917599 VSH917599 WCD917599 WLZ917599 WVV917599 N983135 JJ983135 TF983135 ADB983135 AMX983135 AWT983135 BGP983135 BQL983135 CAH983135 CKD983135 CTZ983135 DDV983135 DNR983135 DXN983135 EHJ983135 ERF983135 FBB983135 FKX983135 FUT983135 GEP983135 GOL983135 GYH983135 HID983135 HRZ983135 IBV983135 ILR983135 IVN983135 JFJ983135 JPF983135 JZB983135 KIX983135 KST983135 LCP983135 LML983135 LWH983135 MGD983135 MPZ983135 MZV983135 NJR983135 NTN983135 ODJ983135 ONF983135 OXB983135 PGX983135 PQT983135 QAP983135 QKL983135 QUH983135 RED983135 RNZ983135 RXV983135 SHR983135 SRN983135 TBJ983135 TLF983135 TVB983135 UEX983135 UOT983135 UYP983135 VIL983135 VSH983135 WCD983135 WLZ983135 WVV983135" xr:uid="{00000000-0002-0000-0200-00000A000000}"/>
    <dataValidation allowBlank="1" showInputMessage="1" showErrorMessage="1" promptTitle="Gross Loans" prompt="All Loan amount at gross value" sqref="N23 JJ23 TF23 ADB23 AMX23 AWT23 BGP23 BQL23 CAH23 CKD23 CTZ23 DDV23 DNR23 DXN23 EHJ23 ERF23 FBB23 FKX23 FUT23 GEP23 GOL23 GYH23 HID23 HRZ23 IBV23 ILR23 IVN23 JFJ23 JPF23 JZB23 KIX23 KST23 LCP23 LML23 LWH23 MGD23 MPZ23 MZV23 NJR23 NTN23 ODJ23 ONF23 OXB23 PGX23 PQT23 QAP23 QKL23 QUH23 RED23 RNZ23 RXV23 SHR23 SRN23 TBJ23 TLF23 TVB23 UEX23 UOT23 UYP23 VIL23 VSH23 WCD23 WLZ23 WVV23 N65559 JJ65559 TF65559 ADB65559 AMX65559 AWT65559 BGP65559 BQL65559 CAH65559 CKD65559 CTZ65559 DDV65559 DNR65559 DXN65559 EHJ65559 ERF65559 FBB65559 FKX65559 FUT65559 GEP65559 GOL65559 GYH65559 HID65559 HRZ65559 IBV65559 ILR65559 IVN65559 JFJ65559 JPF65559 JZB65559 KIX65559 KST65559 LCP65559 LML65559 LWH65559 MGD65559 MPZ65559 MZV65559 NJR65559 NTN65559 ODJ65559 ONF65559 OXB65559 PGX65559 PQT65559 QAP65559 QKL65559 QUH65559 RED65559 RNZ65559 RXV65559 SHR65559 SRN65559 TBJ65559 TLF65559 TVB65559 UEX65559 UOT65559 UYP65559 VIL65559 VSH65559 WCD65559 WLZ65559 WVV65559 N131095 JJ131095 TF131095 ADB131095 AMX131095 AWT131095 BGP131095 BQL131095 CAH131095 CKD131095 CTZ131095 DDV131095 DNR131095 DXN131095 EHJ131095 ERF131095 FBB131095 FKX131095 FUT131095 GEP131095 GOL131095 GYH131095 HID131095 HRZ131095 IBV131095 ILR131095 IVN131095 JFJ131095 JPF131095 JZB131095 KIX131095 KST131095 LCP131095 LML131095 LWH131095 MGD131095 MPZ131095 MZV131095 NJR131095 NTN131095 ODJ131095 ONF131095 OXB131095 PGX131095 PQT131095 QAP131095 QKL131095 QUH131095 RED131095 RNZ131095 RXV131095 SHR131095 SRN131095 TBJ131095 TLF131095 TVB131095 UEX131095 UOT131095 UYP131095 VIL131095 VSH131095 WCD131095 WLZ131095 WVV131095 N196631 JJ196631 TF196631 ADB196631 AMX196631 AWT196631 BGP196631 BQL196631 CAH196631 CKD196631 CTZ196631 DDV196631 DNR196631 DXN196631 EHJ196631 ERF196631 FBB196631 FKX196631 FUT196631 GEP196631 GOL196631 GYH196631 HID196631 HRZ196631 IBV196631 ILR196631 IVN196631 JFJ196631 JPF196631 JZB196631 KIX196631 KST196631 LCP196631 LML196631 LWH196631 MGD196631 MPZ196631 MZV196631 NJR196631 NTN196631 ODJ196631 ONF196631 OXB196631 PGX196631 PQT196631 QAP196631 QKL196631 QUH196631 RED196631 RNZ196631 RXV196631 SHR196631 SRN196631 TBJ196631 TLF196631 TVB196631 UEX196631 UOT196631 UYP196631 VIL196631 VSH196631 WCD196631 WLZ196631 WVV196631 N262167 JJ262167 TF262167 ADB262167 AMX262167 AWT262167 BGP262167 BQL262167 CAH262167 CKD262167 CTZ262167 DDV262167 DNR262167 DXN262167 EHJ262167 ERF262167 FBB262167 FKX262167 FUT262167 GEP262167 GOL262167 GYH262167 HID262167 HRZ262167 IBV262167 ILR262167 IVN262167 JFJ262167 JPF262167 JZB262167 KIX262167 KST262167 LCP262167 LML262167 LWH262167 MGD262167 MPZ262167 MZV262167 NJR262167 NTN262167 ODJ262167 ONF262167 OXB262167 PGX262167 PQT262167 QAP262167 QKL262167 QUH262167 RED262167 RNZ262167 RXV262167 SHR262167 SRN262167 TBJ262167 TLF262167 TVB262167 UEX262167 UOT262167 UYP262167 VIL262167 VSH262167 WCD262167 WLZ262167 WVV262167 N327703 JJ327703 TF327703 ADB327703 AMX327703 AWT327703 BGP327703 BQL327703 CAH327703 CKD327703 CTZ327703 DDV327703 DNR327703 DXN327703 EHJ327703 ERF327703 FBB327703 FKX327703 FUT327703 GEP327703 GOL327703 GYH327703 HID327703 HRZ327703 IBV327703 ILR327703 IVN327703 JFJ327703 JPF327703 JZB327703 KIX327703 KST327703 LCP327703 LML327703 LWH327703 MGD327703 MPZ327703 MZV327703 NJR327703 NTN327703 ODJ327703 ONF327703 OXB327703 PGX327703 PQT327703 QAP327703 QKL327703 QUH327703 RED327703 RNZ327703 RXV327703 SHR327703 SRN327703 TBJ327703 TLF327703 TVB327703 UEX327703 UOT327703 UYP327703 VIL327703 VSH327703 WCD327703 WLZ327703 WVV327703 N393239 JJ393239 TF393239 ADB393239 AMX393239 AWT393239 BGP393239 BQL393239 CAH393239 CKD393239 CTZ393239 DDV393239 DNR393239 DXN393239 EHJ393239 ERF393239 FBB393239 FKX393239 FUT393239 GEP393239 GOL393239 GYH393239 HID393239 HRZ393239 IBV393239 ILR393239 IVN393239 JFJ393239 JPF393239 JZB393239 KIX393239 KST393239 LCP393239 LML393239 LWH393239 MGD393239 MPZ393239 MZV393239 NJR393239 NTN393239 ODJ393239 ONF393239 OXB393239 PGX393239 PQT393239 QAP393239 QKL393239 QUH393239 RED393239 RNZ393239 RXV393239 SHR393239 SRN393239 TBJ393239 TLF393239 TVB393239 UEX393239 UOT393239 UYP393239 VIL393239 VSH393239 WCD393239 WLZ393239 WVV393239 N458775 JJ458775 TF458775 ADB458775 AMX458775 AWT458775 BGP458775 BQL458775 CAH458775 CKD458775 CTZ458775 DDV458775 DNR458775 DXN458775 EHJ458775 ERF458775 FBB458775 FKX458775 FUT458775 GEP458775 GOL458775 GYH458775 HID458775 HRZ458775 IBV458775 ILR458775 IVN458775 JFJ458775 JPF458775 JZB458775 KIX458775 KST458775 LCP458775 LML458775 LWH458775 MGD458775 MPZ458775 MZV458775 NJR458775 NTN458775 ODJ458775 ONF458775 OXB458775 PGX458775 PQT458775 QAP458775 QKL458775 QUH458775 RED458775 RNZ458775 RXV458775 SHR458775 SRN458775 TBJ458775 TLF458775 TVB458775 UEX458775 UOT458775 UYP458775 VIL458775 VSH458775 WCD458775 WLZ458775 WVV458775 N524311 JJ524311 TF524311 ADB524311 AMX524311 AWT524311 BGP524311 BQL524311 CAH524311 CKD524311 CTZ524311 DDV524311 DNR524311 DXN524311 EHJ524311 ERF524311 FBB524311 FKX524311 FUT524311 GEP524311 GOL524311 GYH524311 HID524311 HRZ524311 IBV524311 ILR524311 IVN524311 JFJ524311 JPF524311 JZB524311 KIX524311 KST524311 LCP524311 LML524311 LWH524311 MGD524311 MPZ524311 MZV524311 NJR524311 NTN524311 ODJ524311 ONF524311 OXB524311 PGX524311 PQT524311 QAP524311 QKL524311 QUH524311 RED524311 RNZ524311 RXV524311 SHR524311 SRN524311 TBJ524311 TLF524311 TVB524311 UEX524311 UOT524311 UYP524311 VIL524311 VSH524311 WCD524311 WLZ524311 WVV524311 N589847 JJ589847 TF589847 ADB589847 AMX589847 AWT589847 BGP589847 BQL589847 CAH589847 CKD589847 CTZ589847 DDV589847 DNR589847 DXN589847 EHJ589847 ERF589847 FBB589847 FKX589847 FUT589847 GEP589847 GOL589847 GYH589847 HID589847 HRZ589847 IBV589847 ILR589847 IVN589847 JFJ589847 JPF589847 JZB589847 KIX589847 KST589847 LCP589847 LML589847 LWH589847 MGD589847 MPZ589847 MZV589847 NJR589847 NTN589847 ODJ589847 ONF589847 OXB589847 PGX589847 PQT589847 QAP589847 QKL589847 QUH589847 RED589847 RNZ589847 RXV589847 SHR589847 SRN589847 TBJ589847 TLF589847 TVB589847 UEX589847 UOT589847 UYP589847 VIL589847 VSH589847 WCD589847 WLZ589847 WVV589847 N655383 JJ655383 TF655383 ADB655383 AMX655383 AWT655383 BGP655383 BQL655383 CAH655383 CKD655383 CTZ655383 DDV655383 DNR655383 DXN655383 EHJ655383 ERF655383 FBB655383 FKX655383 FUT655383 GEP655383 GOL655383 GYH655383 HID655383 HRZ655383 IBV655383 ILR655383 IVN655383 JFJ655383 JPF655383 JZB655383 KIX655383 KST655383 LCP655383 LML655383 LWH655383 MGD655383 MPZ655383 MZV655383 NJR655383 NTN655383 ODJ655383 ONF655383 OXB655383 PGX655383 PQT655383 QAP655383 QKL655383 QUH655383 RED655383 RNZ655383 RXV655383 SHR655383 SRN655383 TBJ655383 TLF655383 TVB655383 UEX655383 UOT655383 UYP655383 VIL655383 VSH655383 WCD655383 WLZ655383 WVV655383 N720919 JJ720919 TF720919 ADB720919 AMX720919 AWT720919 BGP720919 BQL720919 CAH720919 CKD720919 CTZ720919 DDV720919 DNR720919 DXN720919 EHJ720919 ERF720919 FBB720919 FKX720919 FUT720919 GEP720919 GOL720919 GYH720919 HID720919 HRZ720919 IBV720919 ILR720919 IVN720919 JFJ720919 JPF720919 JZB720919 KIX720919 KST720919 LCP720919 LML720919 LWH720919 MGD720919 MPZ720919 MZV720919 NJR720919 NTN720919 ODJ720919 ONF720919 OXB720919 PGX720919 PQT720919 QAP720919 QKL720919 QUH720919 RED720919 RNZ720919 RXV720919 SHR720919 SRN720919 TBJ720919 TLF720919 TVB720919 UEX720919 UOT720919 UYP720919 VIL720919 VSH720919 WCD720919 WLZ720919 WVV720919 N786455 JJ786455 TF786455 ADB786455 AMX786455 AWT786455 BGP786455 BQL786455 CAH786455 CKD786455 CTZ786455 DDV786455 DNR786455 DXN786455 EHJ786455 ERF786455 FBB786455 FKX786455 FUT786455 GEP786455 GOL786455 GYH786455 HID786455 HRZ786455 IBV786455 ILR786455 IVN786455 JFJ786455 JPF786455 JZB786455 KIX786455 KST786455 LCP786455 LML786455 LWH786455 MGD786455 MPZ786455 MZV786455 NJR786455 NTN786455 ODJ786455 ONF786455 OXB786455 PGX786455 PQT786455 QAP786455 QKL786455 QUH786455 RED786455 RNZ786455 RXV786455 SHR786455 SRN786455 TBJ786455 TLF786455 TVB786455 UEX786455 UOT786455 UYP786455 VIL786455 VSH786455 WCD786455 WLZ786455 WVV786455 N851991 JJ851991 TF851991 ADB851991 AMX851991 AWT851991 BGP851991 BQL851991 CAH851991 CKD851991 CTZ851991 DDV851991 DNR851991 DXN851991 EHJ851991 ERF851991 FBB851991 FKX851991 FUT851991 GEP851991 GOL851991 GYH851991 HID851991 HRZ851991 IBV851991 ILR851991 IVN851991 JFJ851991 JPF851991 JZB851991 KIX851991 KST851991 LCP851991 LML851991 LWH851991 MGD851991 MPZ851991 MZV851991 NJR851991 NTN851991 ODJ851991 ONF851991 OXB851991 PGX851991 PQT851991 QAP851991 QKL851991 QUH851991 RED851991 RNZ851991 RXV851991 SHR851991 SRN851991 TBJ851991 TLF851991 TVB851991 UEX851991 UOT851991 UYP851991 VIL851991 VSH851991 WCD851991 WLZ851991 WVV851991 N917527 JJ917527 TF917527 ADB917527 AMX917527 AWT917527 BGP917527 BQL917527 CAH917527 CKD917527 CTZ917527 DDV917527 DNR917527 DXN917527 EHJ917527 ERF917527 FBB917527 FKX917527 FUT917527 GEP917527 GOL917527 GYH917527 HID917527 HRZ917527 IBV917527 ILR917527 IVN917527 JFJ917527 JPF917527 JZB917527 KIX917527 KST917527 LCP917527 LML917527 LWH917527 MGD917527 MPZ917527 MZV917527 NJR917527 NTN917527 ODJ917527 ONF917527 OXB917527 PGX917527 PQT917527 QAP917527 QKL917527 QUH917527 RED917527 RNZ917527 RXV917527 SHR917527 SRN917527 TBJ917527 TLF917527 TVB917527 UEX917527 UOT917527 UYP917527 VIL917527 VSH917527 WCD917527 WLZ917527 WVV917527 N983063 JJ983063 TF983063 ADB983063 AMX983063 AWT983063 BGP983063 BQL983063 CAH983063 CKD983063 CTZ983063 DDV983063 DNR983063 DXN983063 EHJ983063 ERF983063 FBB983063 FKX983063 FUT983063 GEP983063 GOL983063 GYH983063 HID983063 HRZ983063 IBV983063 ILR983063 IVN983063 JFJ983063 JPF983063 JZB983063 KIX983063 KST983063 LCP983063 LML983063 LWH983063 MGD983063 MPZ983063 MZV983063 NJR983063 NTN983063 ODJ983063 ONF983063 OXB983063 PGX983063 PQT983063 QAP983063 QKL983063 QUH983063 RED983063 RNZ983063 RXV983063 SHR983063 SRN983063 TBJ983063 TLF983063 TVB983063 UEX983063 UOT983063 UYP983063 VIL983063 VSH983063 WCD983063 WLZ983063 WVV983063" xr:uid="{00000000-0002-0000-0200-00000B000000}"/>
    <dataValidation allowBlank="1" showInputMessage="1" showErrorMessage="1" promptTitle="Treasury Bills" prompt="All Government T Bills for 91 days. Examples Ecobank T Bills, Dalex T Bills etc" sqref="N28 JJ28 TF28 ADB28 AMX28 AWT28 BGP28 BQL28 CAH28 CKD28 CTZ28 DDV28 DNR28 DXN28 EHJ28 ERF28 FBB28 FKX28 FUT28 GEP28 GOL28 GYH28 HID28 HRZ28 IBV28 ILR28 IVN28 JFJ28 JPF28 JZB28 KIX28 KST28 LCP28 LML28 LWH28 MGD28 MPZ28 MZV28 NJR28 NTN28 ODJ28 ONF28 OXB28 PGX28 PQT28 QAP28 QKL28 QUH28 RED28 RNZ28 RXV28 SHR28 SRN28 TBJ28 TLF28 TVB28 UEX28 UOT28 UYP28 VIL28 VSH28 WCD28 WLZ28 WVV28 N65564 JJ65564 TF65564 ADB65564 AMX65564 AWT65564 BGP65564 BQL65564 CAH65564 CKD65564 CTZ65564 DDV65564 DNR65564 DXN65564 EHJ65564 ERF65564 FBB65564 FKX65564 FUT65564 GEP65564 GOL65564 GYH65564 HID65564 HRZ65564 IBV65564 ILR65564 IVN65564 JFJ65564 JPF65564 JZB65564 KIX65564 KST65564 LCP65564 LML65564 LWH65564 MGD65564 MPZ65564 MZV65564 NJR65564 NTN65564 ODJ65564 ONF65564 OXB65564 PGX65564 PQT65564 QAP65564 QKL65564 QUH65564 RED65564 RNZ65564 RXV65564 SHR65564 SRN65564 TBJ65564 TLF65564 TVB65564 UEX65564 UOT65564 UYP65564 VIL65564 VSH65564 WCD65564 WLZ65564 WVV65564 N131100 JJ131100 TF131100 ADB131100 AMX131100 AWT131100 BGP131100 BQL131100 CAH131100 CKD131100 CTZ131100 DDV131100 DNR131100 DXN131100 EHJ131100 ERF131100 FBB131100 FKX131100 FUT131100 GEP131100 GOL131100 GYH131100 HID131100 HRZ131100 IBV131100 ILR131100 IVN131100 JFJ131100 JPF131100 JZB131100 KIX131100 KST131100 LCP131100 LML131100 LWH131100 MGD131100 MPZ131100 MZV131100 NJR131100 NTN131100 ODJ131100 ONF131100 OXB131100 PGX131100 PQT131100 QAP131100 QKL131100 QUH131100 RED131100 RNZ131100 RXV131100 SHR131100 SRN131100 TBJ131100 TLF131100 TVB131100 UEX131100 UOT131100 UYP131100 VIL131100 VSH131100 WCD131100 WLZ131100 WVV131100 N196636 JJ196636 TF196636 ADB196636 AMX196636 AWT196636 BGP196636 BQL196636 CAH196636 CKD196636 CTZ196636 DDV196636 DNR196636 DXN196636 EHJ196636 ERF196636 FBB196636 FKX196636 FUT196636 GEP196636 GOL196636 GYH196636 HID196636 HRZ196636 IBV196636 ILR196636 IVN196636 JFJ196636 JPF196636 JZB196636 KIX196636 KST196636 LCP196636 LML196636 LWH196636 MGD196636 MPZ196636 MZV196636 NJR196636 NTN196636 ODJ196636 ONF196636 OXB196636 PGX196636 PQT196636 QAP196636 QKL196636 QUH196636 RED196636 RNZ196636 RXV196636 SHR196636 SRN196636 TBJ196636 TLF196636 TVB196636 UEX196636 UOT196636 UYP196636 VIL196636 VSH196636 WCD196636 WLZ196636 WVV196636 N262172 JJ262172 TF262172 ADB262172 AMX262172 AWT262172 BGP262172 BQL262172 CAH262172 CKD262172 CTZ262172 DDV262172 DNR262172 DXN262172 EHJ262172 ERF262172 FBB262172 FKX262172 FUT262172 GEP262172 GOL262172 GYH262172 HID262172 HRZ262172 IBV262172 ILR262172 IVN262172 JFJ262172 JPF262172 JZB262172 KIX262172 KST262172 LCP262172 LML262172 LWH262172 MGD262172 MPZ262172 MZV262172 NJR262172 NTN262172 ODJ262172 ONF262172 OXB262172 PGX262172 PQT262172 QAP262172 QKL262172 QUH262172 RED262172 RNZ262172 RXV262172 SHR262172 SRN262172 TBJ262172 TLF262172 TVB262172 UEX262172 UOT262172 UYP262172 VIL262172 VSH262172 WCD262172 WLZ262172 WVV262172 N327708 JJ327708 TF327708 ADB327708 AMX327708 AWT327708 BGP327708 BQL327708 CAH327708 CKD327708 CTZ327708 DDV327708 DNR327708 DXN327708 EHJ327708 ERF327708 FBB327708 FKX327708 FUT327708 GEP327708 GOL327708 GYH327708 HID327708 HRZ327708 IBV327708 ILR327708 IVN327708 JFJ327708 JPF327708 JZB327708 KIX327708 KST327708 LCP327708 LML327708 LWH327708 MGD327708 MPZ327708 MZV327708 NJR327708 NTN327708 ODJ327708 ONF327708 OXB327708 PGX327708 PQT327708 QAP327708 QKL327708 QUH327708 RED327708 RNZ327708 RXV327708 SHR327708 SRN327708 TBJ327708 TLF327708 TVB327708 UEX327708 UOT327708 UYP327708 VIL327708 VSH327708 WCD327708 WLZ327708 WVV327708 N393244 JJ393244 TF393244 ADB393244 AMX393244 AWT393244 BGP393244 BQL393244 CAH393244 CKD393244 CTZ393244 DDV393244 DNR393244 DXN393244 EHJ393244 ERF393244 FBB393244 FKX393244 FUT393244 GEP393244 GOL393244 GYH393244 HID393244 HRZ393244 IBV393244 ILR393244 IVN393244 JFJ393244 JPF393244 JZB393244 KIX393244 KST393244 LCP393244 LML393244 LWH393244 MGD393244 MPZ393244 MZV393244 NJR393244 NTN393244 ODJ393244 ONF393244 OXB393244 PGX393244 PQT393244 QAP393244 QKL393244 QUH393244 RED393244 RNZ393244 RXV393244 SHR393244 SRN393244 TBJ393244 TLF393244 TVB393244 UEX393244 UOT393244 UYP393244 VIL393244 VSH393244 WCD393244 WLZ393244 WVV393244 N458780 JJ458780 TF458780 ADB458780 AMX458780 AWT458780 BGP458780 BQL458780 CAH458780 CKD458780 CTZ458780 DDV458780 DNR458780 DXN458780 EHJ458780 ERF458780 FBB458780 FKX458780 FUT458780 GEP458780 GOL458780 GYH458780 HID458780 HRZ458780 IBV458780 ILR458780 IVN458780 JFJ458780 JPF458780 JZB458780 KIX458780 KST458780 LCP458780 LML458780 LWH458780 MGD458780 MPZ458780 MZV458780 NJR458780 NTN458780 ODJ458780 ONF458780 OXB458780 PGX458780 PQT458780 QAP458780 QKL458780 QUH458780 RED458780 RNZ458780 RXV458780 SHR458780 SRN458780 TBJ458780 TLF458780 TVB458780 UEX458780 UOT458780 UYP458780 VIL458780 VSH458780 WCD458780 WLZ458780 WVV458780 N524316 JJ524316 TF524316 ADB524316 AMX524316 AWT524316 BGP524316 BQL524316 CAH524316 CKD524316 CTZ524316 DDV524316 DNR524316 DXN524316 EHJ524316 ERF524316 FBB524316 FKX524316 FUT524316 GEP524316 GOL524316 GYH524316 HID524316 HRZ524316 IBV524316 ILR524316 IVN524316 JFJ524316 JPF524316 JZB524316 KIX524316 KST524316 LCP524316 LML524316 LWH524316 MGD524316 MPZ524316 MZV524316 NJR524316 NTN524316 ODJ524316 ONF524316 OXB524316 PGX524316 PQT524316 QAP524316 QKL524316 QUH524316 RED524316 RNZ524316 RXV524316 SHR524316 SRN524316 TBJ524316 TLF524316 TVB524316 UEX524316 UOT524316 UYP524316 VIL524316 VSH524316 WCD524316 WLZ524316 WVV524316 N589852 JJ589852 TF589852 ADB589852 AMX589852 AWT589852 BGP589852 BQL589852 CAH589852 CKD589852 CTZ589852 DDV589852 DNR589852 DXN589852 EHJ589852 ERF589852 FBB589852 FKX589852 FUT589852 GEP589852 GOL589852 GYH589852 HID589852 HRZ589852 IBV589852 ILR589852 IVN589852 JFJ589852 JPF589852 JZB589852 KIX589852 KST589852 LCP589852 LML589852 LWH589852 MGD589852 MPZ589852 MZV589852 NJR589852 NTN589852 ODJ589852 ONF589852 OXB589852 PGX589852 PQT589852 QAP589852 QKL589852 QUH589852 RED589852 RNZ589852 RXV589852 SHR589852 SRN589852 TBJ589852 TLF589852 TVB589852 UEX589852 UOT589852 UYP589852 VIL589852 VSH589852 WCD589852 WLZ589852 WVV589852 N655388 JJ655388 TF655388 ADB655388 AMX655388 AWT655388 BGP655388 BQL655388 CAH655388 CKD655388 CTZ655388 DDV655388 DNR655388 DXN655388 EHJ655388 ERF655388 FBB655388 FKX655388 FUT655388 GEP655388 GOL655388 GYH655388 HID655388 HRZ655388 IBV655388 ILR655388 IVN655388 JFJ655388 JPF655388 JZB655388 KIX655388 KST655388 LCP655388 LML655388 LWH655388 MGD655388 MPZ655388 MZV655388 NJR655388 NTN655388 ODJ655388 ONF655388 OXB655388 PGX655388 PQT655388 QAP655388 QKL655388 QUH655388 RED655388 RNZ655388 RXV655388 SHR655388 SRN655388 TBJ655388 TLF655388 TVB655388 UEX655388 UOT655388 UYP655388 VIL655388 VSH655388 WCD655388 WLZ655388 WVV655388 N720924 JJ720924 TF720924 ADB720924 AMX720924 AWT720924 BGP720924 BQL720924 CAH720924 CKD720924 CTZ720924 DDV720924 DNR720924 DXN720924 EHJ720924 ERF720924 FBB720924 FKX720924 FUT720924 GEP720924 GOL720924 GYH720924 HID720924 HRZ720924 IBV720924 ILR720924 IVN720924 JFJ720924 JPF720924 JZB720924 KIX720924 KST720924 LCP720924 LML720924 LWH720924 MGD720924 MPZ720924 MZV720924 NJR720924 NTN720924 ODJ720924 ONF720924 OXB720924 PGX720924 PQT720924 QAP720924 QKL720924 QUH720924 RED720924 RNZ720924 RXV720924 SHR720924 SRN720924 TBJ720924 TLF720924 TVB720924 UEX720924 UOT720924 UYP720924 VIL720924 VSH720924 WCD720924 WLZ720924 WVV720924 N786460 JJ786460 TF786460 ADB786460 AMX786460 AWT786460 BGP786460 BQL786460 CAH786460 CKD786460 CTZ786460 DDV786460 DNR786460 DXN786460 EHJ786460 ERF786460 FBB786460 FKX786460 FUT786460 GEP786460 GOL786460 GYH786460 HID786460 HRZ786460 IBV786460 ILR786460 IVN786460 JFJ786460 JPF786460 JZB786460 KIX786460 KST786460 LCP786460 LML786460 LWH786460 MGD786460 MPZ786460 MZV786460 NJR786460 NTN786460 ODJ786460 ONF786460 OXB786460 PGX786460 PQT786460 QAP786460 QKL786460 QUH786460 RED786460 RNZ786460 RXV786460 SHR786460 SRN786460 TBJ786460 TLF786460 TVB786460 UEX786460 UOT786460 UYP786460 VIL786460 VSH786460 WCD786460 WLZ786460 WVV786460 N851996 JJ851996 TF851996 ADB851996 AMX851996 AWT851996 BGP851996 BQL851996 CAH851996 CKD851996 CTZ851996 DDV851996 DNR851996 DXN851996 EHJ851996 ERF851996 FBB851996 FKX851996 FUT851996 GEP851996 GOL851996 GYH851996 HID851996 HRZ851996 IBV851996 ILR851996 IVN851996 JFJ851996 JPF851996 JZB851996 KIX851996 KST851996 LCP851996 LML851996 LWH851996 MGD851996 MPZ851996 MZV851996 NJR851996 NTN851996 ODJ851996 ONF851996 OXB851996 PGX851996 PQT851996 QAP851996 QKL851996 QUH851996 RED851996 RNZ851996 RXV851996 SHR851996 SRN851996 TBJ851996 TLF851996 TVB851996 UEX851996 UOT851996 UYP851996 VIL851996 VSH851996 WCD851996 WLZ851996 WVV851996 N917532 JJ917532 TF917532 ADB917532 AMX917532 AWT917532 BGP917532 BQL917532 CAH917532 CKD917532 CTZ917532 DDV917532 DNR917532 DXN917532 EHJ917532 ERF917532 FBB917532 FKX917532 FUT917532 GEP917532 GOL917532 GYH917532 HID917532 HRZ917532 IBV917532 ILR917532 IVN917532 JFJ917532 JPF917532 JZB917532 KIX917532 KST917532 LCP917532 LML917532 LWH917532 MGD917532 MPZ917532 MZV917532 NJR917532 NTN917532 ODJ917532 ONF917532 OXB917532 PGX917532 PQT917532 QAP917532 QKL917532 QUH917532 RED917532 RNZ917532 RXV917532 SHR917532 SRN917532 TBJ917532 TLF917532 TVB917532 UEX917532 UOT917532 UYP917532 VIL917532 VSH917532 WCD917532 WLZ917532 WVV917532 N983068 JJ983068 TF983068 ADB983068 AMX983068 AWT983068 BGP983068 BQL983068 CAH983068 CKD983068 CTZ983068 DDV983068 DNR983068 DXN983068 EHJ983068 ERF983068 FBB983068 FKX983068 FUT983068 GEP983068 GOL983068 GYH983068 HID983068 HRZ983068 IBV983068 ILR983068 IVN983068 JFJ983068 JPF983068 JZB983068 KIX983068 KST983068 LCP983068 LML983068 LWH983068 MGD983068 MPZ983068 MZV983068 NJR983068 NTN983068 ODJ983068 ONF983068 OXB983068 PGX983068 PQT983068 QAP983068 QKL983068 QUH983068 RED983068 RNZ983068 RXV983068 SHR983068 SRN983068 TBJ983068 TLF983068 TVB983068 UEX983068 UOT983068 UYP983068 VIL983068 VSH983068 WCD983068 WLZ983068 WVV983068" xr:uid="{00000000-0002-0000-0200-00000C000000}"/>
    <dataValidation allowBlank="1" showInputMessage="1" showErrorMessage="1" promptTitle="Long T Investment with CUA" prompt="CUA Statutory Reserves Deposit and CUA CFF" sqref="N71 JJ71 TF71 ADB71 AMX71 AWT71 BGP71 BQL71 CAH71 CKD71 CTZ71 DDV71 DNR71 DXN71 EHJ71 ERF71 FBB71 FKX71 FUT71 GEP71 GOL71 GYH71 HID71 HRZ71 IBV71 ILR71 IVN71 JFJ71 JPF71 JZB71 KIX71 KST71 LCP71 LML71 LWH71 MGD71 MPZ71 MZV71 NJR71 NTN71 ODJ71 ONF71 OXB71 PGX71 PQT71 QAP71 QKL71 QUH71 RED71 RNZ71 RXV71 SHR71 SRN71 TBJ71 TLF71 TVB71 UEX71 UOT71 UYP71 VIL71 VSH71 WCD71 WLZ71 WVV71 N65607 JJ65607 TF65607 ADB65607 AMX65607 AWT65607 BGP65607 BQL65607 CAH65607 CKD65607 CTZ65607 DDV65607 DNR65607 DXN65607 EHJ65607 ERF65607 FBB65607 FKX65607 FUT65607 GEP65607 GOL65607 GYH65607 HID65607 HRZ65607 IBV65607 ILR65607 IVN65607 JFJ65607 JPF65607 JZB65607 KIX65607 KST65607 LCP65607 LML65607 LWH65607 MGD65607 MPZ65607 MZV65607 NJR65607 NTN65607 ODJ65607 ONF65607 OXB65607 PGX65607 PQT65607 QAP65607 QKL65607 QUH65607 RED65607 RNZ65607 RXV65607 SHR65607 SRN65607 TBJ65607 TLF65607 TVB65607 UEX65607 UOT65607 UYP65607 VIL65607 VSH65607 WCD65607 WLZ65607 WVV65607 N131143 JJ131143 TF131143 ADB131143 AMX131143 AWT131143 BGP131143 BQL131143 CAH131143 CKD131143 CTZ131143 DDV131143 DNR131143 DXN131143 EHJ131143 ERF131143 FBB131143 FKX131143 FUT131143 GEP131143 GOL131143 GYH131143 HID131143 HRZ131143 IBV131143 ILR131143 IVN131143 JFJ131143 JPF131143 JZB131143 KIX131143 KST131143 LCP131143 LML131143 LWH131143 MGD131143 MPZ131143 MZV131143 NJR131143 NTN131143 ODJ131143 ONF131143 OXB131143 PGX131143 PQT131143 QAP131143 QKL131143 QUH131143 RED131143 RNZ131143 RXV131143 SHR131143 SRN131143 TBJ131143 TLF131143 TVB131143 UEX131143 UOT131143 UYP131143 VIL131143 VSH131143 WCD131143 WLZ131143 WVV131143 N196679 JJ196679 TF196679 ADB196679 AMX196679 AWT196679 BGP196679 BQL196679 CAH196679 CKD196679 CTZ196679 DDV196679 DNR196679 DXN196679 EHJ196679 ERF196679 FBB196679 FKX196679 FUT196679 GEP196679 GOL196679 GYH196679 HID196679 HRZ196679 IBV196679 ILR196679 IVN196679 JFJ196679 JPF196679 JZB196679 KIX196679 KST196679 LCP196679 LML196679 LWH196679 MGD196679 MPZ196679 MZV196679 NJR196679 NTN196679 ODJ196679 ONF196679 OXB196679 PGX196679 PQT196679 QAP196679 QKL196679 QUH196679 RED196679 RNZ196679 RXV196679 SHR196679 SRN196679 TBJ196679 TLF196679 TVB196679 UEX196679 UOT196679 UYP196679 VIL196679 VSH196679 WCD196679 WLZ196679 WVV196679 N262215 JJ262215 TF262215 ADB262215 AMX262215 AWT262215 BGP262215 BQL262215 CAH262215 CKD262215 CTZ262215 DDV262215 DNR262215 DXN262215 EHJ262215 ERF262215 FBB262215 FKX262215 FUT262215 GEP262215 GOL262215 GYH262215 HID262215 HRZ262215 IBV262215 ILR262215 IVN262215 JFJ262215 JPF262215 JZB262215 KIX262215 KST262215 LCP262215 LML262215 LWH262215 MGD262215 MPZ262215 MZV262215 NJR262215 NTN262215 ODJ262215 ONF262215 OXB262215 PGX262215 PQT262215 QAP262215 QKL262215 QUH262215 RED262215 RNZ262215 RXV262215 SHR262215 SRN262215 TBJ262215 TLF262215 TVB262215 UEX262215 UOT262215 UYP262215 VIL262215 VSH262215 WCD262215 WLZ262215 WVV262215 N327751 JJ327751 TF327751 ADB327751 AMX327751 AWT327751 BGP327751 BQL327751 CAH327751 CKD327751 CTZ327751 DDV327751 DNR327751 DXN327751 EHJ327751 ERF327751 FBB327751 FKX327751 FUT327751 GEP327751 GOL327751 GYH327751 HID327751 HRZ327751 IBV327751 ILR327751 IVN327751 JFJ327751 JPF327751 JZB327751 KIX327751 KST327751 LCP327751 LML327751 LWH327751 MGD327751 MPZ327751 MZV327751 NJR327751 NTN327751 ODJ327751 ONF327751 OXB327751 PGX327751 PQT327751 QAP327751 QKL327751 QUH327751 RED327751 RNZ327751 RXV327751 SHR327751 SRN327751 TBJ327751 TLF327751 TVB327751 UEX327751 UOT327751 UYP327751 VIL327751 VSH327751 WCD327751 WLZ327751 WVV327751 N393287 JJ393287 TF393287 ADB393287 AMX393287 AWT393287 BGP393287 BQL393287 CAH393287 CKD393287 CTZ393287 DDV393287 DNR393287 DXN393287 EHJ393287 ERF393287 FBB393287 FKX393287 FUT393287 GEP393287 GOL393287 GYH393287 HID393287 HRZ393287 IBV393287 ILR393287 IVN393287 JFJ393287 JPF393287 JZB393287 KIX393287 KST393287 LCP393287 LML393287 LWH393287 MGD393287 MPZ393287 MZV393287 NJR393287 NTN393287 ODJ393287 ONF393287 OXB393287 PGX393287 PQT393287 QAP393287 QKL393287 QUH393287 RED393287 RNZ393287 RXV393287 SHR393287 SRN393287 TBJ393287 TLF393287 TVB393287 UEX393287 UOT393287 UYP393287 VIL393287 VSH393287 WCD393287 WLZ393287 WVV393287 N458823 JJ458823 TF458823 ADB458823 AMX458823 AWT458823 BGP458823 BQL458823 CAH458823 CKD458823 CTZ458823 DDV458823 DNR458823 DXN458823 EHJ458823 ERF458823 FBB458823 FKX458823 FUT458823 GEP458823 GOL458823 GYH458823 HID458823 HRZ458823 IBV458823 ILR458823 IVN458823 JFJ458823 JPF458823 JZB458823 KIX458823 KST458823 LCP458823 LML458823 LWH458823 MGD458823 MPZ458823 MZV458823 NJR458823 NTN458823 ODJ458823 ONF458823 OXB458823 PGX458823 PQT458823 QAP458823 QKL458823 QUH458823 RED458823 RNZ458823 RXV458823 SHR458823 SRN458823 TBJ458823 TLF458823 TVB458823 UEX458823 UOT458823 UYP458823 VIL458823 VSH458823 WCD458823 WLZ458823 WVV458823 N524359 JJ524359 TF524359 ADB524359 AMX524359 AWT524359 BGP524359 BQL524359 CAH524359 CKD524359 CTZ524359 DDV524359 DNR524359 DXN524359 EHJ524359 ERF524359 FBB524359 FKX524359 FUT524359 GEP524359 GOL524359 GYH524359 HID524359 HRZ524359 IBV524359 ILR524359 IVN524359 JFJ524359 JPF524359 JZB524359 KIX524359 KST524359 LCP524359 LML524359 LWH524359 MGD524359 MPZ524359 MZV524359 NJR524359 NTN524359 ODJ524359 ONF524359 OXB524359 PGX524359 PQT524359 QAP524359 QKL524359 QUH524359 RED524359 RNZ524359 RXV524359 SHR524359 SRN524359 TBJ524359 TLF524359 TVB524359 UEX524359 UOT524359 UYP524359 VIL524359 VSH524359 WCD524359 WLZ524359 WVV524359 N589895 JJ589895 TF589895 ADB589895 AMX589895 AWT589895 BGP589895 BQL589895 CAH589895 CKD589895 CTZ589895 DDV589895 DNR589895 DXN589895 EHJ589895 ERF589895 FBB589895 FKX589895 FUT589895 GEP589895 GOL589895 GYH589895 HID589895 HRZ589895 IBV589895 ILR589895 IVN589895 JFJ589895 JPF589895 JZB589895 KIX589895 KST589895 LCP589895 LML589895 LWH589895 MGD589895 MPZ589895 MZV589895 NJR589895 NTN589895 ODJ589895 ONF589895 OXB589895 PGX589895 PQT589895 QAP589895 QKL589895 QUH589895 RED589895 RNZ589895 RXV589895 SHR589895 SRN589895 TBJ589895 TLF589895 TVB589895 UEX589895 UOT589895 UYP589895 VIL589895 VSH589895 WCD589895 WLZ589895 WVV589895 N655431 JJ655431 TF655431 ADB655431 AMX655431 AWT655431 BGP655431 BQL655431 CAH655431 CKD655431 CTZ655431 DDV655431 DNR655431 DXN655431 EHJ655431 ERF655431 FBB655431 FKX655431 FUT655431 GEP655431 GOL655431 GYH655431 HID655431 HRZ655431 IBV655431 ILR655431 IVN655431 JFJ655431 JPF655431 JZB655431 KIX655431 KST655431 LCP655431 LML655431 LWH655431 MGD655431 MPZ655431 MZV655431 NJR655431 NTN655431 ODJ655431 ONF655431 OXB655431 PGX655431 PQT655431 QAP655431 QKL655431 QUH655431 RED655431 RNZ655431 RXV655431 SHR655431 SRN655431 TBJ655431 TLF655431 TVB655431 UEX655431 UOT655431 UYP655431 VIL655431 VSH655431 WCD655431 WLZ655431 WVV655431 N720967 JJ720967 TF720967 ADB720967 AMX720967 AWT720967 BGP720967 BQL720967 CAH720967 CKD720967 CTZ720967 DDV720967 DNR720967 DXN720967 EHJ720967 ERF720967 FBB720967 FKX720967 FUT720967 GEP720967 GOL720967 GYH720967 HID720967 HRZ720967 IBV720967 ILR720967 IVN720967 JFJ720967 JPF720967 JZB720967 KIX720967 KST720967 LCP720967 LML720967 LWH720967 MGD720967 MPZ720967 MZV720967 NJR720967 NTN720967 ODJ720967 ONF720967 OXB720967 PGX720967 PQT720967 QAP720967 QKL720967 QUH720967 RED720967 RNZ720967 RXV720967 SHR720967 SRN720967 TBJ720967 TLF720967 TVB720967 UEX720967 UOT720967 UYP720967 VIL720967 VSH720967 WCD720967 WLZ720967 WVV720967 N786503 JJ786503 TF786503 ADB786503 AMX786503 AWT786503 BGP786503 BQL786503 CAH786503 CKD786503 CTZ786503 DDV786503 DNR786503 DXN786503 EHJ786503 ERF786503 FBB786503 FKX786503 FUT786503 GEP786503 GOL786503 GYH786503 HID786503 HRZ786503 IBV786503 ILR786503 IVN786503 JFJ786503 JPF786503 JZB786503 KIX786503 KST786503 LCP786503 LML786503 LWH786503 MGD786503 MPZ786503 MZV786503 NJR786503 NTN786503 ODJ786503 ONF786503 OXB786503 PGX786503 PQT786503 QAP786503 QKL786503 QUH786503 RED786503 RNZ786503 RXV786503 SHR786503 SRN786503 TBJ786503 TLF786503 TVB786503 UEX786503 UOT786503 UYP786503 VIL786503 VSH786503 WCD786503 WLZ786503 WVV786503 N852039 JJ852039 TF852039 ADB852039 AMX852039 AWT852039 BGP852039 BQL852039 CAH852039 CKD852039 CTZ852039 DDV852039 DNR852039 DXN852039 EHJ852039 ERF852039 FBB852039 FKX852039 FUT852039 GEP852039 GOL852039 GYH852039 HID852039 HRZ852039 IBV852039 ILR852039 IVN852039 JFJ852039 JPF852039 JZB852039 KIX852039 KST852039 LCP852039 LML852039 LWH852039 MGD852039 MPZ852039 MZV852039 NJR852039 NTN852039 ODJ852039 ONF852039 OXB852039 PGX852039 PQT852039 QAP852039 QKL852039 QUH852039 RED852039 RNZ852039 RXV852039 SHR852039 SRN852039 TBJ852039 TLF852039 TVB852039 UEX852039 UOT852039 UYP852039 VIL852039 VSH852039 WCD852039 WLZ852039 WVV852039 N917575 JJ917575 TF917575 ADB917575 AMX917575 AWT917575 BGP917575 BQL917575 CAH917575 CKD917575 CTZ917575 DDV917575 DNR917575 DXN917575 EHJ917575 ERF917575 FBB917575 FKX917575 FUT917575 GEP917575 GOL917575 GYH917575 HID917575 HRZ917575 IBV917575 ILR917575 IVN917575 JFJ917575 JPF917575 JZB917575 KIX917575 KST917575 LCP917575 LML917575 LWH917575 MGD917575 MPZ917575 MZV917575 NJR917575 NTN917575 ODJ917575 ONF917575 OXB917575 PGX917575 PQT917575 QAP917575 QKL917575 QUH917575 RED917575 RNZ917575 RXV917575 SHR917575 SRN917575 TBJ917575 TLF917575 TVB917575 UEX917575 UOT917575 UYP917575 VIL917575 VSH917575 WCD917575 WLZ917575 WVV917575 N983111 JJ983111 TF983111 ADB983111 AMX983111 AWT983111 BGP983111 BQL983111 CAH983111 CKD983111 CTZ983111 DDV983111 DNR983111 DXN983111 EHJ983111 ERF983111 FBB983111 FKX983111 FUT983111 GEP983111 GOL983111 GYH983111 HID983111 HRZ983111 IBV983111 ILR983111 IVN983111 JFJ983111 JPF983111 JZB983111 KIX983111 KST983111 LCP983111 LML983111 LWH983111 MGD983111 MPZ983111 MZV983111 NJR983111 NTN983111 ODJ983111 ONF983111 OXB983111 PGX983111 PQT983111 QAP983111 QKL983111 QUH983111 RED983111 RNZ983111 RXV983111 SHR983111 SRN983111 TBJ983111 TLF983111 TVB983111 UEX983111 UOT983111 UYP983111 VIL983111 VSH983111 WCD983111 WLZ983111 WVV983111" xr:uid="{00000000-0002-0000-0200-00000D000000}"/>
    <dataValidation allowBlank="1" showInputMessage="1" showErrorMessage="1" promptTitle="Long T Deposit with Private Ent" prompt="Investment with Private Enterprises. Example Land investment" sqref="N81 JJ81 TF81 ADB81 AMX81 AWT81 BGP81 BQL81 CAH81 CKD81 CTZ81 DDV81 DNR81 DXN81 EHJ81 ERF81 FBB81 FKX81 FUT81 GEP81 GOL81 GYH81 HID81 HRZ81 IBV81 ILR81 IVN81 JFJ81 JPF81 JZB81 KIX81 KST81 LCP81 LML81 LWH81 MGD81 MPZ81 MZV81 NJR81 NTN81 ODJ81 ONF81 OXB81 PGX81 PQT81 QAP81 QKL81 QUH81 RED81 RNZ81 RXV81 SHR81 SRN81 TBJ81 TLF81 TVB81 UEX81 UOT81 UYP81 VIL81 VSH81 WCD81 WLZ81 WVV81 N65617 JJ65617 TF65617 ADB65617 AMX65617 AWT65617 BGP65617 BQL65617 CAH65617 CKD65617 CTZ65617 DDV65617 DNR65617 DXN65617 EHJ65617 ERF65617 FBB65617 FKX65617 FUT65617 GEP65617 GOL65617 GYH65617 HID65617 HRZ65617 IBV65617 ILR65617 IVN65617 JFJ65617 JPF65617 JZB65617 KIX65617 KST65617 LCP65617 LML65617 LWH65617 MGD65617 MPZ65617 MZV65617 NJR65617 NTN65617 ODJ65617 ONF65617 OXB65617 PGX65617 PQT65617 QAP65617 QKL65617 QUH65617 RED65617 RNZ65617 RXV65617 SHR65617 SRN65617 TBJ65617 TLF65617 TVB65617 UEX65617 UOT65617 UYP65617 VIL65617 VSH65617 WCD65617 WLZ65617 WVV65617 N131153 JJ131153 TF131153 ADB131153 AMX131153 AWT131153 BGP131153 BQL131153 CAH131153 CKD131153 CTZ131153 DDV131153 DNR131153 DXN131153 EHJ131153 ERF131153 FBB131153 FKX131153 FUT131153 GEP131153 GOL131153 GYH131153 HID131153 HRZ131153 IBV131153 ILR131153 IVN131153 JFJ131153 JPF131153 JZB131153 KIX131153 KST131153 LCP131153 LML131153 LWH131153 MGD131153 MPZ131153 MZV131153 NJR131153 NTN131153 ODJ131153 ONF131153 OXB131153 PGX131153 PQT131153 QAP131153 QKL131153 QUH131153 RED131153 RNZ131153 RXV131153 SHR131153 SRN131153 TBJ131153 TLF131153 TVB131153 UEX131153 UOT131153 UYP131153 VIL131153 VSH131153 WCD131153 WLZ131153 WVV131153 N196689 JJ196689 TF196689 ADB196689 AMX196689 AWT196689 BGP196689 BQL196689 CAH196689 CKD196689 CTZ196689 DDV196689 DNR196689 DXN196689 EHJ196689 ERF196689 FBB196689 FKX196689 FUT196689 GEP196689 GOL196689 GYH196689 HID196689 HRZ196689 IBV196689 ILR196689 IVN196689 JFJ196689 JPF196689 JZB196689 KIX196689 KST196689 LCP196689 LML196689 LWH196689 MGD196689 MPZ196689 MZV196689 NJR196689 NTN196689 ODJ196689 ONF196689 OXB196689 PGX196689 PQT196689 QAP196689 QKL196689 QUH196689 RED196689 RNZ196689 RXV196689 SHR196689 SRN196689 TBJ196689 TLF196689 TVB196689 UEX196689 UOT196689 UYP196689 VIL196689 VSH196689 WCD196689 WLZ196689 WVV196689 N262225 JJ262225 TF262225 ADB262225 AMX262225 AWT262225 BGP262225 BQL262225 CAH262225 CKD262225 CTZ262225 DDV262225 DNR262225 DXN262225 EHJ262225 ERF262225 FBB262225 FKX262225 FUT262225 GEP262225 GOL262225 GYH262225 HID262225 HRZ262225 IBV262225 ILR262225 IVN262225 JFJ262225 JPF262225 JZB262225 KIX262225 KST262225 LCP262225 LML262225 LWH262225 MGD262225 MPZ262225 MZV262225 NJR262225 NTN262225 ODJ262225 ONF262225 OXB262225 PGX262225 PQT262225 QAP262225 QKL262225 QUH262225 RED262225 RNZ262225 RXV262225 SHR262225 SRN262225 TBJ262225 TLF262225 TVB262225 UEX262225 UOT262225 UYP262225 VIL262225 VSH262225 WCD262225 WLZ262225 WVV262225 N327761 JJ327761 TF327761 ADB327761 AMX327761 AWT327761 BGP327761 BQL327761 CAH327761 CKD327761 CTZ327761 DDV327761 DNR327761 DXN327761 EHJ327761 ERF327761 FBB327761 FKX327761 FUT327761 GEP327761 GOL327761 GYH327761 HID327761 HRZ327761 IBV327761 ILR327761 IVN327761 JFJ327761 JPF327761 JZB327761 KIX327761 KST327761 LCP327761 LML327761 LWH327761 MGD327761 MPZ327761 MZV327761 NJR327761 NTN327761 ODJ327761 ONF327761 OXB327761 PGX327761 PQT327761 QAP327761 QKL327761 QUH327761 RED327761 RNZ327761 RXV327761 SHR327761 SRN327761 TBJ327761 TLF327761 TVB327761 UEX327761 UOT327761 UYP327761 VIL327761 VSH327761 WCD327761 WLZ327761 WVV327761 N393297 JJ393297 TF393297 ADB393297 AMX393297 AWT393297 BGP393297 BQL393297 CAH393297 CKD393297 CTZ393297 DDV393297 DNR393297 DXN393297 EHJ393297 ERF393297 FBB393297 FKX393297 FUT393297 GEP393297 GOL393297 GYH393297 HID393297 HRZ393297 IBV393297 ILR393297 IVN393297 JFJ393297 JPF393297 JZB393297 KIX393297 KST393297 LCP393297 LML393297 LWH393297 MGD393297 MPZ393297 MZV393297 NJR393297 NTN393297 ODJ393297 ONF393297 OXB393297 PGX393297 PQT393297 QAP393297 QKL393297 QUH393297 RED393297 RNZ393297 RXV393297 SHR393297 SRN393297 TBJ393297 TLF393297 TVB393297 UEX393297 UOT393297 UYP393297 VIL393297 VSH393297 WCD393297 WLZ393297 WVV393297 N458833 JJ458833 TF458833 ADB458833 AMX458833 AWT458833 BGP458833 BQL458833 CAH458833 CKD458833 CTZ458833 DDV458833 DNR458833 DXN458833 EHJ458833 ERF458833 FBB458833 FKX458833 FUT458833 GEP458833 GOL458833 GYH458833 HID458833 HRZ458833 IBV458833 ILR458833 IVN458833 JFJ458833 JPF458833 JZB458833 KIX458833 KST458833 LCP458833 LML458833 LWH458833 MGD458833 MPZ458833 MZV458833 NJR458833 NTN458833 ODJ458833 ONF458833 OXB458833 PGX458833 PQT458833 QAP458833 QKL458833 QUH458833 RED458833 RNZ458833 RXV458833 SHR458833 SRN458833 TBJ458833 TLF458833 TVB458833 UEX458833 UOT458833 UYP458833 VIL458833 VSH458833 WCD458833 WLZ458833 WVV458833 N524369 JJ524369 TF524369 ADB524369 AMX524369 AWT524369 BGP524369 BQL524369 CAH524369 CKD524369 CTZ524369 DDV524369 DNR524369 DXN524369 EHJ524369 ERF524369 FBB524369 FKX524369 FUT524369 GEP524369 GOL524369 GYH524369 HID524369 HRZ524369 IBV524369 ILR524369 IVN524369 JFJ524369 JPF524369 JZB524369 KIX524369 KST524369 LCP524369 LML524369 LWH524369 MGD524369 MPZ524369 MZV524369 NJR524369 NTN524369 ODJ524369 ONF524369 OXB524369 PGX524369 PQT524369 QAP524369 QKL524369 QUH524369 RED524369 RNZ524369 RXV524369 SHR524369 SRN524369 TBJ524369 TLF524369 TVB524369 UEX524369 UOT524369 UYP524369 VIL524369 VSH524369 WCD524369 WLZ524369 WVV524369 N589905 JJ589905 TF589905 ADB589905 AMX589905 AWT589905 BGP589905 BQL589905 CAH589905 CKD589905 CTZ589905 DDV589905 DNR589905 DXN589905 EHJ589905 ERF589905 FBB589905 FKX589905 FUT589905 GEP589905 GOL589905 GYH589905 HID589905 HRZ589905 IBV589905 ILR589905 IVN589905 JFJ589905 JPF589905 JZB589905 KIX589905 KST589905 LCP589905 LML589905 LWH589905 MGD589905 MPZ589905 MZV589905 NJR589905 NTN589905 ODJ589905 ONF589905 OXB589905 PGX589905 PQT589905 QAP589905 QKL589905 QUH589905 RED589905 RNZ589905 RXV589905 SHR589905 SRN589905 TBJ589905 TLF589905 TVB589905 UEX589905 UOT589905 UYP589905 VIL589905 VSH589905 WCD589905 WLZ589905 WVV589905 N655441 JJ655441 TF655441 ADB655441 AMX655441 AWT655441 BGP655441 BQL655441 CAH655441 CKD655441 CTZ655441 DDV655441 DNR655441 DXN655441 EHJ655441 ERF655441 FBB655441 FKX655441 FUT655441 GEP655441 GOL655441 GYH655441 HID655441 HRZ655441 IBV655441 ILR655441 IVN655441 JFJ655441 JPF655441 JZB655441 KIX655441 KST655441 LCP655441 LML655441 LWH655441 MGD655441 MPZ655441 MZV655441 NJR655441 NTN655441 ODJ655441 ONF655441 OXB655441 PGX655441 PQT655441 QAP655441 QKL655441 QUH655441 RED655441 RNZ655441 RXV655441 SHR655441 SRN655441 TBJ655441 TLF655441 TVB655441 UEX655441 UOT655441 UYP655441 VIL655441 VSH655441 WCD655441 WLZ655441 WVV655441 N720977 JJ720977 TF720977 ADB720977 AMX720977 AWT720977 BGP720977 BQL720977 CAH720977 CKD720977 CTZ720977 DDV720977 DNR720977 DXN720977 EHJ720977 ERF720977 FBB720977 FKX720977 FUT720977 GEP720977 GOL720977 GYH720977 HID720977 HRZ720977 IBV720977 ILR720977 IVN720977 JFJ720977 JPF720977 JZB720977 KIX720977 KST720977 LCP720977 LML720977 LWH720977 MGD720977 MPZ720977 MZV720977 NJR720977 NTN720977 ODJ720977 ONF720977 OXB720977 PGX720977 PQT720977 QAP720977 QKL720977 QUH720977 RED720977 RNZ720977 RXV720977 SHR720977 SRN720977 TBJ720977 TLF720977 TVB720977 UEX720977 UOT720977 UYP720977 VIL720977 VSH720977 WCD720977 WLZ720977 WVV720977 N786513 JJ786513 TF786513 ADB786513 AMX786513 AWT786513 BGP786513 BQL786513 CAH786513 CKD786513 CTZ786513 DDV786513 DNR786513 DXN786513 EHJ786513 ERF786513 FBB786513 FKX786513 FUT786513 GEP786513 GOL786513 GYH786513 HID786513 HRZ786513 IBV786513 ILR786513 IVN786513 JFJ786513 JPF786513 JZB786513 KIX786513 KST786513 LCP786513 LML786513 LWH786513 MGD786513 MPZ786513 MZV786513 NJR786513 NTN786513 ODJ786513 ONF786513 OXB786513 PGX786513 PQT786513 QAP786513 QKL786513 QUH786513 RED786513 RNZ786513 RXV786513 SHR786513 SRN786513 TBJ786513 TLF786513 TVB786513 UEX786513 UOT786513 UYP786513 VIL786513 VSH786513 WCD786513 WLZ786513 WVV786513 N852049 JJ852049 TF852049 ADB852049 AMX852049 AWT852049 BGP852049 BQL852049 CAH852049 CKD852049 CTZ852049 DDV852049 DNR852049 DXN852049 EHJ852049 ERF852049 FBB852049 FKX852049 FUT852049 GEP852049 GOL852049 GYH852049 HID852049 HRZ852049 IBV852049 ILR852049 IVN852049 JFJ852049 JPF852049 JZB852049 KIX852049 KST852049 LCP852049 LML852049 LWH852049 MGD852049 MPZ852049 MZV852049 NJR852049 NTN852049 ODJ852049 ONF852049 OXB852049 PGX852049 PQT852049 QAP852049 QKL852049 QUH852049 RED852049 RNZ852049 RXV852049 SHR852049 SRN852049 TBJ852049 TLF852049 TVB852049 UEX852049 UOT852049 UYP852049 VIL852049 VSH852049 WCD852049 WLZ852049 WVV852049 N917585 JJ917585 TF917585 ADB917585 AMX917585 AWT917585 BGP917585 BQL917585 CAH917585 CKD917585 CTZ917585 DDV917585 DNR917585 DXN917585 EHJ917585 ERF917585 FBB917585 FKX917585 FUT917585 GEP917585 GOL917585 GYH917585 HID917585 HRZ917585 IBV917585 ILR917585 IVN917585 JFJ917585 JPF917585 JZB917585 KIX917585 KST917585 LCP917585 LML917585 LWH917585 MGD917585 MPZ917585 MZV917585 NJR917585 NTN917585 ODJ917585 ONF917585 OXB917585 PGX917585 PQT917585 QAP917585 QKL917585 QUH917585 RED917585 RNZ917585 RXV917585 SHR917585 SRN917585 TBJ917585 TLF917585 TVB917585 UEX917585 UOT917585 UYP917585 VIL917585 VSH917585 WCD917585 WLZ917585 WVV917585 N983121 JJ983121 TF983121 ADB983121 AMX983121 AWT983121 BGP983121 BQL983121 CAH983121 CKD983121 CTZ983121 DDV983121 DNR983121 DXN983121 EHJ983121 ERF983121 FBB983121 FKX983121 FUT983121 GEP983121 GOL983121 GYH983121 HID983121 HRZ983121 IBV983121 ILR983121 IVN983121 JFJ983121 JPF983121 JZB983121 KIX983121 KST983121 LCP983121 LML983121 LWH983121 MGD983121 MPZ983121 MZV983121 NJR983121 NTN983121 ODJ983121 ONF983121 OXB983121 PGX983121 PQT983121 QAP983121 QKL983121 QUH983121 RED983121 RNZ983121 RXV983121 SHR983121 SRN983121 TBJ983121 TLF983121 TVB983121 UEX983121 UOT983121 UYP983121 VIL983121 VSH983121 WCD983121 WLZ983121 WVV983121" xr:uid="{00000000-0002-0000-0200-00000E000000}"/>
    <dataValidation allowBlank="1" showInputMessage="1" showErrorMessage="1" promptTitle="Shares with CUA" prompt="All CUA shares. Examples CUA Shares, CUTrac Shares etc" sqref="N89 JJ89 TF89 ADB89 AMX89 AWT89 BGP89 BQL89 CAH89 CKD89 CTZ89 DDV89 DNR89 DXN89 EHJ89 ERF89 FBB89 FKX89 FUT89 GEP89 GOL89 GYH89 HID89 HRZ89 IBV89 ILR89 IVN89 JFJ89 JPF89 JZB89 KIX89 KST89 LCP89 LML89 LWH89 MGD89 MPZ89 MZV89 NJR89 NTN89 ODJ89 ONF89 OXB89 PGX89 PQT89 QAP89 QKL89 QUH89 RED89 RNZ89 RXV89 SHR89 SRN89 TBJ89 TLF89 TVB89 UEX89 UOT89 UYP89 VIL89 VSH89 WCD89 WLZ89 WVV89 N65625 JJ65625 TF65625 ADB65625 AMX65625 AWT65625 BGP65625 BQL65625 CAH65625 CKD65625 CTZ65625 DDV65625 DNR65625 DXN65625 EHJ65625 ERF65625 FBB65625 FKX65625 FUT65625 GEP65625 GOL65625 GYH65625 HID65625 HRZ65625 IBV65625 ILR65625 IVN65625 JFJ65625 JPF65625 JZB65625 KIX65625 KST65625 LCP65625 LML65625 LWH65625 MGD65625 MPZ65625 MZV65625 NJR65625 NTN65625 ODJ65625 ONF65625 OXB65625 PGX65625 PQT65625 QAP65625 QKL65625 QUH65625 RED65625 RNZ65625 RXV65625 SHR65625 SRN65625 TBJ65625 TLF65625 TVB65625 UEX65625 UOT65625 UYP65625 VIL65625 VSH65625 WCD65625 WLZ65625 WVV65625 N131161 JJ131161 TF131161 ADB131161 AMX131161 AWT131161 BGP131161 BQL131161 CAH131161 CKD131161 CTZ131161 DDV131161 DNR131161 DXN131161 EHJ131161 ERF131161 FBB131161 FKX131161 FUT131161 GEP131161 GOL131161 GYH131161 HID131161 HRZ131161 IBV131161 ILR131161 IVN131161 JFJ131161 JPF131161 JZB131161 KIX131161 KST131161 LCP131161 LML131161 LWH131161 MGD131161 MPZ131161 MZV131161 NJR131161 NTN131161 ODJ131161 ONF131161 OXB131161 PGX131161 PQT131161 QAP131161 QKL131161 QUH131161 RED131161 RNZ131161 RXV131161 SHR131161 SRN131161 TBJ131161 TLF131161 TVB131161 UEX131161 UOT131161 UYP131161 VIL131161 VSH131161 WCD131161 WLZ131161 WVV131161 N196697 JJ196697 TF196697 ADB196697 AMX196697 AWT196697 BGP196697 BQL196697 CAH196697 CKD196697 CTZ196697 DDV196697 DNR196697 DXN196697 EHJ196697 ERF196697 FBB196697 FKX196697 FUT196697 GEP196697 GOL196697 GYH196697 HID196697 HRZ196697 IBV196697 ILR196697 IVN196697 JFJ196697 JPF196697 JZB196697 KIX196697 KST196697 LCP196697 LML196697 LWH196697 MGD196697 MPZ196697 MZV196697 NJR196697 NTN196697 ODJ196697 ONF196697 OXB196697 PGX196697 PQT196697 QAP196697 QKL196697 QUH196697 RED196697 RNZ196697 RXV196697 SHR196697 SRN196697 TBJ196697 TLF196697 TVB196697 UEX196697 UOT196697 UYP196697 VIL196697 VSH196697 WCD196697 WLZ196697 WVV196697 N262233 JJ262233 TF262233 ADB262233 AMX262233 AWT262233 BGP262233 BQL262233 CAH262233 CKD262233 CTZ262233 DDV262233 DNR262233 DXN262233 EHJ262233 ERF262233 FBB262233 FKX262233 FUT262233 GEP262233 GOL262233 GYH262233 HID262233 HRZ262233 IBV262233 ILR262233 IVN262233 JFJ262233 JPF262233 JZB262233 KIX262233 KST262233 LCP262233 LML262233 LWH262233 MGD262233 MPZ262233 MZV262233 NJR262233 NTN262233 ODJ262233 ONF262233 OXB262233 PGX262233 PQT262233 QAP262233 QKL262233 QUH262233 RED262233 RNZ262233 RXV262233 SHR262233 SRN262233 TBJ262233 TLF262233 TVB262233 UEX262233 UOT262233 UYP262233 VIL262233 VSH262233 WCD262233 WLZ262233 WVV262233 N327769 JJ327769 TF327769 ADB327769 AMX327769 AWT327769 BGP327769 BQL327769 CAH327769 CKD327769 CTZ327769 DDV327769 DNR327769 DXN327769 EHJ327769 ERF327769 FBB327769 FKX327769 FUT327769 GEP327769 GOL327769 GYH327769 HID327769 HRZ327769 IBV327769 ILR327769 IVN327769 JFJ327769 JPF327769 JZB327769 KIX327769 KST327769 LCP327769 LML327769 LWH327769 MGD327769 MPZ327769 MZV327769 NJR327769 NTN327769 ODJ327769 ONF327769 OXB327769 PGX327769 PQT327769 QAP327769 QKL327769 QUH327769 RED327769 RNZ327769 RXV327769 SHR327769 SRN327769 TBJ327769 TLF327769 TVB327769 UEX327769 UOT327769 UYP327769 VIL327769 VSH327769 WCD327769 WLZ327769 WVV327769 N393305 JJ393305 TF393305 ADB393305 AMX393305 AWT393305 BGP393305 BQL393305 CAH393305 CKD393305 CTZ393305 DDV393305 DNR393305 DXN393305 EHJ393305 ERF393305 FBB393305 FKX393305 FUT393305 GEP393305 GOL393305 GYH393305 HID393305 HRZ393305 IBV393305 ILR393305 IVN393305 JFJ393305 JPF393305 JZB393305 KIX393305 KST393305 LCP393305 LML393305 LWH393305 MGD393305 MPZ393305 MZV393305 NJR393305 NTN393305 ODJ393305 ONF393305 OXB393305 PGX393305 PQT393305 QAP393305 QKL393305 QUH393305 RED393305 RNZ393305 RXV393305 SHR393305 SRN393305 TBJ393305 TLF393305 TVB393305 UEX393305 UOT393305 UYP393305 VIL393305 VSH393305 WCD393305 WLZ393305 WVV393305 N458841 JJ458841 TF458841 ADB458841 AMX458841 AWT458841 BGP458841 BQL458841 CAH458841 CKD458841 CTZ458841 DDV458841 DNR458841 DXN458841 EHJ458841 ERF458841 FBB458841 FKX458841 FUT458841 GEP458841 GOL458841 GYH458841 HID458841 HRZ458841 IBV458841 ILR458841 IVN458841 JFJ458841 JPF458841 JZB458841 KIX458841 KST458841 LCP458841 LML458841 LWH458841 MGD458841 MPZ458841 MZV458841 NJR458841 NTN458841 ODJ458841 ONF458841 OXB458841 PGX458841 PQT458841 QAP458841 QKL458841 QUH458841 RED458841 RNZ458841 RXV458841 SHR458841 SRN458841 TBJ458841 TLF458841 TVB458841 UEX458841 UOT458841 UYP458841 VIL458841 VSH458841 WCD458841 WLZ458841 WVV458841 N524377 JJ524377 TF524377 ADB524377 AMX524377 AWT524377 BGP524377 BQL524377 CAH524377 CKD524377 CTZ524377 DDV524377 DNR524377 DXN524377 EHJ524377 ERF524377 FBB524377 FKX524377 FUT524377 GEP524377 GOL524377 GYH524377 HID524377 HRZ524377 IBV524377 ILR524377 IVN524377 JFJ524377 JPF524377 JZB524377 KIX524377 KST524377 LCP524377 LML524377 LWH524377 MGD524377 MPZ524377 MZV524377 NJR524377 NTN524377 ODJ524377 ONF524377 OXB524377 PGX524377 PQT524377 QAP524377 QKL524377 QUH524377 RED524377 RNZ524377 RXV524377 SHR524377 SRN524377 TBJ524377 TLF524377 TVB524377 UEX524377 UOT524377 UYP524377 VIL524377 VSH524377 WCD524377 WLZ524377 WVV524377 N589913 JJ589913 TF589913 ADB589913 AMX589913 AWT589913 BGP589913 BQL589913 CAH589913 CKD589913 CTZ589913 DDV589913 DNR589913 DXN589913 EHJ589913 ERF589913 FBB589913 FKX589913 FUT589913 GEP589913 GOL589913 GYH589913 HID589913 HRZ589913 IBV589913 ILR589913 IVN589913 JFJ589913 JPF589913 JZB589913 KIX589913 KST589913 LCP589913 LML589913 LWH589913 MGD589913 MPZ589913 MZV589913 NJR589913 NTN589913 ODJ589913 ONF589913 OXB589913 PGX589913 PQT589913 QAP589913 QKL589913 QUH589913 RED589913 RNZ589913 RXV589913 SHR589913 SRN589913 TBJ589913 TLF589913 TVB589913 UEX589913 UOT589913 UYP589913 VIL589913 VSH589913 WCD589913 WLZ589913 WVV589913 N655449 JJ655449 TF655449 ADB655449 AMX655449 AWT655449 BGP655449 BQL655449 CAH655449 CKD655449 CTZ655449 DDV655449 DNR655449 DXN655449 EHJ655449 ERF655449 FBB655449 FKX655449 FUT655449 GEP655449 GOL655449 GYH655449 HID655449 HRZ655449 IBV655449 ILR655449 IVN655449 JFJ655449 JPF655449 JZB655449 KIX655449 KST655449 LCP655449 LML655449 LWH655449 MGD655449 MPZ655449 MZV655449 NJR655449 NTN655449 ODJ655449 ONF655449 OXB655449 PGX655449 PQT655449 QAP655449 QKL655449 QUH655449 RED655449 RNZ655449 RXV655449 SHR655449 SRN655449 TBJ655449 TLF655449 TVB655449 UEX655449 UOT655449 UYP655449 VIL655449 VSH655449 WCD655449 WLZ655449 WVV655449 N720985 JJ720985 TF720985 ADB720985 AMX720985 AWT720985 BGP720985 BQL720985 CAH720985 CKD720985 CTZ720985 DDV720985 DNR720985 DXN720985 EHJ720985 ERF720985 FBB720985 FKX720985 FUT720985 GEP720985 GOL720985 GYH720985 HID720985 HRZ720985 IBV720985 ILR720985 IVN720985 JFJ720985 JPF720985 JZB720985 KIX720985 KST720985 LCP720985 LML720985 LWH720985 MGD720985 MPZ720985 MZV720985 NJR720985 NTN720985 ODJ720985 ONF720985 OXB720985 PGX720985 PQT720985 QAP720985 QKL720985 QUH720985 RED720985 RNZ720985 RXV720985 SHR720985 SRN720985 TBJ720985 TLF720985 TVB720985 UEX720985 UOT720985 UYP720985 VIL720985 VSH720985 WCD720985 WLZ720985 WVV720985 N786521 JJ786521 TF786521 ADB786521 AMX786521 AWT786521 BGP786521 BQL786521 CAH786521 CKD786521 CTZ786521 DDV786521 DNR786521 DXN786521 EHJ786521 ERF786521 FBB786521 FKX786521 FUT786521 GEP786521 GOL786521 GYH786521 HID786521 HRZ786521 IBV786521 ILR786521 IVN786521 JFJ786521 JPF786521 JZB786521 KIX786521 KST786521 LCP786521 LML786521 LWH786521 MGD786521 MPZ786521 MZV786521 NJR786521 NTN786521 ODJ786521 ONF786521 OXB786521 PGX786521 PQT786521 QAP786521 QKL786521 QUH786521 RED786521 RNZ786521 RXV786521 SHR786521 SRN786521 TBJ786521 TLF786521 TVB786521 UEX786521 UOT786521 UYP786521 VIL786521 VSH786521 WCD786521 WLZ786521 WVV786521 N852057 JJ852057 TF852057 ADB852057 AMX852057 AWT852057 BGP852057 BQL852057 CAH852057 CKD852057 CTZ852057 DDV852057 DNR852057 DXN852057 EHJ852057 ERF852057 FBB852057 FKX852057 FUT852057 GEP852057 GOL852057 GYH852057 HID852057 HRZ852057 IBV852057 ILR852057 IVN852057 JFJ852057 JPF852057 JZB852057 KIX852057 KST852057 LCP852057 LML852057 LWH852057 MGD852057 MPZ852057 MZV852057 NJR852057 NTN852057 ODJ852057 ONF852057 OXB852057 PGX852057 PQT852057 QAP852057 QKL852057 QUH852057 RED852057 RNZ852057 RXV852057 SHR852057 SRN852057 TBJ852057 TLF852057 TVB852057 UEX852057 UOT852057 UYP852057 VIL852057 VSH852057 WCD852057 WLZ852057 WVV852057 N917593 JJ917593 TF917593 ADB917593 AMX917593 AWT917593 BGP917593 BQL917593 CAH917593 CKD917593 CTZ917593 DDV917593 DNR917593 DXN917593 EHJ917593 ERF917593 FBB917593 FKX917593 FUT917593 GEP917593 GOL917593 GYH917593 HID917593 HRZ917593 IBV917593 ILR917593 IVN917593 JFJ917593 JPF917593 JZB917593 KIX917593 KST917593 LCP917593 LML917593 LWH917593 MGD917593 MPZ917593 MZV917593 NJR917593 NTN917593 ODJ917593 ONF917593 OXB917593 PGX917593 PQT917593 QAP917593 QKL917593 QUH917593 RED917593 RNZ917593 RXV917593 SHR917593 SRN917593 TBJ917593 TLF917593 TVB917593 UEX917593 UOT917593 UYP917593 VIL917593 VSH917593 WCD917593 WLZ917593 WVV917593 N983129 JJ983129 TF983129 ADB983129 AMX983129 AWT983129 BGP983129 BQL983129 CAH983129 CKD983129 CTZ983129 DDV983129 DNR983129 DXN983129 EHJ983129 ERF983129 FBB983129 FKX983129 FUT983129 GEP983129 GOL983129 GYH983129 HID983129 HRZ983129 IBV983129 ILR983129 IVN983129 JFJ983129 JPF983129 JZB983129 KIX983129 KST983129 LCP983129 LML983129 LWH983129 MGD983129 MPZ983129 MZV983129 NJR983129 NTN983129 ODJ983129 ONF983129 OXB983129 PGX983129 PQT983129 QAP983129 QKL983129 QUH983129 RED983129 RNZ983129 RXV983129 SHR983129 SRN983129 TBJ983129 TLF983129 TVB983129 UEX983129 UOT983129 UYP983129 VIL983129 VSH983129 WCD983129 WLZ983129 WVV983129" xr:uid="{00000000-0002-0000-0200-00000F000000}"/>
    <dataValidation allowBlank="1" showInputMessage="1" showErrorMessage="1" promptTitle="External Loan from CUA" prompt="Short Term CFF Loan" sqref="N128 JJ128 TF128 ADB128 AMX128 AWT128 BGP128 BQL128 CAH128 CKD128 CTZ128 DDV128 DNR128 DXN128 EHJ128 ERF128 FBB128 FKX128 FUT128 GEP128 GOL128 GYH128 HID128 HRZ128 IBV128 ILR128 IVN128 JFJ128 JPF128 JZB128 KIX128 KST128 LCP128 LML128 LWH128 MGD128 MPZ128 MZV128 NJR128 NTN128 ODJ128 ONF128 OXB128 PGX128 PQT128 QAP128 QKL128 QUH128 RED128 RNZ128 RXV128 SHR128 SRN128 TBJ128 TLF128 TVB128 UEX128 UOT128 UYP128 VIL128 VSH128 WCD128 WLZ128 WVV128 N65664 JJ65664 TF65664 ADB65664 AMX65664 AWT65664 BGP65664 BQL65664 CAH65664 CKD65664 CTZ65664 DDV65664 DNR65664 DXN65664 EHJ65664 ERF65664 FBB65664 FKX65664 FUT65664 GEP65664 GOL65664 GYH65664 HID65664 HRZ65664 IBV65664 ILR65664 IVN65664 JFJ65664 JPF65664 JZB65664 KIX65664 KST65664 LCP65664 LML65664 LWH65664 MGD65664 MPZ65664 MZV65664 NJR65664 NTN65664 ODJ65664 ONF65664 OXB65664 PGX65664 PQT65664 QAP65664 QKL65664 QUH65664 RED65664 RNZ65664 RXV65664 SHR65664 SRN65664 TBJ65664 TLF65664 TVB65664 UEX65664 UOT65664 UYP65664 VIL65664 VSH65664 WCD65664 WLZ65664 WVV65664 N131200 JJ131200 TF131200 ADB131200 AMX131200 AWT131200 BGP131200 BQL131200 CAH131200 CKD131200 CTZ131200 DDV131200 DNR131200 DXN131200 EHJ131200 ERF131200 FBB131200 FKX131200 FUT131200 GEP131200 GOL131200 GYH131200 HID131200 HRZ131200 IBV131200 ILR131200 IVN131200 JFJ131200 JPF131200 JZB131200 KIX131200 KST131200 LCP131200 LML131200 LWH131200 MGD131200 MPZ131200 MZV131200 NJR131200 NTN131200 ODJ131200 ONF131200 OXB131200 PGX131200 PQT131200 QAP131200 QKL131200 QUH131200 RED131200 RNZ131200 RXV131200 SHR131200 SRN131200 TBJ131200 TLF131200 TVB131200 UEX131200 UOT131200 UYP131200 VIL131200 VSH131200 WCD131200 WLZ131200 WVV131200 N196736 JJ196736 TF196736 ADB196736 AMX196736 AWT196736 BGP196736 BQL196736 CAH196736 CKD196736 CTZ196736 DDV196736 DNR196736 DXN196736 EHJ196736 ERF196736 FBB196736 FKX196736 FUT196736 GEP196736 GOL196736 GYH196736 HID196736 HRZ196736 IBV196736 ILR196736 IVN196736 JFJ196736 JPF196736 JZB196736 KIX196736 KST196736 LCP196736 LML196736 LWH196736 MGD196736 MPZ196736 MZV196736 NJR196736 NTN196736 ODJ196736 ONF196736 OXB196736 PGX196736 PQT196736 QAP196736 QKL196736 QUH196736 RED196736 RNZ196736 RXV196736 SHR196736 SRN196736 TBJ196736 TLF196736 TVB196736 UEX196736 UOT196736 UYP196736 VIL196736 VSH196736 WCD196736 WLZ196736 WVV196736 N262272 JJ262272 TF262272 ADB262272 AMX262272 AWT262272 BGP262272 BQL262272 CAH262272 CKD262272 CTZ262272 DDV262272 DNR262272 DXN262272 EHJ262272 ERF262272 FBB262272 FKX262272 FUT262272 GEP262272 GOL262272 GYH262272 HID262272 HRZ262272 IBV262272 ILR262272 IVN262272 JFJ262272 JPF262272 JZB262272 KIX262272 KST262272 LCP262272 LML262272 LWH262272 MGD262272 MPZ262272 MZV262272 NJR262272 NTN262272 ODJ262272 ONF262272 OXB262272 PGX262272 PQT262272 QAP262272 QKL262272 QUH262272 RED262272 RNZ262272 RXV262272 SHR262272 SRN262272 TBJ262272 TLF262272 TVB262272 UEX262272 UOT262272 UYP262272 VIL262272 VSH262272 WCD262272 WLZ262272 WVV262272 N327808 JJ327808 TF327808 ADB327808 AMX327808 AWT327808 BGP327808 BQL327808 CAH327808 CKD327808 CTZ327808 DDV327808 DNR327808 DXN327808 EHJ327808 ERF327808 FBB327808 FKX327808 FUT327808 GEP327808 GOL327808 GYH327808 HID327808 HRZ327808 IBV327808 ILR327808 IVN327808 JFJ327808 JPF327808 JZB327808 KIX327808 KST327808 LCP327808 LML327808 LWH327808 MGD327808 MPZ327808 MZV327808 NJR327808 NTN327808 ODJ327808 ONF327808 OXB327808 PGX327808 PQT327808 QAP327808 QKL327808 QUH327808 RED327808 RNZ327808 RXV327808 SHR327808 SRN327808 TBJ327808 TLF327808 TVB327808 UEX327808 UOT327808 UYP327808 VIL327808 VSH327808 WCD327808 WLZ327808 WVV327808 N393344 JJ393344 TF393344 ADB393344 AMX393344 AWT393344 BGP393344 BQL393344 CAH393344 CKD393344 CTZ393344 DDV393344 DNR393344 DXN393344 EHJ393344 ERF393344 FBB393344 FKX393344 FUT393344 GEP393344 GOL393344 GYH393344 HID393344 HRZ393344 IBV393344 ILR393344 IVN393344 JFJ393344 JPF393344 JZB393344 KIX393344 KST393344 LCP393344 LML393344 LWH393344 MGD393344 MPZ393344 MZV393344 NJR393344 NTN393344 ODJ393344 ONF393344 OXB393344 PGX393344 PQT393344 QAP393344 QKL393344 QUH393344 RED393344 RNZ393344 RXV393344 SHR393344 SRN393344 TBJ393344 TLF393344 TVB393344 UEX393344 UOT393344 UYP393344 VIL393344 VSH393344 WCD393344 WLZ393344 WVV393344 N458880 JJ458880 TF458880 ADB458880 AMX458880 AWT458880 BGP458880 BQL458880 CAH458880 CKD458880 CTZ458880 DDV458880 DNR458880 DXN458880 EHJ458880 ERF458880 FBB458880 FKX458880 FUT458880 GEP458880 GOL458880 GYH458880 HID458880 HRZ458880 IBV458880 ILR458880 IVN458880 JFJ458880 JPF458880 JZB458880 KIX458880 KST458880 LCP458880 LML458880 LWH458880 MGD458880 MPZ458880 MZV458880 NJR458880 NTN458880 ODJ458880 ONF458880 OXB458880 PGX458880 PQT458880 QAP458880 QKL458880 QUH458880 RED458880 RNZ458880 RXV458880 SHR458880 SRN458880 TBJ458880 TLF458880 TVB458880 UEX458880 UOT458880 UYP458880 VIL458880 VSH458880 WCD458880 WLZ458880 WVV458880 N524416 JJ524416 TF524416 ADB524416 AMX524416 AWT524416 BGP524416 BQL524416 CAH524416 CKD524416 CTZ524416 DDV524416 DNR524416 DXN524416 EHJ524416 ERF524416 FBB524416 FKX524416 FUT524416 GEP524416 GOL524416 GYH524416 HID524416 HRZ524416 IBV524416 ILR524416 IVN524416 JFJ524416 JPF524416 JZB524416 KIX524416 KST524416 LCP524416 LML524416 LWH524416 MGD524416 MPZ524416 MZV524416 NJR524416 NTN524416 ODJ524416 ONF524416 OXB524416 PGX524416 PQT524416 QAP524416 QKL524416 QUH524416 RED524416 RNZ524416 RXV524416 SHR524416 SRN524416 TBJ524416 TLF524416 TVB524416 UEX524416 UOT524416 UYP524416 VIL524416 VSH524416 WCD524416 WLZ524416 WVV524416 N589952 JJ589952 TF589952 ADB589952 AMX589952 AWT589952 BGP589952 BQL589952 CAH589952 CKD589952 CTZ589952 DDV589952 DNR589952 DXN589952 EHJ589952 ERF589952 FBB589952 FKX589952 FUT589952 GEP589952 GOL589952 GYH589952 HID589952 HRZ589952 IBV589952 ILR589952 IVN589952 JFJ589952 JPF589952 JZB589952 KIX589952 KST589952 LCP589952 LML589952 LWH589952 MGD589952 MPZ589952 MZV589952 NJR589952 NTN589952 ODJ589952 ONF589952 OXB589952 PGX589952 PQT589952 QAP589952 QKL589952 QUH589952 RED589952 RNZ589952 RXV589952 SHR589952 SRN589952 TBJ589952 TLF589952 TVB589952 UEX589952 UOT589952 UYP589952 VIL589952 VSH589952 WCD589952 WLZ589952 WVV589952 N655488 JJ655488 TF655488 ADB655488 AMX655488 AWT655488 BGP655488 BQL655488 CAH655488 CKD655488 CTZ655488 DDV655488 DNR655488 DXN655488 EHJ655488 ERF655488 FBB655488 FKX655488 FUT655488 GEP655488 GOL655488 GYH655488 HID655488 HRZ655488 IBV655488 ILR655488 IVN655488 JFJ655488 JPF655488 JZB655488 KIX655488 KST655488 LCP655488 LML655488 LWH655488 MGD655488 MPZ655488 MZV655488 NJR655488 NTN655488 ODJ655488 ONF655488 OXB655488 PGX655488 PQT655488 QAP655488 QKL655488 QUH655488 RED655488 RNZ655488 RXV655488 SHR655488 SRN655488 TBJ655488 TLF655488 TVB655488 UEX655488 UOT655488 UYP655488 VIL655488 VSH655488 WCD655488 WLZ655488 WVV655488 N721024 JJ721024 TF721024 ADB721024 AMX721024 AWT721024 BGP721024 BQL721024 CAH721024 CKD721024 CTZ721024 DDV721024 DNR721024 DXN721024 EHJ721024 ERF721024 FBB721024 FKX721024 FUT721024 GEP721024 GOL721024 GYH721024 HID721024 HRZ721024 IBV721024 ILR721024 IVN721024 JFJ721024 JPF721024 JZB721024 KIX721024 KST721024 LCP721024 LML721024 LWH721024 MGD721024 MPZ721024 MZV721024 NJR721024 NTN721024 ODJ721024 ONF721024 OXB721024 PGX721024 PQT721024 QAP721024 QKL721024 QUH721024 RED721024 RNZ721024 RXV721024 SHR721024 SRN721024 TBJ721024 TLF721024 TVB721024 UEX721024 UOT721024 UYP721024 VIL721024 VSH721024 WCD721024 WLZ721024 WVV721024 N786560 JJ786560 TF786560 ADB786560 AMX786560 AWT786560 BGP786560 BQL786560 CAH786560 CKD786560 CTZ786560 DDV786560 DNR786560 DXN786560 EHJ786560 ERF786560 FBB786560 FKX786560 FUT786560 GEP786560 GOL786560 GYH786560 HID786560 HRZ786560 IBV786560 ILR786560 IVN786560 JFJ786560 JPF786560 JZB786560 KIX786560 KST786560 LCP786560 LML786560 LWH786560 MGD786560 MPZ786560 MZV786560 NJR786560 NTN786560 ODJ786560 ONF786560 OXB786560 PGX786560 PQT786560 QAP786560 QKL786560 QUH786560 RED786560 RNZ786560 RXV786560 SHR786560 SRN786560 TBJ786560 TLF786560 TVB786560 UEX786560 UOT786560 UYP786560 VIL786560 VSH786560 WCD786560 WLZ786560 WVV786560 N852096 JJ852096 TF852096 ADB852096 AMX852096 AWT852096 BGP852096 BQL852096 CAH852096 CKD852096 CTZ852096 DDV852096 DNR852096 DXN852096 EHJ852096 ERF852096 FBB852096 FKX852096 FUT852096 GEP852096 GOL852096 GYH852096 HID852096 HRZ852096 IBV852096 ILR852096 IVN852096 JFJ852096 JPF852096 JZB852096 KIX852096 KST852096 LCP852096 LML852096 LWH852096 MGD852096 MPZ852096 MZV852096 NJR852096 NTN852096 ODJ852096 ONF852096 OXB852096 PGX852096 PQT852096 QAP852096 QKL852096 QUH852096 RED852096 RNZ852096 RXV852096 SHR852096 SRN852096 TBJ852096 TLF852096 TVB852096 UEX852096 UOT852096 UYP852096 VIL852096 VSH852096 WCD852096 WLZ852096 WVV852096 N917632 JJ917632 TF917632 ADB917632 AMX917632 AWT917632 BGP917632 BQL917632 CAH917632 CKD917632 CTZ917632 DDV917632 DNR917632 DXN917632 EHJ917632 ERF917632 FBB917632 FKX917632 FUT917632 GEP917632 GOL917632 GYH917632 HID917632 HRZ917632 IBV917632 ILR917632 IVN917632 JFJ917632 JPF917632 JZB917632 KIX917632 KST917632 LCP917632 LML917632 LWH917632 MGD917632 MPZ917632 MZV917632 NJR917632 NTN917632 ODJ917632 ONF917632 OXB917632 PGX917632 PQT917632 QAP917632 QKL917632 QUH917632 RED917632 RNZ917632 RXV917632 SHR917632 SRN917632 TBJ917632 TLF917632 TVB917632 UEX917632 UOT917632 UYP917632 VIL917632 VSH917632 WCD917632 WLZ917632 WVV917632 N983168 JJ983168 TF983168 ADB983168 AMX983168 AWT983168 BGP983168 BQL983168 CAH983168 CKD983168 CTZ983168 DDV983168 DNR983168 DXN983168 EHJ983168 ERF983168 FBB983168 FKX983168 FUT983168 GEP983168 GOL983168 GYH983168 HID983168 HRZ983168 IBV983168 ILR983168 IVN983168 JFJ983168 JPF983168 JZB983168 KIX983168 KST983168 LCP983168 LML983168 LWH983168 MGD983168 MPZ983168 MZV983168 NJR983168 NTN983168 ODJ983168 ONF983168 OXB983168 PGX983168 PQT983168 QAP983168 QKL983168 QUH983168 RED983168 RNZ983168 RXV983168 SHR983168 SRN983168 TBJ983168 TLF983168 TVB983168 UEX983168 UOT983168 UYP983168 VIL983168 VSH983168 WCD983168 WLZ983168 WVV983168" xr:uid="{00000000-0002-0000-0200-000010000000}"/>
    <dataValidation allowBlank="1" showInputMessage="1" showErrorMessage="1" promptTitle="External Loan from Private Ent" prompt="Short Term Loan from Private Enterprises" sqref="N131 JJ131 TF131 ADB131 AMX131 AWT131 BGP131 BQL131 CAH131 CKD131 CTZ131 DDV131 DNR131 DXN131 EHJ131 ERF131 FBB131 FKX131 FUT131 GEP131 GOL131 GYH131 HID131 HRZ131 IBV131 ILR131 IVN131 JFJ131 JPF131 JZB131 KIX131 KST131 LCP131 LML131 LWH131 MGD131 MPZ131 MZV131 NJR131 NTN131 ODJ131 ONF131 OXB131 PGX131 PQT131 QAP131 QKL131 QUH131 RED131 RNZ131 RXV131 SHR131 SRN131 TBJ131 TLF131 TVB131 UEX131 UOT131 UYP131 VIL131 VSH131 WCD131 WLZ131 WVV131 N65667 JJ65667 TF65667 ADB65667 AMX65667 AWT65667 BGP65667 BQL65667 CAH65667 CKD65667 CTZ65667 DDV65667 DNR65667 DXN65667 EHJ65667 ERF65667 FBB65667 FKX65667 FUT65667 GEP65667 GOL65667 GYH65667 HID65667 HRZ65667 IBV65667 ILR65667 IVN65667 JFJ65667 JPF65667 JZB65667 KIX65667 KST65667 LCP65667 LML65667 LWH65667 MGD65667 MPZ65667 MZV65667 NJR65667 NTN65667 ODJ65667 ONF65667 OXB65667 PGX65667 PQT65667 QAP65667 QKL65667 QUH65667 RED65667 RNZ65667 RXV65667 SHR65667 SRN65667 TBJ65667 TLF65667 TVB65667 UEX65667 UOT65667 UYP65667 VIL65667 VSH65667 WCD65667 WLZ65667 WVV65667 N131203 JJ131203 TF131203 ADB131203 AMX131203 AWT131203 BGP131203 BQL131203 CAH131203 CKD131203 CTZ131203 DDV131203 DNR131203 DXN131203 EHJ131203 ERF131203 FBB131203 FKX131203 FUT131203 GEP131203 GOL131203 GYH131203 HID131203 HRZ131203 IBV131203 ILR131203 IVN131203 JFJ131203 JPF131203 JZB131203 KIX131203 KST131203 LCP131203 LML131203 LWH131203 MGD131203 MPZ131203 MZV131203 NJR131203 NTN131203 ODJ131203 ONF131203 OXB131203 PGX131203 PQT131203 QAP131203 QKL131203 QUH131203 RED131203 RNZ131203 RXV131203 SHR131203 SRN131203 TBJ131203 TLF131203 TVB131203 UEX131203 UOT131203 UYP131203 VIL131203 VSH131203 WCD131203 WLZ131203 WVV131203 N196739 JJ196739 TF196739 ADB196739 AMX196739 AWT196739 BGP196739 BQL196739 CAH196739 CKD196739 CTZ196739 DDV196739 DNR196739 DXN196739 EHJ196739 ERF196739 FBB196739 FKX196739 FUT196739 GEP196739 GOL196739 GYH196739 HID196739 HRZ196739 IBV196739 ILR196739 IVN196739 JFJ196739 JPF196739 JZB196739 KIX196739 KST196739 LCP196739 LML196739 LWH196739 MGD196739 MPZ196739 MZV196739 NJR196739 NTN196739 ODJ196739 ONF196739 OXB196739 PGX196739 PQT196739 QAP196739 QKL196739 QUH196739 RED196739 RNZ196739 RXV196739 SHR196739 SRN196739 TBJ196739 TLF196739 TVB196739 UEX196739 UOT196739 UYP196739 VIL196739 VSH196739 WCD196739 WLZ196739 WVV196739 N262275 JJ262275 TF262275 ADB262275 AMX262275 AWT262275 BGP262275 BQL262275 CAH262275 CKD262275 CTZ262275 DDV262275 DNR262275 DXN262275 EHJ262275 ERF262275 FBB262275 FKX262275 FUT262275 GEP262275 GOL262275 GYH262275 HID262275 HRZ262275 IBV262275 ILR262275 IVN262275 JFJ262275 JPF262275 JZB262275 KIX262275 KST262275 LCP262275 LML262275 LWH262275 MGD262275 MPZ262275 MZV262275 NJR262275 NTN262275 ODJ262275 ONF262275 OXB262275 PGX262275 PQT262275 QAP262275 QKL262275 QUH262275 RED262275 RNZ262275 RXV262275 SHR262275 SRN262275 TBJ262275 TLF262275 TVB262275 UEX262275 UOT262275 UYP262275 VIL262275 VSH262275 WCD262275 WLZ262275 WVV262275 N327811 JJ327811 TF327811 ADB327811 AMX327811 AWT327811 BGP327811 BQL327811 CAH327811 CKD327811 CTZ327811 DDV327811 DNR327811 DXN327811 EHJ327811 ERF327811 FBB327811 FKX327811 FUT327811 GEP327811 GOL327811 GYH327811 HID327811 HRZ327811 IBV327811 ILR327811 IVN327811 JFJ327811 JPF327811 JZB327811 KIX327811 KST327811 LCP327811 LML327811 LWH327811 MGD327811 MPZ327811 MZV327811 NJR327811 NTN327811 ODJ327811 ONF327811 OXB327811 PGX327811 PQT327811 QAP327811 QKL327811 QUH327811 RED327811 RNZ327811 RXV327811 SHR327811 SRN327811 TBJ327811 TLF327811 TVB327811 UEX327811 UOT327811 UYP327811 VIL327811 VSH327811 WCD327811 WLZ327811 WVV327811 N393347 JJ393347 TF393347 ADB393347 AMX393347 AWT393347 BGP393347 BQL393347 CAH393347 CKD393347 CTZ393347 DDV393347 DNR393347 DXN393347 EHJ393347 ERF393347 FBB393347 FKX393347 FUT393347 GEP393347 GOL393347 GYH393347 HID393347 HRZ393347 IBV393347 ILR393347 IVN393347 JFJ393347 JPF393347 JZB393347 KIX393347 KST393347 LCP393347 LML393347 LWH393347 MGD393347 MPZ393347 MZV393347 NJR393347 NTN393347 ODJ393347 ONF393347 OXB393347 PGX393347 PQT393347 QAP393347 QKL393347 QUH393347 RED393347 RNZ393347 RXV393347 SHR393347 SRN393347 TBJ393347 TLF393347 TVB393347 UEX393347 UOT393347 UYP393347 VIL393347 VSH393347 WCD393347 WLZ393347 WVV393347 N458883 JJ458883 TF458883 ADB458883 AMX458883 AWT458883 BGP458883 BQL458883 CAH458883 CKD458883 CTZ458883 DDV458883 DNR458883 DXN458883 EHJ458883 ERF458883 FBB458883 FKX458883 FUT458883 GEP458883 GOL458883 GYH458883 HID458883 HRZ458883 IBV458883 ILR458883 IVN458883 JFJ458883 JPF458883 JZB458883 KIX458883 KST458883 LCP458883 LML458883 LWH458883 MGD458883 MPZ458883 MZV458883 NJR458883 NTN458883 ODJ458883 ONF458883 OXB458883 PGX458883 PQT458883 QAP458883 QKL458883 QUH458883 RED458883 RNZ458883 RXV458883 SHR458883 SRN458883 TBJ458883 TLF458883 TVB458883 UEX458883 UOT458883 UYP458883 VIL458883 VSH458883 WCD458883 WLZ458883 WVV458883 N524419 JJ524419 TF524419 ADB524419 AMX524419 AWT524419 BGP524419 BQL524419 CAH524419 CKD524419 CTZ524419 DDV524419 DNR524419 DXN524419 EHJ524419 ERF524419 FBB524419 FKX524419 FUT524419 GEP524419 GOL524419 GYH524419 HID524419 HRZ524419 IBV524419 ILR524419 IVN524419 JFJ524419 JPF524419 JZB524419 KIX524419 KST524419 LCP524419 LML524419 LWH524419 MGD524419 MPZ524419 MZV524419 NJR524419 NTN524419 ODJ524419 ONF524419 OXB524419 PGX524419 PQT524419 QAP524419 QKL524419 QUH524419 RED524419 RNZ524419 RXV524419 SHR524419 SRN524419 TBJ524419 TLF524419 TVB524419 UEX524419 UOT524419 UYP524419 VIL524419 VSH524419 WCD524419 WLZ524419 WVV524419 N589955 JJ589955 TF589955 ADB589955 AMX589955 AWT589955 BGP589955 BQL589955 CAH589955 CKD589955 CTZ589955 DDV589955 DNR589955 DXN589955 EHJ589955 ERF589955 FBB589955 FKX589955 FUT589955 GEP589955 GOL589955 GYH589955 HID589955 HRZ589955 IBV589955 ILR589955 IVN589955 JFJ589955 JPF589955 JZB589955 KIX589955 KST589955 LCP589955 LML589955 LWH589955 MGD589955 MPZ589955 MZV589955 NJR589955 NTN589955 ODJ589955 ONF589955 OXB589955 PGX589955 PQT589955 QAP589955 QKL589955 QUH589955 RED589955 RNZ589955 RXV589955 SHR589955 SRN589955 TBJ589955 TLF589955 TVB589955 UEX589955 UOT589955 UYP589955 VIL589955 VSH589955 WCD589955 WLZ589955 WVV589955 N655491 JJ655491 TF655491 ADB655491 AMX655491 AWT655491 BGP655491 BQL655491 CAH655491 CKD655491 CTZ655491 DDV655491 DNR655491 DXN655491 EHJ655491 ERF655491 FBB655491 FKX655491 FUT655491 GEP655491 GOL655491 GYH655491 HID655491 HRZ655491 IBV655491 ILR655491 IVN655491 JFJ655491 JPF655491 JZB655491 KIX655491 KST655491 LCP655491 LML655491 LWH655491 MGD655491 MPZ655491 MZV655491 NJR655491 NTN655491 ODJ655491 ONF655491 OXB655491 PGX655491 PQT655491 QAP655491 QKL655491 QUH655491 RED655491 RNZ655491 RXV655491 SHR655491 SRN655491 TBJ655491 TLF655491 TVB655491 UEX655491 UOT655491 UYP655491 VIL655491 VSH655491 WCD655491 WLZ655491 WVV655491 N721027 JJ721027 TF721027 ADB721027 AMX721027 AWT721027 BGP721027 BQL721027 CAH721027 CKD721027 CTZ721027 DDV721027 DNR721027 DXN721027 EHJ721027 ERF721027 FBB721027 FKX721027 FUT721027 GEP721027 GOL721027 GYH721027 HID721027 HRZ721027 IBV721027 ILR721027 IVN721027 JFJ721027 JPF721027 JZB721027 KIX721027 KST721027 LCP721027 LML721027 LWH721027 MGD721027 MPZ721027 MZV721027 NJR721027 NTN721027 ODJ721027 ONF721027 OXB721027 PGX721027 PQT721027 QAP721027 QKL721027 QUH721027 RED721027 RNZ721027 RXV721027 SHR721027 SRN721027 TBJ721027 TLF721027 TVB721027 UEX721027 UOT721027 UYP721027 VIL721027 VSH721027 WCD721027 WLZ721027 WVV721027 N786563 JJ786563 TF786563 ADB786563 AMX786563 AWT786563 BGP786563 BQL786563 CAH786563 CKD786563 CTZ786563 DDV786563 DNR786563 DXN786563 EHJ786563 ERF786563 FBB786563 FKX786563 FUT786563 GEP786563 GOL786563 GYH786563 HID786563 HRZ786563 IBV786563 ILR786563 IVN786563 JFJ786563 JPF786563 JZB786563 KIX786563 KST786563 LCP786563 LML786563 LWH786563 MGD786563 MPZ786563 MZV786563 NJR786563 NTN786563 ODJ786563 ONF786563 OXB786563 PGX786563 PQT786563 QAP786563 QKL786563 QUH786563 RED786563 RNZ786563 RXV786563 SHR786563 SRN786563 TBJ786563 TLF786563 TVB786563 UEX786563 UOT786563 UYP786563 VIL786563 VSH786563 WCD786563 WLZ786563 WVV786563 N852099 JJ852099 TF852099 ADB852099 AMX852099 AWT852099 BGP852099 BQL852099 CAH852099 CKD852099 CTZ852099 DDV852099 DNR852099 DXN852099 EHJ852099 ERF852099 FBB852099 FKX852099 FUT852099 GEP852099 GOL852099 GYH852099 HID852099 HRZ852099 IBV852099 ILR852099 IVN852099 JFJ852099 JPF852099 JZB852099 KIX852099 KST852099 LCP852099 LML852099 LWH852099 MGD852099 MPZ852099 MZV852099 NJR852099 NTN852099 ODJ852099 ONF852099 OXB852099 PGX852099 PQT852099 QAP852099 QKL852099 QUH852099 RED852099 RNZ852099 RXV852099 SHR852099 SRN852099 TBJ852099 TLF852099 TVB852099 UEX852099 UOT852099 UYP852099 VIL852099 VSH852099 WCD852099 WLZ852099 WVV852099 N917635 JJ917635 TF917635 ADB917635 AMX917635 AWT917635 BGP917635 BQL917635 CAH917635 CKD917635 CTZ917635 DDV917635 DNR917635 DXN917635 EHJ917635 ERF917635 FBB917635 FKX917635 FUT917635 GEP917635 GOL917635 GYH917635 HID917635 HRZ917635 IBV917635 ILR917635 IVN917635 JFJ917635 JPF917635 JZB917635 KIX917635 KST917635 LCP917635 LML917635 LWH917635 MGD917635 MPZ917635 MZV917635 NJR917635 NTN917635 ODJ917635 ONF917635 OXB917635 PGX917635 PQT917635 QAP917635 QKL917635 QUH917635 RED917635 RNZ917635 RXV917635 SHR917635 SRN917635 TBJ917635 TLF917635 TVB917635 UEX917635 UOT917635 UYP917635 VIL917635 VSH917635 WCD917635 WLZ917635 WVV917635 N983171 JJ983171 TF983171 ADB983171 AMX983171 AWT983171 BGP983171 BQL983171 CAH983171 CKD983171 CTZ983171 DDV983171 DNR983171 DXN983171 EHJ983171 ERF983171 FBB983171 FKX983171 FUT983171 GEP983171 GOL983171 GYH983171 HID983171 HRZ983171 IBV983171 ILR983171 IVN983171 JFJ983171 JPF983171 JZB983171 KIX983171 KST983171 LCP983171 LML983171 LWH983171 MGD983171 MPZ983171 MZV983171 NJR983171 NTN983171 ODJ983171 ONF983171 OXB983171 PGX983171 PQT983171 QAP983171 QKL983171 QUH983171 RED983171 RNZ983171 RXV983171 SHR983171 SRN983171 TBJ983171 TLF983171 TVB983171 UEX983171 UOT983171 UYP983171 VIL983171 VSH983171 WCD983171 WLZ983171 WVV983171" xr:uid="{00000000-0002-0000-0200-000011000000}"/>
    <dataValidation allowBlank="1" showInputMessage="1" showErrorMessage="1" promptTitle="External Loan from Banks" prompt="Short term Loan for Banks. Example Loan from GCB" sqref="N127 JJ127 TF127 ADB127 AMX127 AWT127 BGP127 BQL127 CAH127 CKD127 CTZ127 DDV127 DNR127 DXN127 EHJ127 ERF127 FBB127 FKX127 FUT127 GEP127 GOL127 GYH127 HID127 HRZ127 IBV127 ILR127 IVN127 JFJ127 JPF127 JZB127 KIX127 KST127 LCP127 LML127 LWH127 MGD127 MPZ127 MZV127 NJR127 NTN127 ODJ127 ONF127 OXB127 PGX127 PQT127 QAP127 QKL127 QUH127 RED127 RNZ127 RXV127 SHR127 SRN127 TBJ127 TLF127 TVB127 UEX127 UOT127 UYP127 VIL127 VSH127 WCD127 WLZ127 WVV127 N65663 JJ65663 TF65663 ADB65663 AMX65663 AWT65663 BGP65663 BQL65663 CAH65663 CKD65663 CTZ65663 DDV65663 DNR65663 DXN65663 EHJ65663 ERF65663 FBB65663 FKX65663 FUT65663 GEP65663 GOL65663 GYH65663 HID65663 HRZ65663 IBV65663 ILR65663 IVN65663 JFJ65663 JPF65663 JZB65663 KIX65663 KST65663 LCP65663 LML65663 LWH65663 MGD65663 MPZ65663 MZV65663 NJR65663 NTN65663 ODJ65663 ONF65663 OXB65663 PGX65663 PQT65663 QAP65663 QKL65663 QUH65663 RED65663 RNZ65663 RXV65663 SHR65663 SRN65663 TBJ65663 TLF65663 TVB65663 UEX65663 UOT65663 UYP65663 VIL65663 VSH65663 WCD65663 WLZ65663 WVV65663 N131199 JJ131199 TF131199 ADB131199 AMX131199 AWT131199 BGP131199 BQL131199 CAH131199 CKD131199 CTZ131199 DDV131199 DNR131199 DXN131199 EHJ131199 ERF131199 FBB131199 FKX131199 FUT131199 GEP131199 GOL131199 GYH131199 HID131199 HRZ131199 IBV131199 ILR131199 IVN131199 JFJ131199 JPF131199 JZB131199 KIX131199 KST131199 LCP131199 LML131199 LWH131199 MGD131199 MPZ131199 MZV131199 NJR131199 NTN131199 ODJ131199 ONF131199 OXB131199 PGX131199 PQT131199 QAP131199 QKL131199 QUH131199 RED131199 RNZ131199 RXV131199 SHR131199 SRN131199 TBJ131199 TLF131199 TVB131199 UEX131199 UOT131199 UYP131199 VIL131199 VSH131199 WCD131199 WLZ131199 WVV131199 N196735 JJ196735 TF196735 ADB196735 AMX196735 AWT196735 BGP196735 BQL196735 CAH196735 CKD196735 CTZ196735 DDV196735 DNR196735 DXN196735 EHJ196735 ERF196735 FBB196735 FKX196735 FUT196735 GEP196735 GOL196735 GYH196735 HID196735 HRZ196735 IBV196735 ILR196735 IVN196735 JFJ196735 JPF196735 JZB196735 KIX196735 KST196735 LCP196735 LML196735 LWH196735 MGD196735 MPZ196735 MZV196735 NJR196735 NTN196735 ODJ196735 ONF196735 OXB196735 PGX196735 PQT196735 QAP196735 QKL196735 QUH196735 RED196735 RNZ196735 RXV196735 SHR196735 SRN196735 TBJ196735 TLF196735 TVB196735 UEX196735 UOT196735 UYP196735 VIL196735 VSH196735 WCD196735 WLZ196735 WVV196735 N262271 JJ262271 TF262271 ADB262271 AMX262271 AWT262271 BGP262271 BQL262271 CAH262271 CKD262271 CTZ262271 DDV262271 DNR262271 DXN262271 EHJ262271 ERF262271 FBB262271 FKX262271 FUT262271 GEP262271 GOL262271 GYH262271 HID262271 HRZ262271 IBV262271 ILR262271 IVN262271 JFJ262271 JPF262271 JZB262271 KIX262271 KST262271 LCP262271 LML262271 LWH262271 MGD262271 MPZ262271 MZV262271 NJR262271 NTN262271 ODJ262271 ONF262271 OXB262271 PGX262271 PQT262271 QAP262271 QKL262271 QUH262271 RED262271 RNZ262271 RXV262271 SHR262271 SRN262271 TBJ262271 TLF262271 TVB262271 UEX262271 UOT262271 UYP262271 VIL262271 VSH262271 WCD262271 WLZ262271 WVV262271 N327807 JJ327807 TF327807 ADB327807 AMX327807 AWT327807 BGP327807 BQL327807 CAH327807 CKD327807 CTZ327807 DDV327807 DNR327807 DXN327807 EHJ327807 ERF327807 FBB327807 FKX327807 FUT327807 GEP327807 GOL327807 GYH327807 HID327807 HRZ327807 IBV327807 ILR327807 IVN327807 JFJ327807 JPF327807 JZB327807 KIX327807 KST327807 LCP327807 LML327807 LWH327807 MGD327807 MPZ327807 MZV327807 NJR327807 NTN327807 ODJ327807 ONF327807 OXB327807 PGX327807 PQT327807 QAP327807 QKL327807 QUH327807 RED327807 RNZ327807 RXV327807 SHR327807 SRN327807 TBJ327807 TLF327807 TVB327807 UEX327807 UOT327807 UYP327807 VIL327807 VSH327807 WCD327807 WLZ327807 WVV327807 N393343 JJ393343 TF393343 ADB393343 AMX393343 AWT393343 BGP393343 BQL393343 CAH393343 CKD393343 CTZ393343 DDV393343 DNR393343 DXN393343 EHJ393343 ERF393343 FBB393343 FKX393343 FUT393343 GEP393343 GOL393343 GYH393343 HID393343 HRZ393343 IBV393343 ILR393343 IVN393343 JFJ393343 JPF393343 JZB393343 KIX393343 KST393343 LCP393343 LML393343 LWH393343 MGD393343 MPZ393343 MZV393343 NJR393343 NTN393343 ODJ393343 ONF393343 OXB393343 PGX393343 PQT393343 QAP393343 QKL393343 QUH393343 RED393343 RNZ393343 RXV393343 SHR393343 SRN393343 TBJ393343 TLF393343 TVB393343 UEX393343 UOT393343 UYP393343 VIL393343 VSH393343 WCD393343 WLZ393343 WVV393343 N458879 JJ458879 TF458879 ADB458879 AMX458879 AWT458879 BGP458879 BQL458879 CAH458879 CKD458879 CTZ458879 DDV458879 DNR458879 DXN458879 EHJ458879 ERF458879 FBB458879 FKX458879 FUT458879 GEP458879 GOL458879 GYH458879 HID458879 HRZ458879 IBV458879 ILR458879 IVN458879 JFJ458879 JPF458879 JZB458879 KIX458879 KST458879 LCP458879 LML458879 LWH458879 MGD458879 MPZ458879 MZV458879 NJR458879 NTN458879 ODJ458879 ONF458879 OXB458879 PGX458879 PQT458879 QAP458879 QKL458879 QUH458879 RED458879 RNZ458879 RXV458879 SHR458879 SRN458879 TBJ458879 TLF458879 TVB458879 UEX458879 UOT458879 UYP458879 VIL458879 VSH458879 WCD458879 WLZ458879 WVV458879 N524415 JJ524415 TF524415 ADB524415 AMX524415 AWT524415 BGP524415 BQL524415 CAH524415 CKD524415 CTZ524415 DDV524415 DNR524415 DXN524415 EHJ524415 ERF524415 FBB524415 FKX524415 FUT524415 GEP524415 GOL524415 GYH524415 HID524415 HRZ524415 IBV524415 ILR524415 IVN524415 JFJ524415 JPF524415 JZB524415 KIX524415 KST524415 LCP524415 LML524415 LWH524415 MGD524415 MPZ524415 MZV524415 NJR524415 NTN524415 ODJ524415 ONF524415 OXB524415 PGX524415 PQT524415 QAP524415 QKL524415 QUH524415 RED524415 RNZ524415 RXV524415 SHR524415 SRN524415 TBJ524415 TLF524415 TVB524415 UEX524415 UOT524415 UYP524415 VIL524415 VSH524415 WCD524415 WLZ524415 WVV524415 N589951 JJ589951 TF589951 ADB589951 AMX589951 AWT589951 BGP589951 BQL589951 CAH589951 CKD589951 CTZ589951 DDV589951 DNR589951 DXN589951 EHJ589951 ERF589951 FBB589951 FKX589951 FUT589951 GEP589951 GOL589951 GYH589951 HID589951 HRZ589951 IBV589951 ILR589951 IVN589951 JFJ589951 JPF589951 JZB589951 KIX589951 KST589951 LCP589951 LML589951 LWH589951 MGD589951 MPZ589951 MZV589951 NJR589951 NTN589951 ODJ589951 ONF589951 OXB589951 PGX589951 PQT589951 QAP589951 QKL589951 QUH589951 RED589951 RNZ589951 RXV589951 SHR589951 SRN589951 TBJ589951 TLF589951 TVB589951 UEX589951 UOT589951 UYP589951 VIL589951 VSH589951 WCD589951 WLZ589951 WVV589951 N655487 JJ655487 TF655487 ADB655487 AMX655487 AWT655487 BGP655487 BQL655487 CAH655487 CKD655487 CTZ655487 DDV655487 DNR655487 DXN655487 EHJ655487 ERF655487 FBB655487 FKX655487 FUT655487 GEP655487 GOL655487 GYH655487 HID655487 HRZ655487 IBV655487 ILR655487 IVN655487 JFJ655487 JPF655487 JZB655487 KIX655487 KST655487 LCP655487 LML655487 LWH655487 MGD655487 MPZ655487 MZV655487 NJR655487 NTN655487 ODJ655487 ONF655487 OXB655487 PGX655487 PQT655487 QAP655487 QKL655487 QUH655487 RED655487 RNZ655487 RXV655487 SHR655487 SRN655487 TBJ655487 TLF655487 TVB655487 UEX655487 UOT655487 UYP655487 VIL655487 VSH655487 WCD655487 WLZ655487 WVV655487 N721023 JJ721023 TF721023 ADB721023 AMX721023 AWT721023 BGP721023 BQL721023 CAH721023 CKD721023 CTZ721023 DDV721023 DNR721023 DXN721023 EHJ721023 ERF721023 FBB721023 FKX721023 FUT721023 GEP721023 GOL721023 GYH721023 HID721023 HRZ721023 IBV721023 ILR721023 IVN721023 JFJ721023 JPF721023 JZB721023 KIX721023 KST721023 LCP721023 LML721023 LWH721023 MGD721023 MPZ721023 MZV721023 NJR721023 NTN721023 ODJ721023 ONF721023 OXB721023 PGX721023 PQT721023 QAP721023 QKL721023 QUH721023 RED721023 RNZ721023 RXV721023 SHR721023 SRN721023 TBJ721023 TLF721023 TVB721023 UEX721023 UOT721023 UYP721023 VIL721023 VSH721023 WCD721023 WLZ721023 WVV721023 N786559 JJ786559 TF786559 ADB786559 AMX786559 AWT786559 BGP786559 BQL786559 CAH786559 CKD786559 CTZ786559 DDV786559 DNR786559 DXN786559 EHJ786559 ERF786559 FBB786559 FKX786559 FUT786559 GEP786559 GOL786559 GYH786559 HID786559 HRZ786559 IBV786559 ILR786559 IVN786559 JFJ786559 JPF786559 JZB786559 KIX786559 KST786559 LCP786559 LML786559 LWH786559 MGD786559 MPZ786559 MZV786559 NJR786559 NTN786559 ODJ786559 ONF786559 OXB786559 PGX786559 PQT786559 QAP786559 QKL786559 QUH786559 RED786559 RNZ786559 RXV786559 SHR786559 SRN786559 TBJ786559 TLF786559 TVB786559 UEX786559 UOT786559 UYP786559 VIL786559 VSH786559 WCD786559 WLZ786559 WVV786559 N852095 JJ852095 TF852095 ADB852095 AMX852095 AWT852095 BGP852095 BQL852095 CAH852095 CKD852095 CTZ852095 DDV852095 DNR852095 DXN852095 EHJ852095 ERF852095 FBB852095 FKX852095 FUT852095 GEP852095 GOL852095 GYH852095 HID852095 HRZ852095 IBV852095 ILR852095 IVN852095 JFJ852095 JPF852095 JZB852095 KIX852095 KST852095 LCP852095 LML852095 LWH852095 MGD852095 MPZ852095 MZV852095 NJR852095 NTN852095 ODJ852095 ONF852095 OXB852095 PGX852095 PQT852095 QAP852095 QKL852095 QUH852095 RED852095 RNZ852095 RXV852095 SHR852095 SRN852095 TBJ852095 TLF852095 TVB852095 UEX852095 UOT852095 UYP852095 VIL852095 VSH852095 WCD852095 WLZ852095 WVV852095 N917631 JJ917631 TF917631 ADB917631 AMX917631 AWT917631 BGP917631 BQL917631 CAH917631 CKD917631 CTZ917631 DDV917631 DNR917631 DXN917631 EHJ917631 ERF917631 FBB917631 FKX917631 FUT917631 GEP917631 GOL917631 GYH917631 HID917631 HRZ917631 IBV917631 ILR917631 IVN917631 JFJ917631 JPF917631 JZB917631 KIX917631 KST917631 LCP917631 LML917631 LWH917631 MGD917631 MPZ917631 MZV917631 NJR917631 NTN917631 ODJ917631 ONF917631 OXB917631 PGX917631 PQT917631 QAP917631 QKL917631 QUH917631 RED917631 RNZ917631 RXV917631 SHR917631 SRN917631 TBJ917631 TLF917631 TVB917631 UEX917631 UOT917631 UYP917631 VIL917631 VSH917631 WCD917631 WLZ917631 WVV917631 N983167 JJ983167 TF983167 ADB983167 AMX983167 AWT983167 BGP983167 BQL983167 CAH983167 CKD983167 CTZ983167 DDV983167 DNR983167 DXN983167 EHJ983167 ERF983167 FBB983167 FKX983167 FUT983167 GEP983167 GOL983167 GYH983167 HID983167 HRZ983167 IBV983167 ILR983167 IVN983167 JFJ983167 JPF983167 JZB983167 KIX983167 KST983167 LCP983167 LML983167 LWH983167 MGD983167 MPZ983167 MZV983167 NJR983167 NTN983167 ODJ983167 ONF983167 OXB983167 PGX983167 PQT983167 QAP983167 QKL983167 QUH983167 RED983167 RNZ983167 RXV983167 SHR983167 SRN983167 TBJ983167 TLF983167 TVB983167 UEX983167 UOT983167 UYP983167 VIL983167 VSH983167 WCD983167 WLZ983167 WVV983167" xr:uid="{00000000-0002-0000-0200-000012000000}"/>
    <dataValidation allowBlank="1" showInputMessage="1" showErrorMessage="1" promptTitle="Current Liabilities" prompt="All items under Current Liabilities. ie the Totals of Current liabilities" sqref="N145 JJ145 TF145 ADB145 AMX145 AWT145 BGP145 BQL145 CAH145 CKD145 CTZ145 DDV145 DNR145 DXN145 EHJ145 ERF145 FBB145 FKX145 FUT145 GEP145 GOL145 GYH145 HID145 HRZ145 IBV145 ILR145 IVN145 JFJ145 JPF145 JZB145 KIX145 KST145 LCP145 LML145 LWH145 MGD145 MPZ145 MZV145 NJR145 NTN145 ODJ145 ONF145 OXB145 PGX145 PQT145 QAP145 QKL145 QUH145 RED145 RNZ145 RXV145 SHR145 SRN145 TBJ145 TLF145 TVB145 UEX145 UOT145 UYP145 VIL145 VSH145 WCD145 WLZ145 WVV145 N65681 JJ65681 TF65681 ADB65681 AMX65681 AWT65681 BGP65681 BQL65681 CAH65681 CKD65681 CTZ65681 DDV65681 DNR65681 DXN65681 EHJ65681 ERF65681 FBB65681 FKX65681 FUT65681 GEP65681 GOL65681 GYH65681 HID65681 HRZ65681 IBV65681 ILR65681 IVN65681 JFJ65681 JPF65681 JZB65681 KIX65681 KST65681 LCP65681 LML65681 LWH65681 MGD65681 MPZ65681 MZV65681 NJR65681 NTN65681 ODJ65681 ONF65681 OXB65681 PGX65681 PQT65681 QAP65681 QKL65681 QUH65681 RED65681 RNZ65681 RXV65681 SHR65681 SRN65681 TBJ65681 TLF65681 TVB65681 UEX65681 UOT65681 UYP65681 VIL65681 VSH65681 WCD65681 WLZ65681 WVV65681 N131217 JJ131217 TF131217 ADB131217 AMX131217 AWT131217 BGP131217 BQL131217 CAH131217 CKD131217 CTZ131217 DDV131217 DNR131217 DXN131217 EHJ131217 ERF131217 FBB131217 FKX131217 FUT131217 GEP131217 GOL131217 GYH131217 HID131217 HRZ131217 IBV131217 ILR131217 IVN131217 JFJ131217 JPF131217 JZB131217 KIX131217 KST131217 LCP131217 LML131217 LWH131217 MGD131217 MPZ131217 MZV131217 NJR131217 NTN131217 ODJ131217 ONF131217 OXB131217 PGX131217 PQT131217 QAP131217 QKL131217 QUH131217 RED131217 RNZ131217 RXV131217 SHR131217 SRN131217 TBJ131217 TLF131217 TVB131217 UEX131217 UOT131217 UYP131217 VIL131217 VSH131217 WCD131217 WLZ131217 WVV131217 N196753 JJ196753 TF196753 ADB196753 AMX196753 AWT196753 BGP196753 BQL196753 CAH196753 CKD196753 CTZ196753 DDV196753 DNR196753 DXN196753 EHJ196753 ERF196753 FBB196753 FKX196753 FUT196753 GEP196753 GOL196753 GYH196753 HID196753 HRZ196753 IBV196753 ILR196753 IVN196753 JFJ196753 JPF196753 JZB196753 KIX196753 KST196753 LCP196753 LML196753 LWH196753 MGD196753 MPZ196753 MZV196753 NJR196753 NTN196753 ODJ196753 ONF196753 OXB196753 PGX196753 PQT196753 QAP196753 QKL196753 QUH196753 RED196753 RNZ196753 RXV196753 SHR196753 SRN196753 TBJ196753 TLF196753 TVB196753 UEX196753 UOT196753 UYP196753 VIL196753 VSH196753 WCD196753 WLZ196753 WVV196753 N262289 JJ262289 TF262289 ADB262289 AMX262289 AWT262289 BGP262289 BQL262289 CAH262289 CKD262289 CTZ262289 DDV262289 DNR262289 DXN262289 EHJ262289 ERF262289 FBB262289 FKX262289 FUT262289 GEP262289 GOL262289 GYH262289 HID262289 HRZ262289 IBV262289 ILR262289 IVN262289 JFJ262289 JPF262289 JZB262289 KIX262289 KST262289 LCP262289 LML262289 LWH262289 MGD262289 MPZ262289 MZV262289 NJR262289 NTN262289 ODJ262289 ONF262289 OXB262289 PGX262289 PQT262289 QAP262289 QKL262289 QUH262289 RED262289 RNZ262289 RXV262289 SHR262289 SRN262289 TBJ262289 TLF262289 TVB262289 UEX262289 UOT262289 UYP262289 VIL262289 VSH262289 WCD262289 WLZ262289 WVV262289 N327825 JJ327825 TF327825 ADB327825 AMX327825 AWT327825 BGP327825 BQL327825 CAH327825 CKD327825 CTZ327825 DDV327825 DNR327825 DXN327825 EHJ327825 ERF327825 FBB327825 FKX327825 FUT327825 GEP327825 GOL327825 GYH327825 HID327825 HRZ327825 IBV327825 ILR327825 IVN327825 JFJ327825 JPF327825 JZB327825 KIX327825 KST327825 LCP327825 LML327825 LWH327825 MGD327825 MPZ327825 MZV327825 NJR327825 NTN327825 ODJ327825 ONF327825 OXB327825 PGX327825 PQT327825 QAP327825 QKL327825 QUH327825 RED327825 RNZ327825 RXV327825 SHR327825 SRN327825 TBJ327825 TLF327825 TVB327825 UEX327825 UOT327825 UYP327825 VIL327825 VSH327825 WCD327825 WLZ327825 WVV327825 N393361 JJ393361 TF393361 ADB393361 AMX393361 AWT393361 BGP393361 BQL393361 CAH393361 CKD393361 CTZ393361 DDV393361 DNR393361 DXN393361 EHJ393361 ERF393361 FBB393361 FKX393361 FUT393361 GEP393361 GOL393361 GYH393361 HID393361 HRZ393361 IBV393361 ILR393361 IVN393361 JFJ393361 JPF393361 JZB393361 KIX393361 KST393361 LCP393361 LML393361 LWH393361 MGD393361 MPZ393361 MZV393361 NJR393361 NTN393361 ODJ393361 ONF393361 OXB393361 PGX393361 PQT393361 QAP393361 QKL393361 QUH393361 RED393361 RNZ393361 RXV393361 SHR393361 SRN393361 TBJ393361 TLF393361 TVB393361 UEX393361 UOT393361 UYP393361 VIL393361 VSH393361 WCD393361 WLZ393361 WVV393361 N458897 JJ458897 TF458897 ADB458897 AMX458897 AWT458897 BGP458897 BQL458897 CAH458897 CKD458897 CTZ458897 DDV458897 DNR458897 DXN458897 EHJ458897 ERF458897 FBB458897 FKX458897 FUT458897 GEP458897 GOL458897 GYH458897 HID458897 HRZ458897 IBV458897 ILR458897 IVN458897 JFJ458897 JPF458897 JZB458897 KIX458897 KST458897 LCP458897 LML458897 LWH458897 MGD458897 MPZ458897 MZV458897 NJR458897 NTN458897 ODJ458897 ONF458897 OXB458897 PGX458897 PQT458897 QAP458897 QKL458897 QUH458897 RED458897 RNZ458897 RXV458897 SHR458897 SRN458897 TBJ458897 TLF458897 TVB458897 UEX458897 UOT458897 UYP458897 VIL458897 VSH458897 WCD458897 WLZ458897 WVV458897 N524433 JJ524433 TF524433 ADB524433 AMX524433 AWT524433 BGP524433 BQL524433 CAH524433 CKD524433 CTZ524433 DDV524433 DNR524433 DXN524433 EHJ524433 ERF524433 FBB524433 FKX524433 FUT524433 GEP524433 GOL524433 GYH524433 HID524433 HRZ524433 IBV524433 ILR524433 IVN524433 JFJ524433 JPF524433 JZB524433 KIX524433 KST524433 LCP524433 LML524433 LWH524433 MGD524433 MPZ524433 MZV524433 NJR524433 NTN524433 ODJ524433 ONF524433 OXB524433 PGX524433 PQT524433 QAP524433 QKL524433 QUH524433 RED524433 RNZ524433 RXV524433 SHR524433 SRN524433 TBJ524433 TLF524433 TVB524433 UEX524433 UOT524433 UYP524433 VIL524433 VSH524433 WCD524433 WLZ524433 WVV524433 N589969 JJ589969 TF589969 ADB589969 AMX589969 AWT589969 BGP589969 BQL589969 CAH589969 CKD589969 CTZ589969 DDV589969 DNR589969 DXN589969 EHJ589969 ERF589969 FBB589969 FKX589969 FUT589969 GEP589969 GOL589969 GYH589969 HID589969 HRZ589969 IBV589969 ILR589969 IVN589969 JFJ589969 JPF589969 JZB589969 KIX589969 KST589969 LCP589969 LML589969 LWH589969 MGD589969 MPZ589969 MZV589969 NJR589969 NTN589969 ODJ589969 ONF589969 OXB589969 PGX589969 PQT589969 QAP589969 QKL589969 QUH589969 RED589969 RNZ589969 RXV589969 SHR589969 SRN589969 TBJ589969 TLF589969 TVB589969 UEX589969 UOT589969 UYP589969 VIL589969 VSH589969 WCD589969 WLZ589969 WVV589969 N655505 JJ655505 TF655505 ADB655505 AMX655505 AWT655505 BGP655505 BQL655505 CAH655505 CKD655505 CTZ655505 DDV655505 DNR655505 DXN655505 EHJ655505 ERF655505 FBB655505 FKX655505 FUT655505 GEP655505 GOL655505 GYH655505 HID655505 HRZ655505 IBV655505 ILR655505 IVN655505 JFJ655505 JPF655505 JZB655505 KIX655505 KST655505 LCP655505 LML655505 LWH655505 MGD655505 MPZ655505 MZV655505 NJR655505 NTN655505 ODJ655505 ONF655505 OXB655505 PGX655505 PQT655505 QAP655505 QKL655505 QUH655505 RED655505 RNZ655505 RXV655505 SHR655505 SRN655505 TBJ655505 TLF655505 TVB655505 UEX655505 UOT655505 UYP655505 VIL655505 VSH655505 WCD655505 WLZ655505 WVV655505 N721041 JJ721041 TF721041 ADB721041 AMX721041 AWT721041 BGP721041 BQL721041 CAH721041 CKD721041 CTZ721041 DDV721041 DNR721041 DXN721041 EHJ721041 ERF721041 FBB721041 FKX721041 FUT721041 GEP721041 GOL721041 GYH721041 HID721041 HRZ721041 IBV721041 ILR721041 IVN721041 JFJ721041 JPF721041 JZB721041 KIX721041 KST721041 LCP721041 LML721041 LWH721041 MGD721041 MPZ721041 MZV721041 NJR721041 NTN721041 ODJ721041 ONF721041 OXB721041 PGX721041 PQT721041 QAP721041 QKL721041 QUH721041 RED721041 RNZ721041 RXV721041 SHR721041 SRN721041 TBJ721041 TLF721041 TVB721041 UEX721041 UOT721041 UYP721041 VIL721041 VSH721041 WCD721041 WLZ721041 WVV721041 N786577 JJ786577 TF786577 ADB786577 AMX786577 AWT786577 BGP786577 BQL786577 CAH786577 CKD786577 CTZ786577 DDV786577 DNR786577 DXN786577 EHJ786577 ERF786577 FBB786577 FKX786577 FUT786577 GEP786577 GOL786577 GYH786577 HID786577 HRZ786577 IBV786577 ILR786577 IVN786577 JFJ786577 JPF786577 JZB786577 KIX786577 KST786577 LCP786577 LML786577 LWH786577 MGD786577 MPZ786577 MZV786577 NJR786577 NTN786577 ODJ786577 ONF786577 OXB786577 PGX786577 PQT786577 QAP786577 QKL786577 QUH786577 RED786577 RNZ786577 RXV786577 SHR786577 SRN786577 TBJ786577 TLF786577 TVB786577 UEX786577 UOT786577 UYP786577 VIL786577 VSH786577 WCD786577 WLZ786577 WVV786577 N852113 JJ852113 TF852113 ADB852113 AMX852113 AWT852113 BGP852113 BQL852113 CAH852113 CKD852113 CTZ852113 DDV852113 DNR852113 DXN852113 EHJ852113 ERF852113 FBB852113 FKX852113 FUT852113 GEP852113 GOL852113 GYH852113 HID852113 HRZ852113 IBV852113 ILR852113 IVN852113 JFJ852113 JPF852113 JZB852113 KIX852113 KST852113 LCP852113 LML852113 LWH852113 MGD852113 MPZ852113 MZV852113 NJR852113 NTN852113 ODJ852113 ONF852113 OXB852113 PGX852113 PQT852113 QAP852113 QKL852113 QUH852113 RED852113 RNZ852113 RXV852113 SHR852113 SRN852113 TBJ852113 TLF852113 TVB852113 UEX852113 UOT852113 UYP852113 VIL852113 VSH852113 WCD852113 WLZ852113 WVV852113 N917649 JJ917649 TF917649 ADB917649 AMX917649 AWT917649 BGP917649 BQL917649 CAH917649 CKD917649 CTZ917649 DDV917649 DNR917649 DXN917649 EHJ917649 ERF917649 FBB917649 FKX917649 FUT917649 GEP917649 GOL917649 GYH917649 HID917649 HRZ917649 IBV917649 ILR917649 IVN917649 JFJ917649 JPF917649 JZB917649 KIX917649 KST917649 LCP917649 LML917649 LWH917649 MGD917649 MPZ917649 MZV917649 NJR917649 NTN917649 ODJ917649 ONF917649 OXB917649 PGX917649 PQT917649 QAP917649 QKL917649 QUH917649 RED917649 RNZ917649 RXV917649 SHR917649 SRN917649 TBJ917649 TLF917649 TVB917649 UEX917649 UOT917649 UYP917649 VIL917649 VSH917649 WCD917649 WLZ917649 WVV917649 N983185 JJ983185 TF983185 ADB983185 AMX983185 AWT983185 BGP983185 BQL983185 CAH983185 CKD983185 CTZ983185 DDV983185 DNR983185 DXN983185 EHJ983185 ERF983185 FBB983185 FKX983185 FUT983185 GEP983185 GOL983185 GYH983185 HID983185 HRZ983185 IBV983185 ILR983185 IVN983185 JFJ983185 JPF983185 JZB983185 KIX983185 KST983185 LCP983185 LML983185 LWH983185 MGD983185 MPZ983185 MZV983185 NJR983185 NTN983185 ODJ983185 ONF983185 OXB983185 PGX983185 PQT983185 QAP983185 QKL983185 QUH983185 RED983185 RNZ983185 RXV983185 SHR983185 SRN983185 TBJ983185 TLF983185 TVB983185 UEX983185 UOT983185 UYP983185 VIL983185 VSH983185 WCD983185 WLZ983185 WVV983185" xr:uid="{00000000-0002-0000-0200-000013000000}"/>
    <dataValidation allowBlank="1" showInputMessage="1" showErrorMessage="1" promptTitle="Member Savings" prompt="Totals of member savings" sqref="N147 JJ147 TF147 ADB147 AMX147 AWT147 BGP147 BQL147 CAH147 CKD147 CTZ147 DDV147 DNR147 DXN147 EHJ147 ERF147 FBB147 FKX147 FUT147 GEP147 GOL147 GYH147 HID147 HRZ147 IBV147 ILR147 IVN147 JFJ147 JPF147 JZB147 KIX147 KST147 LCP147 LML147 LWH147 MGD147 MPZ147 MZV147 NJR147 NTN147 ODJ147 ONF147 OXB147 PGX147 PQT147 QAP147 QKL147 QUH147 RED147 RNZ147 RXV147 SHR147 SRN147 TBJ147 TLF147 TVB147 UEX147 UOT147 UYP147 VIL147 VSH147 WCD147 WLZ147 WVV147 N65683 JJ65683 TF65683 ADB65683 AMX65683 AWT65683 BGP65683 BQL65683 CAH65683 CKD65683 CTZ65683 DDV65683 DNR65683 DXN65683 EHJ65683 ERF65683 FBB65683 FKX65683 FUT65683 GEP65683 GOL65683 GYH65683 HID65683 HRZ65683 IBV65683 ILR65683 IVN65683 JFJ65683 JPF65683 JZB65683 KIX65683 KST65683 LCP65683 LML65683 LWH65683 MGD65683 MPZ65683 MZV65683 NJR65683 NTN65683 ODJ65683 ONF65683 OXB65683 PGX65683 PQT65683 QAP65683 QKL65683 QUH65683 RED65683 RNZ65683 RXV65683 SHR65683 SRN65683 TBJ65683 TLF65683 TVB65683 UEX65683 UOT65683 UYP65683 VIL65683 VSH65683 WCD65683 WLZ65683 WVV65683 N131219 JJ131219 TF131219 ADB131219 AMX131219 AWT131219 BGP131219 BQL131219 CAH131219 CKD131219 CTZ131219 DDV131219 DNR131219 DXN131219 EHJ131219 ERF131219 FBB131219 FKX131219 FUT131219 GEP131219 GOL131219 GYH131219 HID131219 HRZ131219 IBV131219 ILR131219 IVN131219 JFJ131219 JPF131219 JZB131219 KIX131219 KST131219 LCP131219 LML131219 LWH131219 MGD131219 MPZ131219 MZV131219 NJR131219 NTN131219 ODJ131219 ONF131219 OXB131219 PGX131219 PQT131219 QAP131219 QKL131219 QUH131219 RED131219 RNZ131219 RXV131219 SHR131219 SRN131219 TBJ131219 TLF131219 TVB131219 UEX131219 UOT131219 UYP131219 VIL131219 VSH131219 WCD131219 WLZ131219 WVV131219 N196755 JJ196755 TF196755 ADB196755 AMX196755 AWT196755 BGP196755 BQL196755 CAH196755 CKD196755 CTZ196755 DDV196755 DNR196755 DXN196755 EHJ196755 ERF196755 FBB196755 FKX196755 FUT196755 GEP196755 GOL196755 GYH196755 HID196755 HRZ196755 IBV196755 ILR196755 IVN196755 JFJ196755 JPF196755 JZB196755 KIX196755 KST196755 LCP196755 LML196755 LWH196755 MGD196755 MPZ196755 MZV196755 NJR196755 NTN196755 ODJ196755 ONF196755 OXB196755 PGX196755 PQT196755 QAP196755 QKL196755 QUH196755 RED196755 RNZ196755 RXV196755 SHR196755 SRN196755 TBJ196755 TLF196755 TVB196755 UEX196755 UOT196755 UYP196755 VIL196755 VSH196755 WCD196755 WLZ196755 WVV196755 N262291 JJ262291 TF262291 ADB262291 AMX262291 AWT262291 BGP262291 BQL262291 CAH262291 CKD262291 CTZ262291 DDV262291 DNR262291 DXN262291 EHJ262291 ERF262291 FBB262291 FKX262291 FUT262291 GEP262291 GOL262291 GYH262291 HID262291 HRZ262291 IBV262291 ILR262291 IVN262291 JFJ262291 JPF262291 JZB262291 KIX262291 KST262291 LCP262291 LML262291 LWH262291 MGD262291 MPZ262291 MZV262291 NJR262291 NTN262291 ODJ262291 ONF262291 OXB262291 PGX262291 PQT262291 QAP262291 QKL262291 QUH262291 RED262291 RNZ262291 RXV262291 SHR262291 SRN262291 TBJ262291 TLF262291 TVB262291 UEX262291 UOT262291 UYP262291 VIL262291 VSH262291 WCD262291 WLZ262291 WVV262291 N327827 JJ327827 TF327827 ADB327827 AMX327827 AWT327827 BGP327827 BQL327827 CAH327827 CKD327827 CTZ327827 DDV327827 DNR327827 DXN327827 EHJ327827 ERF327827 FBB327827 FKX327827 FUT327827 GEP327827 GOL327827 GYH327827 HID327827 HRZ327827 IBV327827 ILR327827 IVN327827 JFJ327827 JPF327827 JZB327827 KIX327827 KST327827 LCP327827 LML327827 LWH327827 MGD327827 MPZ327827 MZV327827 NJR327827 NTN327827 ODJ327827 ONF327827 OXB327827 PGX327827 PQT327827 QAP327827 QKL327827 QUH327827 RED327827 RNZ327827 RXV327827 SHR327827 SRN327827 TBJ327827 TLF327827 TVB327827 UEX327827 UOT327827 UYP327827 VIL327827 VSH327827 WCD327827 WLZ327827 WVV327827 N393363 JJ393363 TF393363 ADB393363 AMX393363 AWT393363 BGP393363 BQL393363 CAH393363 CKD393363 CTZ393363 DDV393363 DNR393363 DXN393363 EHJ393363 ERF393363 FBB393363 FKX393363 FUT393363 GEP393363 GOL393363 GYH393363 HID393363 HRZ393363 IBV393363 ILR393363 IVN393363 JFJ393363 JPF393363 JZB393363 KIX393363 KST393363 LCP393363 LML393363 LWH393363 MGD393363 MPZ393363 MZV393363 NJR393363 NTN393363 ODJ393363 ONF393363 OXB393363 PGX393363 PQT393363 QAP393363 QKL393363 QUH393363 RED393363 RNZ393363 RXV393363 SHR393363 SRN393363 TBJ393363 TLF393363 TVB393363 UEX393363 UOT393363 UYP393363 VIL393363 VSH393363 WCD393363 WLZ393363 WVV393363 N458899 JJ458899 TF458899 ADB458899 AMX458899 AWT458899 BGP458899 BQL458899 CAH458899 CKD458899 CTZ458899 DDV458899 DNR458899 DXN458899 EHJ458899 ERF458899 FBB458899 FKX458899 FUT458899 GEP458899 GOL458899 GYH458899 HID458899 HRZ458899 IBV458899 ILR458899 IVN458899 JFJ458899 JPF458899 JZB458899 KIX458899 KST458899 LCP458899 LML458899 LWH458899 MGD458899 MPZ458899 MZV458899 NJR458899 NTN458899 ODJ458899 ONF458899 OXB458899 PGX458899 PQT458899 QAP458899 QKL458899 QUH458899 RED458899 RNZ458899 RXV458899 SHR458899 SRN458899 TBJ458899 TLF458899 TVB458899 UEX458899 UOT458899 UYP458899 VIL458899 VSH458899 WCD458899 WLZ458899 WVV458899 N524435 JJ524435 TF524435 ADB524435 AMX524435 AWT524435 BGP524435 BQL524435 CAH524435 CKD524435 CTZ524435 DDV524435 DNR524435 DXN524435 EHJ524435 ERF524435 FBB524435 FKX524435 FUT524435 GEP524435 GOL524435 GYH524435 HID524435 HRZ524435 IBV524435 ILR524435 IVN524435 JFJ524435 JPF524435 JZB524435 KIX524435 KST524435 LCP524435 LML524435 LWH524435 MGD524435 MPZ524435 MZV524435 NJR524435 NTN524435 ODJ524435 ONF524435 OXB524435 PGX524435 PQT524435 QAP524435 QKL524435 QUH524435 RED524435 RNZ524435 RXV524435 SHR524435 SRN524435 TBJ524435 TLF524435 TVB524435 UEX524435 UOT524435 UYP524435 VIL524435 VSH524435 WCD524435 WLZ524435 WVV524435 N589971 JJ589971 TF589971 ADB589971 AMX589971 AWT589971 BGP589971 BQL589971 CAH589971 CKD589971 CTZ589971 DDV589971 DNR589971 DXN589971 EHJ589971 ERF589971 FBB589971 FKX589971 FUT589971 GEP589971 GOL589971 GYH589971 HID589971 HRZ589971 IBV589971 ILR589971 IVN589971 JFJ589971 JPF589971 JZB589971 KIX589971 KST589971 LCP589971 LML589971 LWH589971 MGD589971 MPZ589971 MZV589971 NJR589971 NTN589971 ODJ589971 ONF589971 OXB589971 PGX589971 PQT589971 QAP589971 QKL589971 QUH589971 RED589971 RNZ589971 RXV589971 SHR589971 SRN589971 TBJ589971 TLF589971 TVB589971 UEX589971 UOT589971 UYP589971 VIL589971 VSH589971 WCD589971 WLZ589971 WVV589971 N655507 JJ655507 TF655507 ADB655507 AMX655507 AWT655507 BGP655507 BQL655507 CAH655507 CKD655507 CTZ655507 DDV655507 DNR655507 DXN655507 EHJ655507 ERF655507 FBB655507 FKX655507 FUT655507 GEP655507 GOL655507 GYH655507 HID655507 HRZ655507 IBV655507 ILR655507 IVN655507 JFJ655507 JPF655507 JZB655507 KIX655507 KST655507 LCP655507 LML655507 LWH655507 MGD655507 MPZ655507 MZV655507 NJR655507 NTN655507 ODJ655507 ONF655507 OXB655507 PGX655507 PQT655507 QAP655507 QKL655507 QUH655507 RED655507 RNZ655507 RXV655507 SHR655507 SRN655507 TBJ655507 TLF655507 TVB655507 UEX655507 UOT655507 UYP655507 VIL655507 VSH655507 WCD655507 WLZ655507 WVV655507 N721043 JJ721043 TF721043 ADB721043 AMX721043 AWT721043 BGP721043 BQL721043 CAH721043 CKD721043 CTZ721043 DDV721043 DNR721043 DXN721043 EHJ721043 ERF721043 FBB721043 FKX721043 FUT721043 GEP721043 GOL721043 GYH721043 HID721043 HRZ721043 IBV721043 ILR721043 IVN721043 JFJ721043 JPF721043 JZB721043 KIX721043 KST721043 LCP721043 LML721043 LWH721043 MGD721043 MPZ721043 MZV721043 NJR721043 NTN721043 ODJ721043 ONF721043 OXB721043 PGX721043 PQT721043 QAP721043 QKL721043 QUH721043 RED721043 RNZ721043 RXV721043 SHR721043 SRN721043 TBJ721043 TLF721043 TVB721043 UEX721043 UOT721043 UYP721043 VIL721043 VSH721043 WCD721043 WLZ721043 WVV721043 N786579 JJ786579 TF786579 ADB786579 AMX786579 AWT786579 BGP786579 BQL786579 CAH786579 CKD786579 CTZ786579 DDV786579 DNR786579 DXN786579 EHJ786579 ERF786579 FBB786579 FKX786579 FUT786579 GEP786579 GOL786579 GYH786579 HID786579 HRZ786579 IBV786579 ILR786579 IVN786579 JFJ786579 JPF786579 JZB786579 KIX786579 KST786579 LCP786579 LML786579 LWH786579 MGD786579 MPZ786579 MZV786579 NJR786579 NTN786579 ODJ786579 ONF786579 OXB786579 PGX786579 PQT786579 QAP786579 QKL786579 QUH786579 RED786579 RNZ786579 RXV786579 SHR786579 SRN786579 TBJ786579 TLF786579 TVB786579 UEX786579 UOT786579 UYP786579 VIL786579 VSH786579 WCD786579 WLZ786579 WVV786579 N852115 JJ852115 TF852115 ADB852115 AMX852115 AWT852115 BGP852115 BQL852115 CAH852115 CKD852115 CTZ852115 DDV852115 DNR852115 DXN852115 EHJ852115 ERF852115 FBB852115 FKX852115 FUT852115 GEP852115 GOL852115 GYH852115 HID852115 HRZ852115 IBV852115 ILR852115 IVN852115 JFJ852115 JPF852115 JZB852115 KIX852115 KST852115 LCP852115 LML852115 LWH852115 MGD852115 MPZ852115 MZV852115 NJR852115 NTN852115 ODJ852115 ONF852115 OXB852115 PGX852115 PQT852115 QAP852115 QKL852115 QUH852115 RED852115 RNZ852115 RXV852115 SHR852115 SRN852115 TBJ852115 TLF852115 TVB852115 UEX852115 UOT852115 UYP852115 VIL852115 VSH852115 WCD852115 WLZ852115 WVV852115 N917651 JJ917651 TF917651 ADB917651 AMX917651 AWT917651 BGP917651 BQL917651 CAH917651 CKD917651 CTZ917651 DDV917651 DNR917651 DXN917651 EHJ917651 ERF917651 FBB917651 FKX917651 FUT917651 GEP917651 GOL917651 GYH917651 HID917651 HRZ917651 IBV917651 ILR917651 IVN917651 JFJ917651 JPF917651 JZB917651 KIX917651 KST917651 LCP917651 LML917651 LWH917651 MGD917651 MPZ917651 MZV917651 NJR917651 NTN917651 ODJ917651 ONF917651 OXB917651 PGX917651 PQT917651 QAP917651 QKL917651 QUH917651 RED917651 RNZ917651 RXV917651 SHR917651 SRN917651 TBJ917651 TLF917651 TVB917651 UEX917651 UOT917651 UYP917651 VIL917651 VSH917651 WCD917651 WLZ917651 WVV917651 N983187 JJ983187 TF983187 ADB983187 AMX983187 AWT983187 BGP983187 BQL983187 CAH983187 CKD983187 CTZ983187 DDV983187 DNR983187 DXN983187 EHJ983187 ERF983187 FBB983187 FKX983187 FUT983187 GEP983187 GOL983187 GYH983187 HID983187 HRZ983187 IBV983187 ILR983187 IVN983187 JFJ983187 JPF983187 JZB983187 KIX983187 KST983187 LCP983187 LML983187 LWH983187 MGD983187 MPZ983187 MZV983187 NJR983187 NTN983187 ODJ983187 ONF983187 OXB983187 PGX983187 PQT983187 QAP983187 QKL983187 QUH983187 RED983187 RNZ983187 RXV983187 SHR983187 SRN983187 TBJ983187 TLF983187 TVB983187 UEX983187 UOT983187 UYP983187 VIL983187 VSH983187 WCD983187 WLZ983187 WVV983187" xr:uid="{00000000-0002-0000-0200-000014000000}"/>
    <dataValidation allowBlank="1" showInputMessage="1" showErrorMessage="1" promptTitle="Member Shares" prompt="Totals of member shares" sqref="N150 JJ150 TF150 ADB150 AMX150 AWT150 BGP150 BQL150 CAH150 CKD150 CTZ150 DDV150 DNR150 DXN150 EHJ150 ERF150 FBB150 FKX150 FUT150 GEP150 GOL150 GYH150 HID150 HRZ150 IBV150 ILR150 IVN150 JFJ150 JPF150 JZB150 KIX150 KST150 LCP150 LML150 LWH150 MGD150 MPZ150 MZV150 NJR150 NTN150 ODJ150 ONF150 OXB150 PGX150 PQT150 QAP150 QKL150 QUH150 RED150 RNZ150 RXV150 SHR150 SRN150 TBJ150 TLF150 TVB150 UEX150 UOT150 UYP150 VIL150 VSH150 WCD150 WLZ150 WVV150 N65686 JJ65686 TF65686 ADB65686 AMX65686 AWT65686 BGP65686 BQL65686 CAH65686 CKD65686 CTZ65686 DDV65686 DNR65686 DXN65686 EHJ65686 ERF65686 FBB65686 FKX65686 FUT65686 GEP65686 GOL65686 GYH65686 HID65686 HRZ65686 IBV65686 ILR65686 IVN65686 JFJ65686 JPF65686 JZB65686 KIX65686 KST65686 LCP65686 LML65686 LWH65686 MGD65686 MPZ65686 MZV65686 NJR65686 NTN65686 ODJ65686 ONF65686 OXB65686 PGX65686 PQT65686 QAP65686 QKL65686 QUH65686 RED65686 RNZ65686 RXV65686 SHR65686 SRN65686 TBJ65686 TLF65686 TVB65686 UEX65686 UOT65686 UYP65686 VIL65686 VSH65686 WCD65686 WLZ65686 WVV65686 N131222 JJ131222 TF131222 ADB131222 AMX131222 AWT131222 BGP131222 BQL131222 CAH131222 CKD131222 CTZ131222 DDV131222 DNR131222 DXN131222 EHJ131222 ERF131222 FBB131222 FKX131222 FUT131222 GEP131222 GOL131222 GYH131222 HID131222 HRZ131222 IBV131222 ILR131222 IVN131222 JFJ131222 JPF131222 JZB131222 KIX131222 KST131222 LCP131222 LML131222 LWH131222 MGD131222 MPZ131222 MZV131222 NJR131222 NTN131222 ODJ131222 ONF131222 OXB131222 PGX131222 PQT131222 QAP131222 QKL131222 QUH131222 RED131222 RNZ131222 RXV131222 SHR131222 SRN131222 TBJ131222 TLF131222 TVB131222 UEX131222 UOT131222 UYP131222 VIL131222 VSH131222 WCD131222 WLZ131222 WVV131222 N196758 JJ196758 TF196758 ADB196758 AMX196758 AWT196758 BGP196758 BQL196758 CAH196758 CKD196758 CTZ196758 DDV196758 DNR196758 DXN196758 EHJ196758 ERF196758 FBB196758 FKX196758 FUT196758 GEP196758 GOL196758 GYH196758 HID196758 HRZ196758 IBV196758 ILR196758 IVN196758 JFJ196758 JPF196758 JZB196758 KIX196758 KST196758 LCP196758 LML196758 LWH196758 MGD196758 MPZ196758 MZV196758 NJR196758 NTN196758 ODJ196758 ONF196758 OXB196758 PGX196758 PQT196758 QAP196758 QKL196758 QUH196758 RED196758 RNZ196758 RXV196758 SHR196758 SRN196758 TBJ196758 TLF196758 TVB196758 UEX196758 UOT196758 UYP196758 VIL196758 VSH196758 WCD196758 WLZ196758 WVV196758 N262294 JJ262294 TF262294 ADB262294 AMX262294 AWT262294 BGP262294 BQL262294 CAH262294 CKD262294 CTZ262294 DDV262294 DNR262294 DXN262294 EHJ262294 ERF262294 FBB262294 FKX262294 FUT262294 GEP262294 GOL262294 GYH262294 HID262294 HRZ262294 IBV262294 ILR262294 IVN262294 JFJ262294 JPF262294 JZB262294 KIX262294 KST262294 LCP262294 LML262294 LWH262294 MGD262294 MPZ262294 MZV262294 NJR262294 NTN262294 ODJ262294 ONF262294 OXB262294 PGX262294 PQT262294 QAP262294 QKL262294 QUH262294 RED262294 RNZ262294 RXV262294 SHR262294 SRN262294 TBJ262294 TLF262294 TVB262294 UEX262294 UOT262294 UYP262294 VIL262294 VSH262294 WCD262294 WLZ262294 WVV262294 N327830 JJ327830 TF327830 ADB327830 AMX327830 AWT327830 BGP327830 BQL327830 CAH327830 CKD327830 CTZ327830 DDV327830 DNR327830 DXN327830 EHJ327830 ERF327830 FBB327830 FKX327830 FUT327830 GEP327830 GOL327830 GYH327830 HID327830 HRZ327830 IBV327830 ILR327830 IVN327830 JFJ327830 JPF327830 JZB327830 KIX327830 KST327830 LCP327830 LML327830 LWH327830 MGD327830 MPZ327830 MZV327830 NJR327830 NTN327830 ODJ327830 ONF327830 OXB327830 PGX327830 PQT327830 QAP327830 QKL327830 QUH327830 RED327830 RNZ327830 RXV327830 SHR327830 SRN327830 TBJ327830 TLF327830 TVB327830 UEX327830 UOT327830 UYP327830 VIL327830 VSH327830 WCD327830 WLZ327830 WVV327830 N393366 JJ393366 TF393366 ADB393366 AMX393366 AWT393366 BGP393366 BQL393366 CAH393366 CKD393366 CTZ393366 DDV393366 DNR393366 DXN393366 EHJ393366 ERF393366 FBB393366 FKX393366 FUT393366 GEP393366 GOL393366 GYH393366 HID393366 HRZ393366 IBV393366 ILR393366 IVN393366 JFJ393366 JPF393366 JZB393366 KIX393366 KST393366 LCP393366 LML393366 LWH393366 MGD393366 MPZ393366 MZV393366 NJR393366 NTN393366 ODJ393366 ONF393366 OXB393366 PGX393366 PQT393366 QAP393366 QKL393366 QUH393366 RED393366 RNZ393366 RXV393366 SHR393366 SRN393366 TBJ393366 TLF393366 TVB393366 UEX393366 UOT393366 UYP393366 VIL393366 VSH393366 WCD393366 WLZ393366 WVV393366 N458902 JJ458902 TF458902 ADB458902 AMX458902 AWT458902 BGP458902 BQL458902 CAH458902 CKD458902 CTZ458902 DDV458902 DNR458902 DXN458902 EHJ458902 ERF458902 FBB458902 FKX458902 FUT458902 GEP458902 GOL458902 GYH458902 HID458902 HRZ458902 IBV458902 ILR458902 IVN458902 JFJ458902 JPF458902 JZB458902 KIX458902 KST458902 LCP458902 LML458902 LWH458902 MGD458902 MPZ458902 MZV458902 NJR458902 NTN458902 ODJ458902 ONF458902 OXB458902 PGX458902 PQT458902 QAP458902 QKL458902 QUH458902 RED458902 RNZ458902 RXV458902 SHR458902 SRN458902 TBJ458902 TLF458902 TVB458902 UEX458902 UOT458902 UYP458902 VIL458902 VSH458902 WCD458902 WLZ458902 WVV458902 N524438 JJ524438 TF524438 ADB524438 AMX524438 AWT524438 BGP524438 BQL524438 CAH524438 CKD524438 CTZ524438 DDV524438 DNR524438 DXN524438 EHJ524438 ERF524438 FBB524438 FKX524438 FUT524438 GEP524438 GOL524438 GYH524438 HID524438 HRZ524438 IBV524438 ILR524438 IVN524438 JFJ524438 JPF524438 JZB524438 KIX524438 KST524438 LCP524438 LML524438 LWH524438 MGD524438 MPZ524438 MZV524438 NJR524438 NTN524438 ODJ524438 ONF524438 OXB524438 PGX524438 PQT524438 QAP524438 QKL524438 QUH524438 RED524438 RNZ524438 RXV524438 SHR524438 SRN524438 TBJ524438 TLF524438 TVB524438 UEX524438 UOT524438 UYP524438 VIL524438 VSH524438 WCD524438 WLZ524438 WVV524438 N589974 JJ589974 TF589974 ADB589974 AMX589974 AWT589974 BGP589974 BQL589974 CAH589974 CKD589974 CTZ589974 DDV589974 DNR589974 DXN589974 EHJ589974 ERF589974 FBB589974 FKX589974 FUT589974 GEP589974 GOL589974 GYH589974 HID589974 HRZ589974 IBV589974 ILR589974 IVN589974 JFJ589974 JPF589974 JZB589974 KIX589974 KST589974 LCP589974 LML589974 LWH589974 MGD589974 MPZ589974 MZV589974 NJR589974 NTN589974 ODJ589974 ONF589974 OXB589974 PGX589974 PQT589974 QAP589974 QKL589974 QUH589974 RED589974 RNZ589974 RXV589974 SHR589974 SRN589974 TBJ589974 TLF589974 TVB589974 UEX589974 UOT589974 UYP589974 VIL589974 VSH589974 WCD589974 WLZ589974 WVV589974 N655510 JJ655510 TF655510 ADB655510 AMX655510 AWT655510 BGP655510 BQL655510 CAH655510 CKD655510 CTZ655510 DDV655510 DNR655510 DXN655510 EHJ655510 ERF655510 FBB655510 FKX655510 FUT655510 GEP655510 GOL655510 GYH655510 HID655510 HRZ655510 IBV655510 ILR655510 IVN655510 JFJ655510 JPF655510 JZB655510 KIX655510 KST655510 LCP655510 LML655510 LWH655510 MGD655510 MPZ655510 MZV655510 NJR655510 NTN655510 ODJ655510 ONF655510 OXB655510 PGX655510 PQT655510 QAP655510 QKL655510 QUH655510 RED655510 RNZ655510 RXV655510 SHR655510 SRN655510 TBJ655510 TLF655510 TVB655510 UEX655510 UOT655510 UYP655510 VIL655510 VSH655510 WCD655510 WLZ655510 WVV655510 N721046 JJ721046 TF721046 ADB721046 AMX721046 AWT721046 BGP721046 BQL721046 CAH721046 CKD721046 CTZ721046 DDV721046 DNR721046 DXN721046 EHJ721046 ERF721046 FBB721046 FKX721046 FUT721046 GEP721046 GOL721046 GYH721046 HID721046 HRZ721046 IBV721046 ILR721046 IVN721046 JFJ721046 JPF721046 JZB721046 KIX721046 KST721046 LCP721046 LML721046 LWH721046 MGD721046 MPZ721046 MZV721046 NJR721046 NTN721046 ODJ721046 ONF721046 OXB721046 PGX721046 PQT721046 QAP721046 QKL721046 QUH721046 RED721046 RNZ721046 RXV721046 SHR721046 SRN721046 TBJ721046 TLF721046 TVB721046 UEX721046 UOT721046 UYP721046 VIL721046 VSH721046 WCD721046 WLZ721046 WVV721046 N786582 JJ786582 TF786582 ADB786582 AMX786582 AWT786582 BGP786582 BQL786582 CAH786582 CKD786582 CTZ786582 DDV786582 DNR786582 DXN786582 EHJ786582 ERF786582 FBB786582 FKX786582 FUT786582 GEP786582 GOL786582 GYH786582 HID786582 HRZ786582 IBV786582 ILR786582 IVN786582 JFJ786582 JPF786582 JZB786582 KIX786582 KST786582 LCP786582 LML786582 LWH786582 MGD786582 MPZ786582 MZV786582 NJR786582 NTN786582 ODJ786582 ONF786582 OXB786582 PGX786582 PQT786582 QAP786582 QKL786582 QUH786582 RED786582 RNZ786582 RXV786582 SHR786582 SRN786582 TBJ786582 TLF786582 TVB786582 UEX786582 UOT786582 UYP786582 VIL786582 VSH786582 WCD786582 WLZ786582 WVV786582 N852118 JJ852118 TF852118 ADB852118 AMX852118 AWT852118 BGP852118 BQL852118 CAH852118 CKD852118 CTZ852118 DDV852118 DNR852118 DXN852118 EHJ852118 ERF852118 FBB852118 FKX852118 FUT852118 GEP852118 GOL852118 GYH852118 HID852118 HRZ852118 IBV852118 ILR852118 IVN852118 JFJ852118 JPF852118 JZB852118 KIX852118 KST852118 LCP852118 LML852118 LWH852118 MGD852118 MPZ852118 MZV852118 NJR852118 NTN852118 ODJ852118 ONF852118 OXB852118 PGX852118 PQT852118 QAP852118 QKL852118 QUH852118 RED852118 RNZ852118 RXV852118 SHR852118 SRN852118 TBJ852118 TLF852118 TVB852118 UEX852118 UOT852118 UYP852118 VIL852118 VSH852118 WCD852118 WLZ852118 WVV852118 N917654 JJ917654 TF917654 ADB917654 AMX917654 AWT917654 BGP917654 BQL917654 CAH917654 CKD917654 CTZ917654 DDV917654 DNR917654 DXN917654 EHJ917654 ERF917654 FBB917654 FKX917654 FUT917654 GEP917654 GOL917654 GYH917654 HID917654 HRZ917654 IBV917654 ILR917654 IVN917654 JFJ917654 JPF917654 JZB917654 KIX917654 KST917654 LCP917654 LML917654 LWH917654 MGD917654 MPZ917654 MZV917654 NJR917654 NTN917654 ODJ917654 ONF917654 OXB917654 PGX917654 PQT917654 QAP917654 QKL917654 QUH917654 RED917654 RNZ917654 RXV917654 SHR917654 SRN917654 TBJ917654 TLF917654 TVB917654 UEX917654 UOT917654 UYP917654 VIL917654 VSH917654 WCD917654 WLZ917654 WVV917654 N983190 JJ983190 TF983190 ADB983190 AMX983190 AWT983190 BGP983190 BQL983190 CAH983190 CKD983190 CTZ983190 DDV983190 DNR983190 DXN983190 EHJ983190 ERF983190 FBB983190 FKX983190 FUT983190 GEP983190 GOL983190 GYH983190 HID983190 HRZ983190 IBV983190 ILR983190 IVN983190 JFJ983190 JPF983190 JZB983190 KIX983190 KST983190 LCP983190 LML983190 LWH983190 MGD983190 MPZ983190 MZV983190 NJR983190 NTN983190 ODJ983190 ONF983190 OXB983190 PGX983190 PQT983190 QAP983190 QKL983190 QUH983190 RED983190 RNZ983190 RXV983190 SHR983190 SRN983190 TBJ983190 TLF983190 TVB983190 UEX983190 UOT983190 UYP983190 VIL983190 VSH983190 WCD983190 WLZ983190 WVV983190" xr:uid="{00000000-0002-0000-0200-000015000000}"/>
    <dataValidation allowBlank="1" showInputMessage="1" showErrorMessage="1" promptTitle="Statutory Reserves" prompt="Totals of Statutory Reserves" sqref="N152 JJ152 TF152 ADB152 AMX152 AWT152 BGP152 BQL152 CAH152 CKD152 CTZ152 DDV152 DNR152 DXN152 EHJ152 ERF152 FBB152 FKX152 FUT152 GEP152 GOL152 GYH152 HID152 HRZ152 IBV152 ILR152 IVN152 JFJ152 JPF152 JZB152 KIX152 KST152 LCP152 LML152 LWH152 MGD152 MPZ152 MZV152 NJR152 NTN152 ODJ152 ONF152 OXB152 PGX152 PQT152 QAP152 QKL152 QUH152 RED152 RNZ152 RXV152 SHR152 SRN152 TBJ152 TLF152 TVB152 UEX152 UOT152 UYP152 VIL152 VSH152 WCD152 WLZ152 WVV152 N65688 JJ65688 TF65688 ADB65688 AMX65688 AWT65688 BGP65688 BQL65688 CAH65688 CKD65688 CTZ65688 DDV65688 DNR65688 DXN65688 EHJ65688 ERF65688 FBB65688 FKX65688 FUT65688 GEP65688 GOL65688 GYH65688 HID65688 HRZ65688 IBV65688 ILR65688 IVN65688 JFJ65688 JPF65688 JZB65688 KIX65688 KST65688 LCP65688 LML65688 LWH65688 MGD65688 MPZ65688 MZV65688 NJR65688 NTN65688 ODJ65688 ONF65688 OXB65688 PGX65688 PQT65688 QAP65688 QKL65688 QUH65688 RED65688 RNZ65688 RXV65688 SHR65688 SRN65688 TBJ65688 TLF65688 TVB65688 UEX65688 UOT65688 UYP65688 VIL65688 VSH65688 WCD65688 WLZ65688 WVV65688 N131224 JJ131224 TF131224 ADB131224 AMX131224 AWT131224 BGP131224 BQL131224 CAH131224 CKD131224 CTZ131224 DDV131224 DNR131224 DXN131224 EHJ131224 ERF131224 FBB131224 FKX131224 FUT131224 GEP131224 GOL131224 GYH131224 HID131224 HRZ131224 IBV131224 ILR131224 IVN131224 JFJ131224 JPF131224 JZB131224 KIX131224 KST131224 LCP131224 LML131224 LWH131224 MGD131224 MPZ131224 MZV131224 NJR131224 NTN131224 ODJ131224 ONF131224 OXB131224 PGX131224 PQT131224 QAP131224 QKL131224 QUH131224 RED131224 RNZ131224 RXV131224 SHR131224 SRN131224 TBJ131224 TLF131224 TVB131224 UEX131224 UOT131224 UYP131224 VIL131224 VSH131224 WCD131224 WLZ131224 WVV131224 N196760 JJ196760 TF196760 ADB196760 AMX196760 AWT196760 BGP196760 BQL196760 CAH196760 CKD196760 CTZ196760 DDV196760 DNR196760 DXN196760 EHJ196760 ERF196760 FBB196760 FKX196760 FUT196760 GEP196760 GOL196760 GYH196760 HID196760 HRZ196760 IBV196760 ILR196760 IVN196760 JFJ196760 JPF196760 JZB196760 KIX196760 KST196760 LCP196760 LML196760 LWH196760 MGD196760 MPZ196760 MZV196760 NJR196760 NTN196760 ODJ196760 ONF196760 OXB196760 PGX196760 PQT196760 QAP196760 QKL196760 QUH196760 RED196760 RNZ196760 RXV196760 SHR196760 SRN196760 TBJ196760 TLF196760 TVB196760 UEX196760 UOT196760 UYP196760 VIL196760 VSH196760 WCD196760 WLZ196760 WVV196760 N262296 JJ262296 TF262296 ADB262296 AMX262296 AWT262296 BGP262296 BQL262296 CAH262296 CKD262296 CTZ262296 DDV262296 DNR262296 DXN262296 EHJ262296 ERF262296 FBB262296 FKX262296 FUT262296 GEP262296 GOL262296 GYH262296 HID262296 HRZ262296 IBV262296 ILR262296 IVN262296 JFJ262296 JPF262296 JZB262296 KIX262296 KST262296 LCP262296 LML262296 LWH262296 MGD262296 MPZ262296 MZV262296 NJR262296 NTN262296 ODJ262296 ONF262296 OXB262296 PGX262296 PQT262296 QAP262296 QKL262296 QUH262296 RED262296 RNZ262296 RXV262296 SHR262296 SRN262296 TBJ262296 TLF262296 TVB262296 UEX262296 UOT262296 UYP262296 VIL262296 VSH262296 WCD262296 WLZ262296 WVV262296 N327832 JJ327832 TF327832 ADB327832 AMX327832 AWT327832 BGP327832 BQL327832 CAH327832 CKD327832 CTZ327832 DDV327832 DNR327832 DXN327832 EHJ327832 ERF327832 FBB327832 FKX327832 FUT327832 GEP327832 GOL327832 GYH327832 HID327832 HRZ327832 IBV327832 ILR327832 IVN327832 JFJ327832 JPF327832 JZB327832 KIX327832 KST327832 LCP327832 LML327832 LWH327832 MGD327832 MPZ327832 MZV327832 NJR327832 NTN327832 ODJ327832 ONF327832 OXB327832 PGX327832 PQT327832 QAP327832 QKL327832 QUH327832 RED327832 RNZ327832 RXV327832 SHR327832 SRN327832 TBJ327832 TLF327832 TVB327832 UEX327832 UOT327832 UYP327832 VIL327832 VSH327832 WCD327832 WLZ327832 WVV327832 N393368 JJ393368 TF393368 ADB393368 AMX393368 AWT393368 BGP393368 BQL393368 CAH393368 CKD393368 CTZ393368 DDV393368 DNR393368 DXN393368 EHJ393368 ERF393368 FBB393368 FKX393368 FUT393368 GEP393368 GOL393368 GYH393368 HID393368 HRZ393368 IBV393368 ILR393368 IVN393368 JFJ393368 JPF393368 JZB393368 KIX393368 KST393368 LCP393368 LML393368 LWH393368 MGD393368 MPZ393368 MZV393368 NJR393368 NTN393368 ODJ393368 ONF393368 OXB393368 PGX393368 PQT393368 QAP393368 QKL393368 QUH393368 RED393368 RNZ393368 RXV393368 SHR393368 SRN393368 TBJ393368 TLF393368 TVB393368 UEX393368 UOT393368 UYP393368 VIL393368 VSH393368 WCD393368 WLZ393368 WVV393368 N458904 JJ458904 TF458904 ADB458904 AMX458904 AWT458904 BGP458904 BQL458904 CAH458904 CKD458904 CTZ458904 DDV458904 DNR458904 DXN458904 EHJ458904 ERF458904 FBB458904 FKX458904 FUT458904 GEP458904 GOL458904 GYH458904 HID458904 HRZ458904 IBV458904 ILR458904 IVN458904 JFJ458904 JPF458904 JZB458904 KIX458904 KST458904 LCP458904 LML458904 LWH458904 MGD458904 MPZ458904 MZV458904 NJR458904 NTN458904 ODJ458904 ONF458904 OXB458904 PGX458904 PQT458904 QAP458904 QKL458904 QUH458904 RED458904 RNZ458904 RXV458904 SHR458904 SRN458904 TBJ458904 TLF458904 TVB458904 UEX458904 UOT458904 UYP458904 VIL458904 VSH458904 WCD458904 WLZ458904 WVV458904 N524440 JJ524440 TF524440 ADB524440 AMX524440 AWT524440 BGP524440 BQL524440 CAH524440 CKD524440 CTZ524440 DDV524440 DNR524440 DXN524440 EHJ524440 ERF524440 FBB524440 FKX524440 FUT524440 GEP524440 GOL524440 GYH524440 HID524440 HRZ524440 IBV524440 ILR524440 IVN524440 JFJ524440 JPF524440 JZB524440 KIX524440 KST524440 LCP524440 LML524440 LWH524440 MGD524440 MPZ524440 MZV524440 NJR524440 NTN524440 ODJ524440 ONF524440 OXB524440 PGX524440 PQT524440 QAP524440 QKL524440 QUH524440 RED524440 RNZ524440 RXV524440 SHR524440 SRN524440 TBJ524440 TLF524440 TVB524440 UEX524440 UOT524440 UYP524440 VIL524440 VSH524440 WCD524440 WLZ524440 WVV524440 N589976 JJ589976 TF589976 ADB589976 AMX589976 AWT589976 BGP589976 BQL589976 CAH589976 CKD589976 CTZ589976 DDV589976 DNR589976 DXN589976 EHJ589976 ERF589976 FBB589976 FKX589976 FUT589976 GEP589976 GOL589976 GYH589976 HID589976 HRZ589976 IBV589976 ILR589976 IVN589976 JFJ589976 JPF589976 JZB589976 KIX589976 KST589976 LCP589976 LML589976 LWH589976 MGD589976 MPZ589976 MZV589976 NJR589976 NTN589976 ODJ589976 ONF589976 OXB589976 PGX589976 PQT589976 QAP589976 QKL589976 QUH589976 RED589976 RNZ589976 RXV589976 SHR589976 SRN589976 TBJ589976 TLF589976 TVB589976 UEX589976 UOT589976 UYP589976 VIL589976 VSH589976 WCD589976 WLZ589976 WVV589976 N655512 JJ655512 TF655512 ADB655512 AMX655512 AWT655512 BGP655512 BQL655512 CAH655512 CKD655512 CTZ655512 DDV655512 DNR655512 DXN655512 EHJ655512 ERF655512 FBB655512 FKX655512 FUT655512 GEP655512 GOL655512 GYH655512 HID655512 HRZ655512 IBV655512 ILR655512 IVN655512 JFJ655512 JPF655512 JZB655512 KIX655512 KST655512 LCP655512 LML655512 LWH655512 MGD655512 MPZ655512 MZV655512 NJR655512 NTN655512 ODJ655512 ONF655512 OXB655512 PGX655512 PQT655512 QAP655512 QKL655512 QUH655512 RED655512 RNZ655512 RXV655512 SHR655512 SRN655512 TBJ655512 TLF655512 TVB655512 UEX655512 UOT655512 UYP655512 VIL655512 VSH655512 WCD655512 WLZ655512 WVV655512 N721048 JJ721048 TF721048 ADB721048 AMX721048 AWT721048 BGP721048 BQL721048 CAH721048 CKD721048 CTZ721048 DDV721048 DNR721048 DXN721048 EHJ721048 ERF721048 FBB721048 FKX721048 FUT721048 GEP721048 GOL721048 GYH721048 HID721048 HRZ721048 IBV721048 ILR721048 IVN721048 JFJ721048 JPF721048 JZB721048 KIX721048 KST721048 LCP721048 LML721048 LWH721048 MGD721048 MPZ721048 MZV721048 NJR721048 NTN721048 ODJ721048 ONF721048 OXB721048 PGX721048 PQT721048 QAP721048 QKL721048 QUH721048 RED721048 RNZ721048 RXV721048 SHR721048 SRN721048 TBJ721048 TLF721048 TVB721048 UEX721048 UOT721048 UYP721048 VIL721048 VSH721048 WCD721048 WLZ721048 WVV721048 N786584 JJ786584 TF786584 ADB786584 AMX786584 AWT786584 BGP786584 BQL786584 CAH786584 CKD786584 CTZ786584 DDV786584 DNR786584 DXN786584 EHJ786584 ERF786584 FBB786584 FKX786584 FUT786584 GEP786584 GOL786584 GYH786584 HID786584 HRZ786584 IBV786584 ILR786584 IVN786584 JFJ786584 JPF786584 JZB786584 KIX786584 KST786584 LCP786584 LML786584 LWH786584 MGD786584 MPZ786584 MZV786584 NJR786584 NTN786584 ODJ786584 ONF786584 OXB786584 PGX786584 PQT786584 QAP786584 QKL786584 QUH786584 RED786584 RNZ786584 RXV786584 SHR786584 SRN786584 TBJ786584 TLF786584 TVB786584 UEX786584 UOT786584 UYP786584 VIL786584 VSH786584 WCD786584 WLZ786584 WVV786584 N852120 JJ852120 TF852120 ADB852120 AMX852120 AWT852120 BGP852120 BQL852120 CAH852120 CKD852120 CTZ852120 DDV852120 DNR852120 DXN852120 EHJ852120 ERF852120 FBB852120 FKX852120 FUT852120 GEP852120 GOL852120 GYH852120 HID852120 HRZ852120 IBV852120 ILR852120 IVN852120 JFJ852120 JPF852120 JZB852120 KIX852120 KST852120 LCP852120 LML852120 LWH852120 MGD852120 MPZ852120 MZV852120 NJR852120 NTN852120 ODJ852120 ONF852120 OXB852120 PGX852120 PQT852120 QAP852120 QKL852120 QUH852120 RED852120 RNZ852120 RXV852120 SHR852120 SRN852120 TBJ852120 TLF852120 TVB852120 UEX852120 UOT852120 UYP852120 VIL852120 VSH852120 WCD852120 WLZ852120 WVV852120 N917656 JJ917656 TF917656 ADB917656 AMX917656 AWT917656 BGP917656 BQL917656 CAH917656 CKD917656 CTZ917656 DDV917656 DNR917656 DXN917656 EHJ917656 ERF917656 FBB917656 FKX917656 FUT917656 GEP917656 GOL917656 GYH917656 HID917656 HRZ917656 IBV917656 ILR917656 IVN917656 JFJ917656 JPF917656 JZB917656 KIX917656 KST917656 LCP917656 LML917656 LWH917656 MGD917656 MPZ917656 MZV917656 NJR917656 NTN917656 ODJ917656 ONF917656 OXB917656 PGX917656 PQT917656 QAP917656 QKL917656 QUH917656 RED917656 RNZ917656 RXV917656 SHR917656 SRN917656 TBJ917656 TLF917656 TVB917656 UEX917656 UOT917656 UYP917656 VIL917656 VSH917656 WCD917656 WLZ917656 WVV917656 N983192 JJ983192 TF983192 ADB983192 AMX983192 AWT983192 BGP983192 BQL983192 CAH983192 CKD983192 CTZ983192 DDV983192 DNR983192 DXN983192 EHJ983192 ERF983192 FBB983192 FKX983192 FUT983192 GEP983192 GOL983192 GYH983192 HID983192 HRZ983192 IBV983192 ILR983192 IVN983192 JFJ983192 JPF983192 JZB983192 KIX983192 KST983192 LCP983192 LML983192 LWH983192 MGD983192 MPZ983192 MZV983192 NJR983192 NTN983192 ODJ983192 ONF983192 OXB983192 PGX983192 PQT983192 QAP983192 QKL983192 QUH983192 RED983192 RNZ983192 RXV983192 SHR983192 SRN983192 TBJ983192 TLF983192 TVB983192 UEX983192 UOT983192 UYP983192 VIL983192 VSH983192 WCD983192 WLZ983192 WVV983192" xr:uid="{00000000-0002-0000-0200-000016000000}"/>
    <dataValidation allowBlank="1" showInputMessage="1" showErrorMessage="1" promptTitle="Operating Reserves" prompt="Totals of Operating reserves" sqref="N154 JJ154 TF154 ADB154 AMX154 AWT154 BGP154 BQL154 CAH154 CKD154 CTZ154 DDV154 DNR154 DXN154 EHJ154 ERF154 FBB154 FKX154 FUT154 GEP154 GOL154 GYH154 HID154 HRZ154 IBV154 ILR154 IVN154 JFJ154 JPF154 JZB154 KIX154 KST154 LCP154 LML154 LWH154 MGD154 MPZ154 MZV154 NJR154 NTN154 ODJ154 ONF154 OXB154 PGX154 PQT154 QAP154 QKL154 QUH154 RED154 RNZ154 RXV154 SHR154 SRN154 TBJ154 TLF154 TVB154 UEX154 UOT154 UYP154 VIL154 VSH154 WCD154 WLZ154 WVV154 N65690 JJ65690 TF65690 ADB65690 AMX65690 AWT65690 BGP65690 BQL65690 CAH65690 CKD65690 CTZ65690 DDV65690 DNR65690 DXN65690 EHJ65690 ERF65690 FBB65690 FKX65690 FUT65690 GEP65690 GOL65690 GYH65690 HID65690 HRZ65690 IBV65690 ILR65690 IVN65690 JFJ65690 JPF65690 JZB65690 KIX65690 KST65690 LCP65690 LML65690 LWH65690 MGD65690 MPZ65690 MZV65690 NJR65690 NTN65690 ODJ65690 ONF65690 OXB65690 PGX65690 PQT65690 QAP65690 QKL65690 QUH65690 RED65690 RNZ65690 RXV65690 SHR65690 SRN65690 TBJ65690 TLF65690 TVB65690 UEX65690 UOT65690 UYP65690 VIL65690 VSH65690 WCD65690 WLZ65690 WVV65690 N131226 JJ131226 TF131226 ADB131226 AMX131226 AWT131226 BGP131226 BQL131226 CAH131226 CKD131226 CTZ131226 DDV131226 DNR131226 DXN131226 EHJ131226 ERF131226 FBB131226 FKX131226 FUT131226 GEP131226 GOL131226 GYH131226 HID131226 HRZ131226 IBV131226 ILR131226 IVN131226 JFJ131226 JPF131226 JZB131226 KIX131226 KST131226 LCP131226 LML131226 LWH131226 MGD131226 MPZ131226 MZV131226 NJR131226 NTN131226 ODJ131226 ONF131226 OXB131226 PGX131226 PQT131226 QAP131226 QKL131226 QUH131226 RED131226 RNZ131226 RXV131226 SHR131226 SRN131226 TBJ131226 TLF131226 TVB131226 UEX131226 UOT131226 UYP131226 VIL131226 VSH131226 WCD131226 WLZ131226 WVV131226 N196762 JJ196762 TF196762 ADB196762 AMX196762 AWT196762 BGP196762 BQL196762 CAH196762 CKD196762 CTZ196762 DDV196762 DNR196762 DXN196762 EHJ196762 ERF196762 FBB196762 FKX196762 FUT196762 GEP196762 GOL196762 GYH196762 HID196762 HRZ196762 IBV196762 ILR196762 IVN196762 JFJ196762 JPF196762 JZB196762 KIX196762 KST196762 LCP196762 LML196762 LWH196762 MGD196762 MPZ196762 MZV196762 NJR196762 NTN196762 ODJ196762 ONF196762 OXB196762 PGX196762 PQT196762 QAP196762 QKL196762 QUH196762 RED196762 RNZ196762 RXV196762 SHR196762 SRN196762 TBJ196762 TLF196762 TVB196762 UEX196762 UOT196762 UYP196762 VIL196762 VSH196762 WCD196762 WLZ196762 WVV196762 N262298 JJ262298 TF262298 ADB262298 AMX262298 AWT262298 BGP262298 BQL262298 CAH262298 CKD262298 CTZ262298 DDV262298 DNR262298 DXN262298 EHJ262298 ERF262298 FBB262298 FKX262298 FUT262298 GEP262298 GOL262298 GYH262298 HID262298 HRZ262298 IBV262298 ILR262298 IVN262298 JFJ262298 JPF262298 JZB262298 KIX262298 KST262298 LCP262298 LML262298 LWH262298 MGD262298 MPZ262298 MZV262298 NJR262298 NTN262298 ODJ262298 ONF262298 OXB262298 PGX262298 PQT262298 QAP262298 QKL262298 QUH262298 RED262298 RNZ262298 RXV262298 SHR262298 SRN262298 TBJ262298 TLF262298 TVB262298 UEX262298 UOT262298 UYP262298 VIL262298 VSH262298 WCD262298 WLZ262298 WVV262298 N327834 JJ327834 TF327834 ADB327834 AMX327834 AWT327834 BGP327834 BQL327834 CAH327834 CKD327834 CTZ327834 DDV327834 DNR327834 DXN327834 EHJ327834 ERF327834 FBB327834 FKX327834 FUT327834 GEP327834 GOL327834 GYH327834 HID327834 HRZ327834 IBV327834 ILR327834 IVN327834 JFJ327834 JPF327834 JZB327834 KIX327834 KST327834 LCP327834 LML327834 LWH327834 MGD327834 MPZ327834 MZV327834 NJR327834 NTN327834 ODJ327834 ONF327834 OXB327834 PGX327834 PQT327834 QAP327834 QKL327834 QUH327834 RED327834 RNZ327834 RXV327834 SHR327834 SRN327834 TBJ327834 TLF327834 TVB327834 UEX327834 UOT327834 UYP327834 VIL327834 VSH327834 WCD327834 WLZ327834 WVV327834 N393370 JJ393370 TF393370 ADB393370 AMX393370 AWT393370 BGP393370 BQL393370 CAH393370 CKD393370 CTZ393370 DDV393370 DNR393370 DXN393370 EHJ393370 ERF393370 FBB393370 FKX393370 FUT393370 GEP393370 GOL393370 GYH393370 HID393370 HRZ393370 IBV393370 ILR393370 IVN393370 JFJ393370 JPF393370 JZB393370 KIX393370 KST393370 LCP393370 LML393370 LWH393370 MGD393370 MPZ393370 MZV393370 NJR393370 NTN393370 ODJ393370 ONF393370 OXB393370 PGX393370 PQT393370 QAP393370 QKL393370 QUH393370 RED393370 RNZ393370 RXV393370 SHR393370 SRN393370 TBJ393370 TLF393370 TVB393370 UEX393370 UOT393370 UYP393370 VIL393370 VSH393370 WCD393370 WLZ393370 WVV393370 N458906 JJ458906 TF458906 ADB458906 AMX458906 AWT458906 BGP458906 BQL458906 CAH458906 CKD458906 CTZ458906 DDV458906 DNR458906 DXN458906 EHJ458906 ERF458906 FBB458906 FKX458906 FUT458906 GEP458906 GOL458906 GYH458906 HID458906 HRZ458906 IBV458906 ILR458906 IVN458906 JFJ458906 JPF458906 JZB458906 KIX458906 KST458906 LCP458906 LML458906 LWH458906 MGD458906 MPZ458906 MZV458906 NJR458906 NTN458906 ODJ458906 ONF458906 OXB458906 PGX458906 PQT458906 QAP458906 QKL458906 QUH458906 RED458906 RNZ458906 RXV458906 SHR458906 SRN458906 TBJ458906 TLF458906 TVB458906 UEX458906 UOT458906 UYP458906 VIL458906 VSH458906 WCD458906 WLZ458906 WVV458906 N524442 JJ524442 TF524442 ADB524442 AMX524442 AWT524442 BGP524442 BQL524442 CAH524442 CKD524442 CTZ524442 DDV524442 DNR524442 DXN524442 EHJ524442 ERF524442 FBB524442 FKX524442 FUT524442 GEP524442 GOL524442 GYH524442 HID524442 HRZ524442 IBV524442 ILR524442 IVN524442 JFJ524442 JPF524442 JZB524442 KIX524442 KST524442 LCP524442 LML524442 LWH524442 MGD524442 MPZ524442 MZV524442 NJR524442 NTN524442 ODJ524442 ONF524442 OXB524442 PGX524442 PQT524442 QAP524442 QKL524442 QUH524442 RED524442 RNZ524442 RXV524442 SHR524442 SRN524442 TBJ524442 TLF524442 TVB524442 UEX524442 UOT524442 UYP524442 VIL524442 VSH524442 WCD524442 WLZ524442 WVV524442 N589978 JJ589978 TF589978 ADB589978 AMX589978 AWT589978 BGP589978 BQL589978 CAH589978 CKD589978 CTZ589978 DDV589978 DNR589978 DXN589978 EHJ589978 ERF589978 FBB589978 FKX589978 FUT589978 GEP589978 GOL589978 GYH589978 HID589978 HRZ589978 IBV589978 ILR589978 IVN589978 JFJ589978 JPF589978 JZB589978 KIX589978 KST589978 LCP589978 LML589978 LWH589978 MGD589978 MPZ589978 MZV589978 NJR589978 NTN589978 ODJ589978 ONF589978 OXB589978 PGX589978 PQT589978 QAP589978 QKL589978 QUH589978 RED589978 RNZ589978 RXV589978 SHR589978 SRN589978 TBJ589978 TLF589978 TVB589978 UEX589978 UOT589978 UYP589978 VIL589978 VSH589978 WCD589978 WLZ589978 WVV589978 N655514 JJ655514 TF655514 ADB655514 AMX655514 AWT655514 BGP655514 BQL655514 CAH655514 CKD655514 CTZ655514 DDV655514 DNR655514 DXN655514 EHJ655514 ERF655514 FBB655514 FKX655514 FUT655514 GEP655514 GOL655514 GYH655514 HID655514 HRZ655514 IBV655514 ILR655514 IVN655514 JFJ655514 JPF655514 JZB655514 KIX655514 KST655514 LCP655514 LML655514 LWH655514 MGD655514 MPZ655514 MZV655514 NJR655514 NTN655514 ODJ655514 ONF655514 OXB655514 PGX655514 PQT655514 QAP655514 QKL655514 QUH655514 RED655514 RNZ655514 RXV655514 SHR655514 SRN655514 TBJ655514 TLF655514 TVB655514 UEX655514 UOT655514 UYP655514 VIL655514 VSH655514 WCD655514 WLZ655514 WVV655514 N721050 JJ721050 TF721050 ADB721050 AMX721050 AWT721050 BGP721050 BQL721050 CAH721050 CKD721050 CTZ721050 DDV721050 DNR721050 DXN721050 EHJ721050 ERF721050 FBB721050 FKX721050 FUT721050 GEP721050 GOL721050 GYH721050 HID721050 HRZ721050 IBV721050 ILR721050 IVN721050 JFJ721050 JPF721050 JZB721050 KIX721050 KST721050 LCP721050 LML721050 LWH721050 MGD721050 MPZ721050 MZV721050 NJR721050 NTN721050 ODJ721050 ONF721050 OXB721050 PGX721050 PQT721050 QAP721050 QKL721050 QUH721050 RED721050 RNZ721050 RXV721050 SHR721050 SRN721050 TBJ721050 TLF721050 TVB721050 UEX721050 UOT721050 UYP721050 VIL721050 VSH721050 WCD721050 WLZ721050 WVV721050 N786586 JJ786586 TF786586 ADB786586 AMX786586 AWT786586 BGP786586 BQL786586 CAH786586 CKD786586 CTZ786586 DDV786586 DNR786586 DXN786586 EHJ786586 ERF786586 FBB786586 FKX786586 FUT786586 GEP786586 GOL786586 GYH786586 HID786586 HRZ786586 IBV786586 ILR786586 IVN786586 JFJ786586 JPF786586 JZB786586 KIX786586 KST786586 LCP786586 LML786586 LWH786586 MGD786586 MPZ786586 MZV786586 NJR786586 NTN786586 ODJ786586 ONF786586 OXB786586 PGX786586 PQT786586 QAP786586 QKL786586 QUH786586 RED786586 RNZ786586 RXV786586 SHR786586 SRN786586 TBJ786586 TLF786586 TVB786586 UEX786586 UOT786586 UYP786586 VIL786586 VSH786586 WCD786586 WLZ786586 WVV786586 N852122 JJ852122 TF852122 ADB852122 AMX852122 AWT852122 BGP852122 BQL852122 CAH852122 CKD852122 CTZ852122 DDV852122 DNR852122 DXN852122 EHJ852122 ERF852122 FBB852122 FKX852122 FUT852122 GEP852122 GOL852122 GYH852122 HID852122 HRZ852122 IBV852122 ILR852122 IVN852122 JFJ852122 JPF852122 JZB852122 KIX852122 KST852122 LCP852122 LML852122 LWH852122 MGD852122 MPZ852122 MZV852122 NJR852122 NTN852122 ODJ852122 ONF852122 OXB852122 PGX852122 PQT852122 QAP852122 QKL852122 QUH852122 RED852122 RNZ852122 RXV852122 SHR852122 SRN852122 TBJ852122 TLF852122 TVB852122 UEX852122 UOT852122 UYP852122 VIL852122 VSH852122 WCD852122 WLZ852122 WVV852122 N917658 JJ917658 TF917658 ADB917658 AMX917658 AWT917658 BGP917658 BQL917658 CAH917658 CKD917658 CTZ917658 DDV917658 DNR917658 DXN917658 EHJ917658 ERF917658 FBB917658 FKX917658 FUT917658 GEP917658 GOL917658 GYH917658 HID917658 HRZ917658 IBV917658 ILR917658 IVN917658 JFJ917658 JPF917658 JZB917658 KIX917658 KST917658 LCP917658 LML917658 LWH917658 MGD917658 MPZ917658 MZV917658 NJR917658 NTN917658 ODJ917658 ONF917658 OXB917658 PGX917658 PQT917658 QAP917658 QKL917658 QUH917658 RED917658 RNZ917658 RXV917658 SHR917658 SRN917658 TBJ917658 TLF917658 TVB917658 UEX917658 UOT917658 UYP917658 VIL917658 VSH917658 WCD917658 WLZ917658 WVV917658 N983194 JJ983194 TF983194 ADB983194 AMX983194 AWT983194 BGP983194 BQL983194 CAH983194 CKD983194 CTZ983194 DDV983194 DNR983194 DXN983194 EHJ983194 ERF983194 FBB983194 FKX983194 FUT983194 GEP983194 GOL983194 GYH983194 HID983194 HRZ983194 IBV983194 ILR983194 IVN983194 JFJ983194 JPF983194 JZB983194 KIX983194 KST983194 LCP983194 LML983194 LWH983194 MGD983194 MPZ983194 MZV983194 NJR983194 NTN983194 ODJ983194 ONF983194 OXB983194 PGX983194 PQT983194 QAP983194 QKL983194 QUH983194 RED983194 RNZ983194 RXV983194 SHR983194 SRN983194 TBJ983194 TLF983194 TVB983194 UEX983194 UOT983194 UYP983194 VIL983194 VSH983194 WCD983194 WLZ983194 WVV983194" xr:uid="{00000000-0002-0000-0200-000017000000}"/>
    <dataValidation allowBlank="1" showInputMessage="1" showErrorMessage="1" promptTitle="Other Reserves" prompt="Totals of all Reserves excluding Statutory and Operating Reserves" sqref="N156 JJ156 TF156 ADB156 AMX156 AWT156 BGP156 BQL156 CAH156 CKD156 CTZ156 DDV156 DNR156 DXN156 EHJ156 ERF156 FBB156 FKX156 FUT156 GEP156 GOL156 GYH156 HID156 HRZ156 IBV156 ILR156 IVN156 JFJ156 JPF156 JZB156 KIX156 KST156 LCP156 LML156 LWH156 MGD156 MPZ156 MZV156 NJR156 NTN156 ODJ156 ONF156 OXB156 PGX156 PQT156 QAP156 QKL156 QUH156 RED156 RNZ156 RXV156 SHR156 SRN156 TBJ156 TLF156 TVB156 UEX156 UOT156 UYP156 VIL156 VSH156 WCD156 WLZ156 WVV156 N65692 JJ65692 TF65692 ADB65692 AMX65692 AWT65692 BGP65692 BQL65692 CAH65692 CKD65692 CTZ65692 DDV65692 DNR65692 DXN65692 EHJ65692 ERF65692 FBB65692 FKX65692 FUT65692 GEP65692 GOL65692 GYH65692 HID65692 HRZ65692 IBV65692 ILR65692 IVN65692 JFJ65692 JPF65692 JZB65692 KIX65692 KST65692 LCP65692 LML65692 LWH65692 MGD65692 MPZ65692 MZV65692 NJR65692 NTN65692 ODJ65692 ONF65692 OXB65692 PGX65692 PQT65692 QAP65692 QKL65692 QUH65692 RED65692 RNZ65692 RXV65692 SHR65692 SRN65692 TBJ65692 TLF65692 TVB65692 UEX65692 UOT65692 UYP65692 VIL65692 VSH65692 WCD65692 WLZ65692 WVV65692 N131228 JJ131228 TF131228 ADB131228 AMX131228 AWT131228 BGP131228 BQL131228 CAH131228 CKD131228 CTZ131228 DDV131228 DNR131228 DXN131228 EHJ131228 ERF131228 FBB131228 FKX131228 FUT131228 GEP131228 GOL131228 GYH131228 HID131228 HRZ131228 IBV131228 ILR131228 IVN131228 JFJ131228 JPF131228 JZB131228 KIX131228 KST131228 LCP131228 LML131228 LWH131228 MGD131228 MPZ131228 MZV131228 NJR131228 NTN131228 ODJ131228 ONF131228 OXB131228 PGX131228 PQT131228 QAP131228 QKL131228 QUH131228 RED131228 RNZ131228 RXV131228 SHR131228 SRN131228 TBJ131228 TLF131228 TVB131228 UEX131228 UOT131228 UYP131228 VIL131228 VSH131228 WCD131228 WLZ131228 WVV131228 N196764 JJ196764 TF196764 ADB196764 AMX196764 AWT196764 BGP196764 BQL196764 CAH196764 CKD196764 CTZ196764 DDV196764 DNR196764 DXN196764 EHJ196764 ERF196764 FBB196764 FKX196764 FUT196764 GEP196764 GOL196764 GYH196764 HID196764 HRZ196764 IBV196764 ILR196764 IVN196764 JFJ196764 JPF196764 JZB196764 KIX196764 KST196764 LCP196764 LML196764 LWH196764 MGD196764 MPZ196764 MZV196764 NJR196764 NTN196764 ODJ196764 ONF196764 OXB196764 PGX196764 PQT196764 QAP196764 QKL196764 QUH196764 RED196764 RNZ196764 RXV196764 SHR196764 SRN196764 TBJ196764 TLF196764 TVB196764 UEX196764 UOT196764 UYP196764 VIL196764 VSH196764 WCD196764 WLZ196764 WVV196764 N262300 JJ262300 TF262300 ADB262300 AMX262300 AWT262300 BGP262300 BQL262300 CAH262300 CKD262300 CTZ262300 DDV262300 DNR262300 DXN262300 EHJ262300 ERF262300 FBB262300 FKX262300 FUT262300 GEP262300 GOL262300 GYH262300 HID262300 HRZ262300 IBV262300 ILR262300 IVN262300 JFJ262300 JPF262300 JZB262300 KIX262300 KST262300 LCP262300 LML262300 LWH262300 MGD262300 MPZ262300 MZV262300 NJR262300 NTN262300 ODJ262300 ONF262300 OXB262300 PGX262300 PQT262300 QAP262300 QKL262300 QUH262300 RED262300 RNZ262300 RXV262300 SHR262300 SRN262300 TBJ262300 TLF262300 TVB262300 UEX262300 UOT262300 UYP262300 VIL262300 VSH262300 WCD262300 WLZ262300 WVV262300 N327836 JJ327836 TF327836 ADB327836 AMX327836 AWT327836 BGP327836 BQL327836 CAH327836 CKD327836 CTZ327836 DDV327836 DNR327836 DXN327836 EHJ327836 ERF327836 FBB327836 FKX327836 FUT327836 GEP327836 GOL327836 GYH327836 HID327836 HRZ327836 IBV327836 ILR327836 IVN327836 JFJ327836 JPF327836 JZB327836 KIX327836 KST327836 LCP327836 LML327836 LWH327836 MGD327836 MPZ327836 MZV327836 NJR327836 NTN327836 ODJ327836 ONF327836 OXB327836 PGX327836 PQT327836 QAP327836 QKL327836 QUH327836 RED327836 RNZ327836 RXV327836 SHR327836 SRN327836 TBJ327836 TLF327836 TVB327836 UEX327836 UOT327836 UYP327836 VIL327836 VSH327836 WCD327836 WLZ327836 WVV327836 N393372 JJ393372 TF393372 ADB393372 AMX393372 AWT393372 BGP393372 BQL393372 CAH393372 CKD393372 CTZ393372 DDV393372 DNR393372 DXN393372 EHJ393372 ERF393372 FBB393372 FKX393372 FUT393372 GEP393372 GOL393372 GYH393372 HID393372 HRZ393372 IBV393372 ILR393372 IVN393372 JFJ393372 JPF393372 JZB393372 KIX393372 KST393372 LCP393372 LML393372 LWH393372 MGD393372 MPZ393372 MZV393372 NJR393372 NTN393372 ODJ393372 ONF393372 OXB393372 PGX393372 PQT393372 QAP393372 QKL393372 QUH393372 RED393372 RNZ393372 RXV393372 SHR393372 SRN393372 TBJ393372 TLF393372 TVB393372 UEX393372 UOT393372 UYP393372 VIL393372 VSH393372 WCD393372 WLZ393372 WVV393372 N458908 JJ458908 TF458908 ADB458908 AMX458908 AWT458908 BGP458908 BQL458908 CAH458908 CKD458908 CTZ458908 DDV458908 DNR458908 DXN458908 EHJ458908 ERF458908 FBB458908 FKX458908 FUT458908 GEP458908 GOL458908 GYH458908 HID458908 HRZ458908 IBV458908 ILR458908 IVN458908 JFJ458908 JPF458908 JZB458908 KIX458908 KST458908 LCP458908 LML458908 LWH458908 MGD458908 MPZ458908 MZV458908 NJR458908 NTN458908 ODJ458908 ONF458908 OXB458908 PGX458908 PQT458908 QAP458908 QKL458908 QUH458908 RED458908 RNZ458908 RXV458908 SHR458908 SRN458908 TBJ458908 TLF458908 TVB458908 UEX458908 UOT458908 UYP458908 VIL458908 VSH458908 WCD458908 WLZ458908 WVV458908 N524444 JJ524444 TF524444 ADB524444 AMX524444 AWT524444 BGP524444 BQL524444 CAH524444 CKD524444 CTZ524444 DDV524444 DNR524444 DXN524444 EHJ524444 ERF524444 FBB524444 FKX524444 FUT524444 GEP524444 GOL524444 GYH524444 HID524444 HRZ524444 IBV524444 ILR524444 IVN524444 JFJ524444 JPF524444 JZB524444 KIX524444 KST524444 LCP524444 LML524444 LWH524444 MGD524444 MPZ524444 MZV524444 NJR524444 NTN524444 ODJ524444 ONF524444 OXB524444 PGX524444 PQT524444 QAP524444 QKL524444 QUH524444 RED524444 RNZ524444 RXV524444 SHR524444 SRN524444 TBJ524444 TLF524444 TVB524444 UEX524444 UOT524444 UYP524444 VIL524444 VSH524444 WCD524444 WLZ524444 WVV524444 N589980 JJ589980 TF589980 ADB589980 AMX589980 AWT589980 BGP589980 BQL589980 CAH589980 CKD589980 CTZ589980 DDV589980 DNR589980 DXN589980 EHJ589980 ERF589980 FBB589980 FKX589980 FUT589980 GEP589980 GOL589980 GYH589980 HID589980 HRZ589980 IBV589980 ILR589980 IVN589980 JFJ589980 JPF589980 JZB589980 KIX589980 KST589980 LCP589980 LML589980 LWH589980 MGD589980 MPZ589980 MZV589980 NJR589980 NTN589980 ODJ589980 ONF589980 OXB589980 PGX589980 PQT589980 QAP589980 QKL589980 QUH589980 RED589980 RNZ589980 RXV589980 SHR589980 SRN589980 TBJ589980 TLF589980 TVB589980 UEX589980 UOT589980 UYP589980 VIL589980 VSH589980 WCD589980 WLZ589980 WVV589980 N655516 JJ655516 TF655516 ADB655516 AMX655516 AWT655516 BGP655516 BQL655516 CAH655516 CKD655516 CTZ655516 DDV655516 DNR655516 DXN655516 EHJ655516 ERF655516 FBB655516 FKX655516 FUT655516 GEP655516 GOL655516 GYH655516 HID655516 HRZ655516 IBV655516 ILR655516 IVN655516 JFJ655516 JPF655516 JZB655516 KIX655516 KST655516 LCP655516 LML655516 LWH655516 MGD655516 MPZ655516 MZV655516 NJR655516 NTN655516 ODJ655516 ONF655516 OXB655516 PGX655516 PQT655516 QAP655516 QKL655516 QUH655516 RED655516 RNZ655516 RXV655516 SHR655516 SRN655516 TBJ655516 TLF655516 TVB655516 UEX655516 UOT655516 UYP655516 VIL655516 VSH655516 WCD655516 WLZ655516 WVV655516 N721052 JJ721052 TF721052 ADB721052 AMX721052 AWT721052 BGP721052 BQL721052 CAH721052 CKD721052 CTZ721052 DDV721052 DNR721052 DXN721052 EHJ721052 ERF721052 FBB721052 FKX721052 FUT721052 GEP721052 GOL721052 GYH721052 HID721052 HRZ721052 IBV721052 ILR721052 IVN721052 JFJ721052 JPF721052 JZB721052 KIX721052 KST721052 LCP721052 LML721052 LWH721052 MGD721052 MPZ721052 MZV721052 NJR721052 NTN721052 ODJ721052 ONF721052 OXB721052 PGX721052 PQT721052 QAP721052 QKL721052 QUH721052 RED721052 RNZ721052 RXV721052 SHR721052 SRN721052 TBJ721052 TLF721052 TVB721052 UEX721052 UOT721052 UYP721052 VIL721052 VSH721052 WCD721052 WLZ721052 WVV721052 N786588 JJ786588 TF786588 ADB786588 AMX786588 AWT786588 BGP786588 BQL786588 CAH786588 CKD786588 CTZ786588 DDV786588 DNR786588 DXN786588 EHJ786588 ERF786588 FBB786588 FKX786588 FUT786588 GEP786588 GOL786588 GYH786588 HID786588 HRZ786588 IBV786588 ILR786588 IVN786588 JFJ786588 JPF786588 JZB786588 KIX786588 KST786588 LCP786588 LML786588 LWH786588 MGD786588 MPZ786588 MZV786588 NJR786588 NTN786588 ODJ786588 ONF786588 OXB786588 PGX786588 PQT786588 QAP786588 QKL786588 QUH786588 RED786588 RNZ786588 RXV786588 SHR786588 SRN786588 TBJ786588 TLF786588 TVB786588 UEX786588 UOT786588 UYP786588 VIL786588 VSH786588 WCD786588 WLZ786588 WVV786588 N852124 JJ852124 TF852124 ADB852124 AMX852124 AWT852124 BGP852124 BQL852124 CAH852124 CKD852124 CTZ852124 DDV852124 DNR852124 DXN852124 EHJ852124 ERF852124 FBB852124 FKX852124 FUT852124 GEP852124 GOL852124 GYH852124 HID852124 HRZ852124 IBV852124 ILR852124 IVN852124 JFJ852124 JPF852124 JZB852124 KIX852124 KST852124 LCP852124 LML852124 LWH852124 MGD852124 MPZ852124 MZV852124 NJR852124 NTN852124 ODJ852124 ONF852124 OXB852124 PGX852124 PQT852124 QAP852124 QKL852124 QUH852124 RED852124 RNZ852124 RXV852124 SHR852124 SRN852124 TBJ852124 TLF852124 TVB852124 UEX852124 UOT852124 UYP852124 VIL852124 VSH852124 WCD852124 WLZ852124 WVV852124 N917660 JJ917660 TF917660 ADB917660 AMX917660 AWT917660 BGP917660 BQL917660 CAH917660 CKD917660 CTZ917660 DDV917660 DNR917660 DXN917660 EHJ917660 ERF917660 FBB917660 FKX917660 FUT917660 GEP917660 GOL917660 GYH917660 HID917660 HRZ917660 IBV917660 ILR917660 IVN917660 JFJ917660 JPF917660 JZB917660 KIX917660 KST917660 LCP917660 LML917660 LWH917660 MGD917660 MPZ917660 MZV917660 NJR917660 NTN917660 ODJ917660 ONF917660 OXB917660 PGX917660 PQT917660 QAP917660 QKL917660 QUH917660 RED917660 RNZ917660 RXV917660 SHR917660 SRN917660 TBJ917660 TLF917660 TVB917660 UEX917660 UOT917660 UYP917660 VIL917660 VSH917660 WCD917660 WLZ917660 WVV917660 N983196 JJ983196 TF983196 ADB983196 AMX983196 AWT983196 BGP983196 BQL983196 CAH983196 CKD983196 CTZ983196 DDV983196 DNR983196 DXN983196 EHJ983196 ERF983196 FBB983196 FKX983196 FUT983196 GEP983196 GOL983196 GYH983196 HID983196 HRZ983196 IBV983196 ILR983196 IVN983196 JFJ983196 JPF983196 JZB983196 KIX983196 KST983196 LCP983196 LML983196 LWH983196 MGD983196 MPZ983196 MZV983196 NJR983196 NTN983196 ODJ983196 ONF983196 OXB983196 PGX983196 PQT983196 QAP983196 QKL983196 QUH983196 RED983196 RNZ983196 RXV983196 SHR983196 SRN983196 TBJ983196 TLF983196 TVB983196 UEX983196 UOT983196 UYP983196 VIL983196 VSH983196 WCD983196 WLZ983196 WVV983196" xr:uid="{00000000-0002-0000-0200-000018000000}"/>
    <dataValidation allowBlank="1" showInputMessage="1" showErrorMessage="1" promptTitle="Bond" prompt="Example Golden Jubilee Bond" sqref="N58 JJ58 TF58 ADB58 AMX58 AWT58 BGP58 BQL58 CAH58 CKD58 CTZ58 DDV58 DNR58 DXN58 EHJ58 ERF58 FBB58 FKX58 FUT58 GEP58 GOL58 GYH58 HID58 HRZ58 IBV58 ILR58 IVN58 JFJ58 JPF58 JZB58 KIX58 KST58 LCP58 LML58 LWH58 MGD58 MPZ58 MZV58 NJR58 NTN58 ODJ58 ONF58 OXB58 PGX58 PQT58 QAP58 QKL58 QUH58 RED58 RNZ58 RXV58 SHR58 SRN58 TBJ58 TLF58 TVB58 UEX58 UOT58 UYP58 VIL58 VSH58 WCD58 WLZ58 WVV58 N65594 JJ65594 TF65594 ADB65594 AMX65594 AWT65594 BGP65594 BQL65594 CAH65594 CKD65594 CTZ65594 DDV65594 DNR65594 DXN65594 EHJ65594 ERF65594 FBB65594 FKX65594 FUT65594 GEP65594 GOL65594 GYH65594 HID65594 HRZ65594 IBV65594 ILR65594 IVN65594 JFJ65594 JPF65594 JZB65594 KIX65594 KST65594 LCP65594 LML65594 LWH65594 MGD65594 MPZ65594 MZV65594 NJR65594 NTN65594 ODJ65594 ONF65594 OXB65594 PGX65594 PQT65594 QAP65594 QKL65594 QUH65594 RED65594 RNZ65594 RXV65594 SHR65594 SRN65594 TBJ65594 TLF65594 TVB65594 UEX65594 UOT65594 UYP65594 VIL65594 VSH65594 WCD65594 WLZ65594 WVV65594 N131130 JJ131130 TF131130 ADB131130 AMX131130 AWT131130 BGP131130 BQL131130 CAH131130 CKD131130 CTZ131130 DDV131130 DNR131130 DXN131130 EHJ131130 ERF131130 FBB131130 FKX131130 FUT131130 GEP131130 GOL131130 GYH131130 HID131130 HRZ131130 IBV131130 ILR131130 IVN131130 JFJ131130 JPF131130 JZB131130 KIX131130 KST131130 LCP131130 LML131130 LWH131130 MGD131130 MPZ131130 MZV131130 NJR131130 NTN131130 ODJ131130 ONF131130 OXB131130 PGX131130 PQT131130 QAP131130 QKL131130 QUH131130 RED131130 RNZ131130 RXV131130 SHR131130 SRN131130 TBJ131130 TLF131130 TVB131130 UEX131130 UOT131130 UYP131130 VIL131130 VSH131130 WCD131130 WLZ131130 WVV131130 N196666 JJ196666 TF196666 ADB196666 AMX196666 AWT196666 BGP196666 BQL196666 CAH196666 CKD196666 CTZ196666 DDV196666 DNR196666 DXN196666 EHJ196666 ERF196666 FBB196666 FKX196666 FUT196666 GEP196666 GOL196666 GYH196666 HID196666 HRZ196666 IBV196666 ILR196666 IVN196666 JFJ196666 JPF196666 JZB196666 KIX196666 KST196666 LCP196666 LML196666 LWH196666 MGD196666 MPZ196666 MZV196666 NJR196666 NTN196666 ODJ196666 ONF196666 OXB196666 PGX196666 PQT196666 QAP196666 QKL196666 QUH196666 RED196666 RNZ196666 RXV196666 SHR196666 SRN196666 TBJ196666 TLF196666 TVB196666 UEX196666 UOT196666 UYP196666 VIL196666 VSH196666 WCD196666 WLZ196666 WVV196666 N262202 JJ262202 TF262202 ADB262202 AMX262202 AWT262202 BGP262202 BQL262202 CAH262202 CKD262202 CTZ262202 DDV262202 DNR262202 DXN262202 EHJ262202 ERF262202 FBB262202 FKX262202 FUT262202 GEP262202 GOL262202 GYH262202 HID262202 HRZ262202 IBV262202 ILR262202 IVN262202 JFJ262202 JPF262202 JZB262202 KIX262202 KST262202 LCP262202 LML262202 LWH262202 MGD262202 MPZ262202 MZV262202 NJR262202 NTN262202 ODJ262202 ONF262202 OXB262202 PGX262202 PQT262202 QAP262202 QKL262202 QUH262202 RED262202 RNZ262202 RXV262202 SHR262202 SRN262202 TBJ262202 TLF262202 TVB262202 UEX262202 UOT262202 UYP262202 VIL262202 VSH262202 WCD262202 WLZ262202 WVV262202 N327738 JJ327738 TF327738 ADB327738 AMX327738 AWT327738 BGP327738 BQL327738 CAH327738 CKD327738 CTZ327738 DDV327738 DNR327738 DXN327738 EHJ327738 ERF327738 FBB327738 FKX327738 FUT327738 GEP327738 GOL327738 GYH327738 HID327738 HRZ327738 IBV327738 ILR327738 IVN327738 JFJ327738 JPF327738 JZB327738 KIX327738 KST327738 LCP327738 LML327738 LWH327738 MGD327738 MPZ327738 MZV327738 NJR327738 NTN327738 ODJ327738 ONF327738 OXB327738 PGX327738 PQT327738 QAP327738 QKL327738 QUH327738 RED327738 RNZ327738 RXV327738 SHR327738 SRN327738 TBJ327738 TLF327738 TVB327738 UEX327738 UOT327738 UYP327738 VIL327738 VSH327738 WCD327738 WLZ327738 WVV327738 N393274 JJ393274 TF393274 ADB393274 AMX393274 AWT393274 BGP393274 BQL393274 CAH393274 CKD393274 CTZ393274 DDV393274 DNR393274 DXN393274 EHJ393274 ERF393274 FBB393274 FKX393274 FUT393274 GEP393274 GOL393274 GYH393274 HID393274 HRZ393274 IBV393274 ILR393274 IVN393274 JFJ393274 JPF393274 JZB393274 KIX393274 KST393274 LCP393274 LML393274 LWH393274 MGD393274 MPZ393274 MZV393274 NJR393274 NTN393274 ODJ393274 ONF393274 OXB393274 PGX393274 PQT393274 QAP393274 QKL393274 QUH393274 RED393274 RNZ393274 RXV393274 SHR393274 SRN393274 TBJ393274 TLF393274 TVB393274 UEX393274 UOT393274 UYP393274 VIL393274 VSH393274 WCD393274 WLZ393274 WVV393274 N458810 JJ458810 TF458810 ADB458810 AMX458810 AWT458810 BGP458810 BQL458810 CAH458810 CKD458810 CTZ458810 DDV458810 DNR458810 DXN458810 EHJ458810 ERF458810 FBB458810 FKX458810 FUT458810 GEP458810 GOL458810 GYH458810 HID458810 HRZ458810 IBV458810 ILR458810 IVN458810 JFJ458810 JPF458810 JZB458810 KIX458810 KST458810 LCP458810 LML458810 LWH458810 MGD458810 MPZ458810 MZV458810 NJR458810 NTN458810 ODJ458810 ONF458810 OXB458810 PGX458810 PQT458810 QAP458810 QKL458810 QUH458810 RED458810 RNZ458810 RXV458810 SHR458810 SRN458810 TBJ458810 TLF458810 TVB458810 UEX458810 UOT458810 UYP458810 VIL458810 VSH458810 WCD458810 WLZ458810 WVV458810 N524346 JJ524346 TF524346 ADB524346 AMX524346 AWT524346 BGP524346 BQL524346 CAH524346 CKD524346 CTZ524346 DDV524346 DNR524346 DXN524346 EHJ524346 ERF524346 FBB524346 FKX524346 FUT524346 GEP524346 GOL524346 GYH524346 HID524346 HRZ524346 IBV524346 ILR524346 IVN524346 JFJ524346 JPF524346 JZB524346 KIX524346 KST524346 LCP524346 LML524346 LWH524346 MGD524346 MPZ524346 MZV524346 NJR524346 NTN524346 ODJ524346 ONF524346 OXB524346 PGX524346 PQT524346 QAP524346 QKL524346 QUH524346 RED524346 RNZ524346 RXV524346 SHR524346 SRN524346 TBJ524346 TLF524346 TVB524346 UEX524346 UOT524346 UYP524346 VIL524346 VSH524346 WCD524346 WLZ524346 WVV524346 N589882 JJ589882 TF589882 ADB589882 AMX589882 AWT589882 BGP589882 BQL589882 CAH589882 CKD589882 CTZ589882 DDV589882 DNR589882 DXN589882 EHJ589882 ERF589882 FBB589882 FKX589882 FUT589882 GEP589882 GOL589882 GYH589882 HID589882 HRZ589882 IBV589882 ILR589882 IVN589882 JFJ589882 JPF589882 JZB589882 KIX589882 KST589882 LCP589882 LML589882 LWH589882 MGD589882 MPZ589882 MZV589882 NJR589882 NTN589882 ODJ589882 ONF589882 OXB589882 PGX589882 PQT589882 QAP589882 QKL589882 QUH589882 RED589882 RNZ589882 RXV589882 SHR589882 SRN589882 TBJ589882 TLF589882 TVB589882 UEX589882 UOT589882 UYP589882 VIL589882 VSH589882 WCD589882 WLZ589882 WVV589882 N655418 JJ655418 TF655418 ADB655418 AMX655418 AWT655418 BGP655418 BQL655418 CAH655418 CKD655418 CTZ655418 DDV655418 DNR655418 DXN655418 EHJ655418 ERF655418 FBB655418 FKX655418 FUT655418 GEP655418 GOL655418 GYH655418 HID655418 HRZ655418 IBV655418 ILR655418 IVN655418 JFJ655418 JPF655418 JZB655418 KIX655418 KST655418 LCP655418 LML655418 LWH655418 MGD655418 MPZ655418 MZV655418 NJR655418 NTN655418 ODJ655418 ONF655418 OXB655418 PGX655418 PQT655418 QAP655418 QKL655418 QUH655418 RED655418 RNZ655418 RXV655418 SHR655418 SRN655418 TBJ655418 TLF655418 TVB655418 UEX655418 UOT655418 UYP655418 VIL655418 VSH655418 WCD655418 WLZ655418 WVV655418 N720954 JJ720954 TF720954 ADB720954 AMX720954 AWT720954 BGP720954 BQL720954 CAH720954 CKD720954 CTZ720954 DDV720954 DNR720954 DXN720954 EHJ720954 ERF720954 FBB720954 FKX720954 FUT720954 GEP720954 GOL720954 GYH720954 HID720954 HRZ720954 IBV720954 ILR720954 IVN720954 JFJ720954 JPF720954 JZB720954 KIX720954 KST720954 LCP720954 LML720954 LWH720954 MGD720954 MPZ720954 MZV720954 NJR720954 NTN720954 ODJ720954 ONF720954 OXB720954 PGX720954 PQT720954 QAP720954 QKL720954 QUH720954 RED720954 RNZ720954 RXV720954 SHR720954 SRN720954 TBJ720954 TLF720954 TVB720954 UEX720954 UOT720954 UYP720954 VIL720954 VSH720954 WCD720954 WLZ720954 WVV720954 N786490 JJ786490 TF786490 ADB786490 AMX786490 AWT786490 BGP786490 BQL786490 CAH786490 CKD786490 CTZ786490 DDV786490 DNR786490 DXN786490 EHJ786490 ERF786490 FBB786490 FKX786490 FUT786490 GEP786490 GOL786490 GYH786490 HID786490 HRZ786490 IBV786490 ILR786490 IVN786490 JFJ786490 JPF786490 JZB786490 KIX786490 KST786490 LCP786490 LML786490 LWH786490 MGD786490 MPZ786490 MZV786490 NJR786490 NTN786490 ODJ786490 ONF786490 OXB786490 PGX786490 PQT786490 QAP786490 QKL786490 QUH786490 RED786490 RNZ786490 RXV786490 SHR786490 SRN786490 TBJ786490 TLF786490 TVB786490 UEX786490 UOT786490 UYP786490 VIL786490 VSH786490 WCD786490 WLZ786490 WVV786490 N852026 JJ852026 TF852026 ADB852026 AMX852026 AWT852026 BGP852026 BQL852026 CAH852026 CKD852026 CTZ852026 DDV852026 DNR852026 DXN852026 EHJ852026 ERF852026 FBB852026 FKX852026 FUT852026 GEP852026 GOL852026 GYH852026 HID852026 HRZ852026 IBV852026 ILR852026 IVN852026 JFJ852026 JPF852026 JZB852026 KIX852026 KST852026 LCP852026 LML852026 LWH852026 MGD852026 MPZ852026 MZV852026 NJR852026 NTN852026 ODJ852026 ONF852026 OXB852026 PGX852026 PQT852026 QAP852026 QKL852026 QUH852026 RED852026 RNZ852026 RXV852026 SHR852026 SRN852026 TBJ852026 TLF852026 TVB852026 UEX852026 UOT852026 UYP852026 VIL852026 VSH852026 WCD852026 WLZ852026 WVV852026 N917562 JJ917562 TF917562 ADB917562 AMX917562 AWT917562 BGP917562 BQL917562 CAH917562 CKD917562 CTZ917562 DDV917562 DNR917562 DXN917562 EHJ917562 ERF917562 FBB917562 FKX917562 FUT917562 GEP917562 GOL917562 GYH917562 HID917562 HRZ917562 IBV917562 ILR917562 IVN917562 JFJ917562 JPF917562 JZB917562 KIX917562 KST917562 LCP917562 LML917562 LWH917562 MGD917562 MPZ917562 MZV917562 NJR917562 NTN917562 ODJ917562 ONF917562 OXB917562 PGX917562 PQT917562 QAP917562 QKL917562 QUH917562 RED917562 RNZ917562 RXV917562 SHR917562 SRN917562 TBJ917562 TLF917562 TVB917562 UEX917562 UOT917562 UYP917562 VIL917562 VSH917562 WCD917562 WLZ917562 WVV917562 N983098 JJ983098 TF983098 ADB983098 AMX983098 AWT983098 BGP983098 BQL983098 CAH983098 CKD983098 CTZ983098 DDV983098 DNR983098 DXN983098 EHJ983098 ERF983098 FBB983098 FKX983098 FUT983098 GEP983098 GOL983098 GYH983098 HID983098 HRZ983098 IBV983098 ILR983098 IVN983098 JFJ983098 JPF983098 JZB983098 KIX983098 KST983098 LCP983098 LML983098 LWH983098 MGD983098 MPZ983098 MZV983098 NJR983098 NTN983098 ODJ983098 ONF983098 OXB983098 PGX983098 PQT983098 QAP983098 QKL983098 QUH983098 RED983098 RNZ983098 RXV983098 SHR983098 SRN983098 TBJ983098 TLF983098 TVB983098 UEX983098 UOT983098 UYP983098 VIL983098 VSH983098 WCD983098 WLZ983098 WVV983098" xr:uid="{00000000-0002-0000-0200-000019000000}"/>
    <dataValidation allowBlank="1" showInputMessage="1" showErrorMessage="1" promptTitle="Treasury Bills" prompt="All Government T Bills for 182 days. Examples Ecobank T Bills, Dalex T Bills etc" sqref="N29 JJ29 TF29 ADB29 AMX29 AWT29 BGP29 BQL29 CAH29 CKD29 CTZ29 DDV29 DNR29 DXN29 EHJ29 ERF29 FBB29 FKX29 FUT29 GEP29 GOL29 GYH29 HID29 HRZ29 IBV29 ILR29 IVN29 JFJ29 JPF29 JZB29 KIX29 KST29 LCP29 LML29 LWH29 MGD29 MPZ29 MZV29 NJR29 NTN29 ODJ29 ONF29 OXB29 PGX29 PQT29 QAP29 QKL29 QUH29 RED29 RNZ29 RXV29 SHR29 SRN29 TBJ29 TLF29 TVB29 UEX29 UOT29 UYP29 VIL29 VSH29 WCD29 WLZ29 WVV29 N65565 JJ65565 TF65565 ADB65565 AMX65565 AWT65565 BGP65565 BQL65565 CAH65565 CKD65565 CTZ65565 DDV65565 DNR65565 DXN65565 EHJ65565 ERF65565 FBB65565 FKX65565 FUT65565 GEP65565 GOL65565 GYH65565 HID65565 HRZ65565 IBV65565 ILR65565 IVN65565 JFJ65565 JPF65565 JZB65565 KIX65565 KST65565 LCP65565 LML65565 LWH65565 MGD65565 MPZ65565 MZV65565 NJR65565 NTN65565 ODJ65565 ONF65565 OXB65565 PGX65565 PQT65565 QAP65565 QKL65565 QUH65565 RED65565 RNZ65565 RXV65565 SHR65565 SRN65565 TBJ65565 TLF65565 TVB65565 UEX65565 UOT65565 UYP65565 VIL65565 VSH65565 WCD65565 WLZ65565 WVV65565 N131101 JJ131101 TF131101 ADB131101 AMX131101 AWT131101 BGP131101 BQL131101 CAH131101 CKD131101 CTZ131101 DDV131101 DNR131101 DXN131101 EHJ131101 ERF131101 FBB131101 FKX131101 FUT131101 GEP131101 GOL131101 GYH131101 HID131101 HRZ131101 IBV131101 ILR131101 IVN131101 JFJ131101 JPF131101 JZB131101 KIX131101 KST131101 LCP131101 LML131101 LWH131101 MGD131101 MPZ131101 MZV131101 NJR131101 NTN131101 ODJ131101 ONF131101 OXB131101 PGX131101 PQT131101 QAP131101 QKL131101 QUH131101 RED131101 RNZ131101 RXV131101 SHR131101 SRN131101 TBJ131101 TLF131101 TVB131101 UEX131101 UOT131101 UYP131101 VIL131101 VSH131101 WCD131101 WLZ131101 WVV131101 N196637 JJ196637 TF196637 ADB196637 AMX196637 AWT196637 BGP196637 BQL196637 CAH196637 CKD196637 CTZ196637 DDV196637 DNR196637 DXN196637 EHJ196637 ERF196637 FBB196637 FKX196637 FUT196637 GEP196637 GOL196637 GYH196637 HID196637 HRZ196637 IBV196637 ILR196637 IVN196637 JFJ196637 JPF196637 JZB196637 KIX196637 KST196637 LCP196637 LML196637 LWH196637 MGD196637 MPZ196637 MZV196637 NJR196637 NTN196637 ODJ196637 ONF196637 OXB196637 PGX196637 PQT196637 QAP196637 QKL196637 QUH196637 RED196637 RNZ196637 RXV196637 SHR196637 SRN196637 TBJ196637 TLF196637 TVB196637 UEX196637 UOT196637 UYP196637 VIL196637 VSH196637 WCD196637 WLZ196637 WVV196637 N262173 JJ262173 TF262173 ADB262173 AMX262173 AWT262173 BGP262173 BQL262173 CAH262173 CKD262173 CTZ262173 DDV262173 DNR262173 DXN262173 EHJ262173 ERF262173 FBB262173 FKX262173 FUT262173 GEP262173 GOL262173 GYH262173 HID262173 HRZ262173 IBV262173 ILR262173 IVN262173 JFJ262173 JPF262173 JZB262173 KIX262173 KST262173 LCP262173 LML262173 LWH262173 MGD262173 MPZ262173 MZV262173 NJR262173 NTN262173 ODJ262173 ONF262173 OXB262173 PGX262173 PQT262173 QAP262173 QKL262173 QUH262173 RED262173 RNZ262173 RXV262173 SHR262173 SRN262173 TBJ262173 TLF262173 TVB262173 UEX262173 UOT262173 UYP262173 VIL262173 VSH262173 WCD262173 WLZ262173 WVV262173 N327709 JJ327709 TF327709 ADB327709 AMX327709 AWT327709 BGP327709 BQL327709 CAH327709 CKD327709 CTZ327709 DDV327709 DNR327709 DXN327709 EHJ327709 ERF327709 FBB327709 FKX327709 FUT327709 GEP327709 GOL327709 GYH327709 HID327709 HRZ327709 IBV327709 ILR327709 IVN327709 JFJ327709 JPF327709 JZB327709 KIX327709 KST327709 LCP327709 LML327709 LWH327709 MGD327709 MPZ327709 MZV327709 NJR327709 NTN327709 ODJ327709 ONF327709 OXB327709 PGX327709 PQT327709 QAP327709 QKL327709 QUH327709 RED327709 RNZ327709 RXV327709 SHR327709 SRN327709 TBJ327709 TLF327709 TVB327709 UEX327709 UOT327709 UYP327709 VIL327709 VSH327709 WCD327709 WLZ327709 WVV327709 N393245 JJ393245 TF393245 ADB393245 AMX393245 AWT393245 BGP393245 BQL393245 CAH393245 CKD393245 CTZ393245 DDV393245 DNR393245 DXN393245 EHJ393245 ERF393245 FBB393245 FKX393245 FUT393245 GEP393245 GOL393245 GYH393245 HID393245 HRZ393245 IBV393245 ILR393245 IVN393245 JFJ393245 JPF393245 JZB393245 KIX393245 KST393245 LCP393245 LML393245 LWH393245 MGD393245 MPZ393245 MZV393245 NJR393245 NTN393245 ODJ393245 ONF393245 OXB393245 PGX393245 PQT393245 QAP393245 QKL393245 QUH393245 RED393245 RNZ393245 RXV393245 SHR393245 SRN393245 TBJ393245 TLF393245 TVB393245 UEX393245 UOT393245 UYP393245 VIL393245 VSH393245 WCD393245 WLZ393245 WVV393245 N458781 JJ458781 TF458781 ADB458781 AMX458781 AWT458781 BGP458781 BQL458781 CAH458781 CKD458781 CTZ458781 DDV458781 DNR458781 DXN458781 EHJ458781 ERF458781 FBB458781 FKX458781 FUT458781 GEP458781 GOL458781 GYH458781 HID458781 HRZ458781 IBV458781 ILR458781 IVN458781 JFJ458781 JPF458781 JZB458781 KIX458781 KST458781 LCP458781 LML458781 LWH458781 MGD458781 MPZ458781 MZV458781 NJR458781 NTN458781 ODJ458781 ONF458781 OXB458781 PGX458781 PQT458781 QAP458781 QKL458781 QUH458781 RED458781 RNZ458781 RXV458781 SHR458781 SRN458781 TBJ458781 TLF458781 TVB458781 UEX458781 UOT458781 UYP458781 VIL458781 VSH458781 WCD458781 WLZ458781 WVV458781 N524317 JJ524317 TF524317 ADB524317 AMX524317 AWT524317 BGP524317 BQL524317 CAH524317 CKD524317 CTZ524317 DDV524317 DNR524317 DXN524317 EHJ524317 ERF524317 FBB524317 FKX524317 FUT524317 GEP524317 GOL524317 GYH524317 HID524317 HRZ524317 IBV524317 ILR524317 IVN524317 JFJ524317 JPF524317 JZB524317 KIX524317 KST524317 LCP524317 LML524317 LWH524317 MGD524317 MPZ524317 MZV524317 NJR524317 NTN524317 ODJ524317 ONF524317 OXB524317 PGX524317 PQT524317 QAP524317 QKL524317 QUH524317 RED524317 RNZ524317 RXV524317 SHR524317 SRN524317 TBJ524317 TLF524317 TVB524317 UEX524317 UOT524317 UYP524317 VIL524317 VSH524317 WCD524317 WLZ524317 WVV524317 N589853 JJ589853 TF589853 ADB589853 AMX589853 AWT589853 BGP589853 BQL589853 CAH589853 CKD589853 CTZ589853 DDV589853 DNR589853 DXN589853 EHJ589853 ERF589853 FBB589853 FKX589853 FUT589853 GEP589853 GOL589853 GYH589853 HID589853 HRZ589853 IBV589853 ILR589853 IVN589853 JFJ589853 JPF589853 JZB589853 KIX589853 KST589853 LCP589853 LML589853 LWH589853 MGD589853 MPZ589853 MZV589853 NJR589853 NTN589853 ODJ589853 ONF589853 OXB589853 PGX589853 PQT589853 QAP589853 QKL589853 QUH589853 RED589853 RNZ589853 RXV589853 SHR589853 SRN589853 TBJ589853 TLF589853 TVB589853 UEX589853 UOT589853 UYP589853 VIL589853 VSH589853 WCD589853 WLZ589853 WVV589853 N655389 JJ655389 TF655389 ADB655389 AMX655389 AWT655389 BGP655389 BQL655389 CAH655389 CKD655389 CTZ655389 DDV655389 DNR655389 DXN655389 EHJ655389 ERF655389 FBB655389 FKX655389 FUT655389 GEP655389 GOL655389 GYH655389 HID655389 HRZ655389 IBV655389 ILR655389 IVN655389 JFJ655389 JPF655389 JZB655389 KIX655389 KST655389 LCP655389 LML655389 LWH655389 MGD655389 MPZ655389 MZV655389 NJR655389 NTN655389 ODJ655389 ONF655389 OXB655389 PGX655389 PQT655389 QAP655389 QKL655389 QUH655389 RED655389 RNZ655389 RXV655389 SHR655389 SRN655389 TBJ655389 TLF655389 TVB655389 UEX655389 UOT655389 UYP655389 VIL655389 VSH655389 WCD655389 WLZ655389 WVV655389 N720925 JJ720925 TF720925 ADB720925 AMX720925 AWT720925 BGP720925 BQL720925 CAH720925 CKD720925 CTZ720925 DDV720925 DNR720925 DXN720925 EHJ720925 ERF720925 FBB720925 FKX720925 FUT720925 GEP720925 GOL720925 GYH720925 HID720925 HRZ720925 IBV720925 ILR720925 IVN720925 JFJ720925 JPF720925 JZB720925 KIX720925 KST720925 LCP720925 LML720925 LWH720925 MGD720925 MPZ720925 MZV720925 NJR720925 NTN720925 ODJ720925 ONF720925 OXB720925 PGX720925 PQT720925 QAP720925 QKL720925 QUH720925 RED720925 RNZ720925 RXV720925 SHR720925 SRN720925 TBJ720925 TLF720925 TVB720925 UEX720925 UOT720925 UYP720925 VIL720925 VSH720925 WCD720925 WLZ720925 WVV720925 N786461 JJ786461 TF786461 ADB786461 AMX786461 AWT786461 BGP786461 BQL786461 CAH786461 CKD786461 CTZ786461 DDV786461 DNR786461 DXN786461 EHJ786461 ERF786461 FBB786461 FKX786461 FUT786461 GEP786461 GOL786461 GYH786461 HID786461 HRZ786461 IBV786461 ILR786461 IVN786461 JFJ786461 JPF786461 JZB786461 KIX786461 KST786461 LCP786461 LML786461 LWH786461 MGD786461 MPZ786461 MZV786461 NJR786461 NTN786461 ODJ786461 ONF786461 OXB786461 PGX786461 PQT786461 QAP786461 QKL786461 QUH786461 RED786461 RNZ786461 RXV786461 SHR786461 SRN786461 TBJ786461 TLF786461 TVB786461 UEX786461 UOT786461 UYP786461 VIL786461 VSH786461 WCD786461 WLZ786461 WVV786461 N851997 JJ851997 TF851997 ADB851997 AMX851997 AWT851997 BGP851997 BQL851997 CAH851997 CKD851997 CTZ851997 DDV851997 DNR851997 DXN851997 EHJ851997 ERF851997 FBB851997 FKX851997 FUT851997 GEP851997 GOL851997 GYH851997 HID851997 HRZ851997 IBV851997 ILR851997 IVN851997 JFJ851997 JPF851997 JZB851997 KIX851997 KST851997 LCP851997 LML851997 LWH851997 MGD851997 MPZ851997 MZV851997 NJR851997 NTN851997 ODJ851997 ONF851997 OXB851997 PGX851997 PQT851997 QAP851997 QKL851997 QUH851997 RED851997 RNZ851997 RXV851997 SHR851997 SRN851997 TBJ851997 TLF851997 TVB851997 UEX851997 UOT851997 UYP851997 VIL851997 VSH851997 WCD851997 WLZ851997 WVV851997 N917533 JJ917533 TF917533 ADB917533 AMX917533 AWT917533 BGP917533 BQL917533 CAH917533 CKD917533 CTZ917533 DDV917533 DNR917533 DXN917533 EHJ917533 ERF917533 FBB917533 FKX917533 FUT917533 GEP917533 GOL917533 GYH917533 HID917533 HRZ917533 IBV917533 ILR917533 IVN917533 JFJ917533 JPF917533 JZB917533 KIX917533 KST917533 LCP917533 LML917533 LWH917533 MGD917533 MPZ917533 MZV917533 NJR917533 NTN917533 ODJ917533 ONF917533 OXB917533 PGX917533 PQT917533 QAP917533 QKL917533 QUH917533 RED917533 RNZ917533 RXV917533 SHR917533 SRN917533 TBJ917533 TLF917533 TVB917533 UEX917533 UOT917533 UYP917533 VIL917533 VSH917533 WCD917533 WLZ917533 WVV917533 N983069 JJ983069 TF983069 ADB983069 AMX983069 AWT983069 BGP983069 BQL983069 CAH983069 CKD983069 CTZ983069 DDV983069 DNR983069 DXN983069 EHJ983069 ERF983069 FBB983069 FKX983069 FUT983069 GEP983069 GOL983069 GYH983069 HID983069 HRZ983069 IBV983069 ILR983069 IVN983069 JFJ983069 JPF983069 JZB983069 KIX983069 KST983069 LCP983069 LML983069 LWH983069 MGD983069 MPZ983069 MZV983069 NJR983069 NTN983069 ODJ983069 ONF983069 OXB983069 PGX983069 PQT983069 QAP983069 QKL983069 QUH983069 RED983069 RNZ983069 RXV983069 SHR983069 SRN983069 TBJ983069 TLF983069 TVB983069 UEX983069 UOT983069 UYP983069 VIL983069 VSH983069 WCD983069 WLZ983069 WVV983069" xr:uid="{00000000-0002-0000-0200-00001A000000}"/>
  </dataValidation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D8DB7-1BA2-4314-8859-921ECD395232}">
  <sheetPr>
    <tabColor rgb="FF0070C0"/>
  </sheetPr>
  <dimension ref="A1:G66"/>
  <sheetViews>
    <sheetView showGridLines="0" topLeftCell="A13" zoomScaleNormal="100" zoomScalePageLayoutView="110" workbookViewId="0">
      <selection activeCell="G17" sqref="G17"/>
    </sheetView>
  </sheetViews>
  <sheetFormatPr defaultColWidth="10.33203125" defaultRowHeight="13.2"/>
  <cols>
    <col min="1" max="1" width="23.5546875" style="2" customWidth="1"/>
    <col min="2" max="2" width="19.33203125" style="2" customWidth="1"/>
    <col min="3" max="3" width="18.33203125" style="2" customWidth="1"/>
    <col min="4" max="4" width="18.5546875" style="2" customWidth="1"/>
    <col min="5" max="5" width="20.109375" style="2" customWidth="1"/>
    <col min="6" max="6" width="10.33203125" style="2"/>
    <col min="7" max="7" width="12.33203125" style="2" bestFit="1" customWidth="1"/>
    <col min="8" max="16384" width="10.33203125" style="2"/>
  </cols>
  <sheetData>
    <row r="1" spans="1:7" ht="11.25" customHeight="1">
      <c r="A1" s="1" t="s">
        <v>809</v>
      </c>
    </row>
    <row r="2" spans="1:7" ht="15" customHeight="1">
      <c r="B2" s="888" t="s">
        <v>852</v>
      </c>
      <c r="C2" s="888"/>
      <c r="D2" s="888"/>
      <c r="E2" s="889"/>
    </row>
    <row r="3" spans="1:7" ht="15" customHeight="1">
      <c r="B3" s="890"/>
      <c r="C3" s="890"/>
      <c r="D3" s="890"/>
      <c r="E3" s="891"/>
    </row>
    <row r="4" spans="1:7" ht="18.75" customHeight="1"/>
    <row r="5" spans="1:7" ht="15" customHeight="1">
      <c r="B5" s="892"/>
      <c r="C5" s="892"/>
      <c r="D5" s="346"/>
    </row>
    <row r="6" spans="1:7" ht="15" customHeight="1"/>
    <row r="7" spans="1:7" s="1" customFormat="1" ht="15" customHeight="1">
      <c r="A7" s="10" t="s">
        <v>835</v>
      </c>
      <c r="D7" s="295"/>
      <c r="E7" s="369">
        <v>44743</v>
      </c>
    </row>
    <row r="8" spans="1:7" s="1" customFormat="1" ht="15" customHeight="1"/>
    <row r="9" spans="1:7" s="1" customFormat="1" ht="15" customHeight="1">
      <c r="A9" s="5" t="s">
        <v>836</v>
      </c>
    </row>
    <row r="10" spans="1:7" s="1" customFormat="1" ht="15" customHeight="1" thickBot="1">
      <c r="A10" s="340"/>
    </row>
    <row r="11" spans="1:7" ht="15" customHeight="1" thickBot="1">
      <c r="A11" s="362" t="s">
        <v>837</v>
      </c>
      <c r="B11" s="363" t="s">
        <v>842</v>
      </c>
      <c r="C11" s="364" t="s">
        <v>843</v>
      </c>
      <c r="D11" s="365" t="s">
        <v>844</v>
      </c>
      <c r="E11" s="366" t="s">
        <v>2</v>
      </c>
    </row>
    <row r="12" spans="1:7" ht="15" customHeight="1">
      <c r="A12" s="360" t="s">
        <v>838</v>
      </c>
      <c r="B12" s="352">
        <v>3207</v>
      </c>
      <c r="C12" s="341">
        <v>6039</v>
      </c>
      <c r="D12" s="361">
        <v>0</v>
      </c>
      <c r="E12" s="349">
        <f>(B12+C12)-D12</f>
        <v>9246</v>
      </c>
    </row>
    <row r="13" spans="1:7" ht="15" customHeight="1">
      <c r="A13" s="351" t="s">
        <v>839</v>
      </c>
      <c r="B13" s="353">
        <v>14603293.9</v>
      </c>
      <c r="C13" s="342">
        <v>26589895.969999999</v>
      </c>
      <c r="D13" s="343">
        <v>0</v>
      </c>
      <c r="E13" s="349">
        <f t="shared" ref="E13:E14" si="0">(B13+C13)-D13</f>
        <v>41193189.869999997</v>
      </c>
    </row>
    <row r="14" spans="1:7" ht="15" customHeight="1" thickBot="1">
      <c r="A14" s="351" t="s">
        <v>840</v>
      </c>
      <c r="B14" s="354">
        <v>43156555.469999999</v>
      </c>
      <c r="C14" s="355">
        <v>78241826.329999998</v>
      </c>
      <c r="D14" s="356">
        <v>0</v>
      </c>
      <c r="E14" s="349">
        <f t="shared" si="0"/>
        <v>121398381.8</v>
      </c>
    </row>
    <row r="15" spans="1:7" s="191" customFormat="1" ht="15" customHeight="1" thickTop="1" thickBot="1">
      <c r="A15" s="357" t="s">
        <v>104</v>
      </c>
      <c r="B15" s="359">
        <f t="shared" ref="B15:C15" si="1">SUM(B12:B14)</f>
        <v>57763056.369999997</v>
      </c>
      <c r="C15" s="347">
        <f t="shared" si="1"/>
        <v>104837761.3</v>
      </c>
      <c r="D15" s="350">
        <f>SUM(D12:D14)</f>
        <v>0</v>
      </c>
      <c r="E15" s="358">
        <f>SUM(E12:E14)</f>
        <v>162600817.66999999</v>
      </c>
      <c r="G15" s="348"/>
    </row>
    <row r="16" spans="1:7" ht="15" customHeight="1">
      <c r="B16" s="344"/>
      <c r="G16" s="345"/>
    </row>
    <row r="17" spans="1:7" s="1" customFormat="1" ht="15" customHeight="1">
      <c r="A17" s="5" t="s">
        <v>841</v>
      </c>
    </row>
    <row r="18" spans="1:7" ht="15" customHeight="1" thickBot="1">
      <c r="B18" s="344"/>
      <c r="G18" s="345"/>
    </row>
    <row r="19" spans="1:7" ht="15" customHeight="1" thickBot="1">
      <c r="A19" s="362" t="s">
        <v>837</v>
      </c>
      <c r="B19" s="363" t="s">
        <v>842</v>
      </c>
      <c r="C19" s="364" t="s">
        <v>843</v>
      </c>
      <c r="D19" s="365" t="s">
        <v>844</v>
      </c>
      <c r="E19" s="366" t="s">
        <v>2</v>
      </c>
    </row>
    <row r="20" spans="1:7" ht="15" customHeight="1">
      <c r="A20" s="360" t="s">
        <v>838</v>
      </c>
      <c r="B20" s="352">
        <v>3207</v>
      </c>
      <c r="C20" s="341">
        <v>6039</v>
      </c>
      <c r="D20" s="361">
        <v>0</v>
      </c>
      <c r="E20" s="349">
        <f>(B20+C20)-D20</f>
        <v>9246</v>
      </c>
    </row>
    <row r="21" spans="1:7" ht="15" customHeight="1">
      <c r="A21" s="351" t="s">
        <v>839</v>
      </c>
      <c r="B21" s="353">
        <v>14603293.9</v>
      </c>
      <c r="C21" s="342">
        <v>26589895.969999999</v>
      </c>
      <c r="D21" s="343">
        <v>0</v>
      </c>
      <c r="E21" s="349">
        <f t="shared" ref="E21:E22" si="2">(B21+C21)-D21</f>
        <v>41193189.869999997</v>
      </c>
    </row>
    <row r="22" spans="1:7" ht="15" customHeight="1" thickBot="1">
      <c r="A22" s="351" t="s">
        <v>840</v>
      </c>
      <c r="B22" s="354">
        <v>43156555.469999999</v>
      </c>
      <c r="C22" s="355">
        <v>78241826.329999998</v>
      </c>
      <c r="D22" s="356">
        <v>0</v>
      </c>
      <c r="E22" s="349">
        <f t="shared" si="2"/>
        <v>121398381.8</v>
      </c>
    </row>
    <row r="23" spans="1:7" s="191" customFormat="1" ht="15" customHeight="1" thickTop="1" thickBot="1">
      <c r="A23" s="357" t="s">
        <v>104</v>
      </c>
      <c r="B23" s="359">
        <f t="shared" ref="B23" si="3">SUM(B20:B22)</f>
        <v>57763056.369999997</v>
      </c>
      <c r="C23" s="347">
        <f t="shared" ref="C23" si="4">SUM(C20:C22)</f>
        <v>104837761.3</v>
      </c>
      <c r="D23" s="350">
        <f>SUM(D20:D22)</f>
        <v>0</v>
      </c>
      <c r="E23" s="358">
        <f>SUM(E20:E22)</f>
        <v>162600817.66999999</v>
      </c>
      <c r="G23" s="348"/>
    </row>
    <row r="24" spans="1:7" ht="15" customHeight="1">
      <c r="B24" s="344"/>
      <c r="G24" s="345"/>
    </row>
    <row r="25" spans="1:7" s="1" customFormat="1" ht="15" customHeight="1">
      <c r="A25" s="5" t="s">
        <v>845</v>
      </c>
    </row>
    <row r="26" spans="1:7" ht="15" customHeight="1" thickBot="1">
      <c r="B26" s="344"/>
      <c r="G26" s="345"/>
    </row>
    <row r="27" spans="1:7" ht="15" customHeight="1" thickBot="1">
      <c r="A27" s="368" t="s">
        <v>846</v>
      </c>
      <c r="B27" s="363" t="s">
        <v>842</v>
      </c>
      <c r="C27" s="364" t="s">
        <v>843</v>
      </c>
      <c r="D27" s="365" t="s">
        <v>844</v>
      </c>
      <c r="E27" s="366" t="s">
        <v>2</v>
      </c>
    </row>
    <row r="28" spans="1:7" ht="15" customHeight="1">
      <c r="A28" s="360" t="s">
        <v>847</v>
      </c>
      <c r="B28" s="352">
        <v>3207</v>
      </c>
      <c r="C28" s="341">
        <v>6039</v>
      </c>
      <c r="D28" s="361">
        <v>0</v>
      </c>
      <c r="E28" s="349">
        <f>(B28+C28)-D28</f>
        <v>9246</v>
      </c>
    </row>
    <row r="29" spans="1:7" ht="15" customHeight="1">
      <c r="A29" s="351" t="s">
        <v>848</v>
      </c>
      <c r="B29" s="353">
        <v>14603293.9</v>
      </c>
      <c r="C29" s="342">
        <v>26589895.969999999</v>
      </c>
      <c r="D29" s="343">
        <v>0</v>
      </c>
      <c r="E29" s="349">
        <f t="shared" ref="E29:E30" si="5">(B29+C29)-D29</f>
        <v>41193189.869999997</v>
      </c>
    </row>
    <row r="30" spans="1:7" ht="15" customHeight="1" thickBot="1">
      <c r="A30" s="351" t="s">
        <v>848</v>
      </c>
      <c r="B30" s="354">
        <v>43156555.469999999</v>
      </c>
      <c r="C30" s="355">
        <v>78241826.329999998</v>
      </c>
      <c r="D30" s="356">
        <v>0</v>
      </c>
      <c r="E30" s="349">
        <f t="shared" si="5"/>
        <v>121398381.8</v>
      </c>
    </row>
    <row r="31" spans="1:7" s="191" customFormat="1" ht="15" customHeight="1" thickTop="1" thickBot="1">
      <c r="A31" s="357" t="s">
        <v>104</v>
      </c>
      <c r="B31" s="359">
        <f t="shared" ref="B31" si="6">SUM(B28:B30)</f>
        <v>57763056.369999997</v>
      </c>
      <c r="C31" s="347">
        <f t="shared" ref="C31" si="7">SUM(C28:C30)</f>
        <v>104837761.3</v>
      </c>
      <c r="D31" s="350">
        <f>SUM(D28:D30)</f>
        <v>0</v>
      </c>
      <c r="E31" s="358">
        <f>SUM(E28:E30)</f>
        <v>162600817.66999999</v>
      </c>
      <c r="G31" s="348"/>
    </row>
    <row r="32" spans="1:7" s="191" customFormat="1" ht="15" customHeight="1">
      <c r="B32" s="367"/>
      <c r="C32" s="367"/>
      <c r="D32" s="367"/>
      <c r="E32" s="367"/>
      <c r="G32" s="348"/>
    </row>
    <row r="33" spans="1:7" s="191" customFormat="1" ht="15" customHeight="1">
      <c r="B33" s="367"/>
      <c r="C33" s="367"/>
      <c r="D33" s="367"/>
      <c r="E33" s="367"/>
      <c r="G33" s="348"/>
    </row>
    <row r="34" spans="1:7" ht="15" customHeight="1"/>
    <row r="35" spans="1:7" ht="15" customHeight="1">
      <c r="A35" s="886"/>
      <c r="B35" s="887"/>
      <c r="D35" s="886"/>
      <c r="E35" s="887"/>
    </row>
    <row r="36" spans="1:7" ht="15" customHeight="1">
      <c r="A36" s="2" t="s">
        <v>849</v>
      </c>
      <c r="D36" s="2" t="s">
        <v>850</v>
      </c>
    </row>
    <row r="37" spans="1:7" ht="15" customHeight="1"/>
    <row r="38" spans="1:7" ht="15" customHeight="1"/>
    <row r="39" spans="1:7" ht="15" customHeight="1">
      <c r="A39" s="2" t="s">
        <v>82</v>
      </c>
      <c r="D39" s="2" t="s">
        <v>851</v>
      </c>
    </row>
    <row r="40" spans="1:7" ht="15" customHeight="1"/>
    <row r="41" spans="1:7" ht="15" customHeight="1"/>
    <row r="42" spans="1:7" ht="15" customHeight="1"/>
    <row r="43" spans="1:7" ht="15" customHeight="1"/>
    <row r="44" spans="1:7" hidden="1"/>
    <row r="45" spans="1:7" ht="13.8" hidden="1">
      <c r="A45" s="10" t="s">
        <v>822</v>
      </c>
      <c r="B45" s="1"/>
      <c r="C45" s="1" t="s">
        <v>823</v>
      </c>
      <c r="D45" s="1"/>
      <c r="E45" s="1" t="s">
        <v>824</v>
      </c>
    </row>
    <row r="46" spans="1:7" ht="13.8" hidden="1">
      <c r="A46" s="1" t="s">
        <v>825</v>
      </c>
      <c r="B46" s="1">
        <v>1</v>
      </c>
      <c r="C46" s="1" t="s">
        <v>810</v>
      </c>
      <c r="D46" s="1"/>
      <c r="E46" s="1" t="s">
        <v>826</v>
      </c>
    </row>
    <row r="47" spans="1:7" ht="13.8" hidden="1">
      <c r="A47" s="2" t="s">
        <v>827</v>
      </c>
      <c r="B47" s="1">
        <v>2</v>
      </c>
      <c r="C47" s="1" t="s">
        <v>812</v>
      </c>
      <c r="D47" s="1"/>
      <c r="E47" s="1" t="s">
        <v>828</v>
      </c>
    </row>
    <row r="48" spans="1:7" ht="13.8" hidden="1">
      <c r="A48" s="2" t="s">
        <v>829</v>
      </c>
      <c r="B48" s="1">
        <v>3</v>
      </c>
      <c r="C48" s="1" t="s">
        <v>813</v>
      </c>
      <c r="D48" s="1"/>
      <c r="E48" s="1" t="s">
        <v>811</v>
      </c>
    </row>
    <row r="49" spans="1:5" ht="13.8" hidden="1">
      <c r="A49" s="2" t="s">
        <v>830</v>
      </c>
      <c r="B49" s="1">
        <v>4</v>
      </c>
      <c r="C49" s="1" t="s">
        <v>814</v>
      </c>
      <c r="D49" s="1"/>
      <c r="E49" s="1"/>
    </row>
    <row r="50" spans="1:5" ht="13.8" hidden="1">
      <c r="A50" s="1" t="s">
        <v>831</v>
      </c>
      <c r="B50" s="1">
        <v>5</v>
      </c>
      <c r="C50" s="1" t="s">
        <v>815</v>
      </c>
      <c r="D50" s="1"/>
      <c r="E50" s="1"/>
    </row>
    <row r="51" spans="1:5" ht="13.8" hidden="1">
      <c r="A51" s="1" t="s">
        <v>832</v>
      </c>
      <c r="B51" s="1">
        <v>6</v>
      </c>
      <c r="C51" s="1" t="s">
        <v>816</v>
      </c>
      <c r="D51" s="1"/>
      <c r="E51" s="1"/>
    </row>
    <row r="52" spans="1:5" ht="13.8" hidden="1">
      <c r="A52" s="2" t="s">
        <v>833</v>
      </c>
      <c r="B52" s="1">
        <v>7</v>
      </c>
      <c r="C52" s="1" t="s">
        <v>817</v>
      </c>
      <c r="D52" s="1"/>
      <c r="E52" s="1"/>
    </row>
    <row r="53" spans="1:5" ht="13.8" hidden="1">
      <c r="A53" s="2" t="s">
        <v>834</v>
      </c>
      <c r="B53" s="1">
        <v>8</v>
      </c>
      <c r="C53" s="1" t="s">
        <v>818</v>
      </c>
      <c r="D53" s="1"/>
      <c r="E53" s="1"/>
    </row>
    <row r="54" spans="1:5" ht="13.8" hidden="1">
      <c r="B54" s="1">
        <v>9</v>
      </c>
      <c r="C54" s="1" t="s">
        <v>819</v>
      </c>
      <c r="D54" s="1"/>
      <c r="E54" s="1"/>
    </row>
    <row r="55" spans="1:5" ht="13.8" hidden="1">
      <c r="B55" s="1">
        <v>10</v>
      </c>
      <c r="C55" s="1" t="s">
        <v>820</v>
      </c>
      <c r="D55" s="1"/>
      <c r="E55" s="1"/>
    </row>
    <row r="56" spans="1:5" ht="13.8" hidden="1">
      <c r="B56" s="1">
        <v>11</v>
      </c>
      <c r="C56" s="1" t="s">
        <v>821</v>
      </c>
      <c r="D56" s="1"/>
    </row>
    <row r="57" spans="1:5" hidden="1"/>
    <row r="58" spans="1:5" hidden="1"/>
    <row r="61" spans="1:5" ht="15" customHeight="1"/>
    <row r="62" spans="1:5" ht="15" customHeight="1"/>
    <row r="63" spans="1:5" ht="15" customHeight="1"/>
    <row r="64" spans="1:5" ht="15" customHeight="1"/>
    <row r="65" ht="15" customHeight="1"/>
    <row r="66" ht="15" customHeight="1"/>
  </sheetData>
  <mergeCells count="4">
    <mergeCell ref="D35:E35"/>
    <mergeCell ref="A35:B35"/>
    <mergeCell ref="B2:E3"/>
    <mergeCell ref="B5:C5"/>
  </mergeCells>
  <conditionalFormatting sqref="B16 B18 B24 B26">
    <cfRule type="expression" dxfId="0" priority="4">
      <formula>"d22=f79"</formula>
    </cfRule>
  </conditionalFormatting>
  <dataValidations count="5">
    <dataValidation type="whole" operator="greaterThanOrEqual" allowBlank="1" showInputMessage="1" showErrorMessage="1" prompt="Please enter a whole number, like 456 for instance" sqref="B12:D12 B20:D20 B28:D28" xr:uid="{93FA7044-53E9-4731-93DD-EF484C738EF9}">
      <formula1>0</formula1>
    </dataValidation>
    <dataValidation type="decimal" operator="greaterThanOrEqual" allowBlank="1" showInputMessage="1" showErrorMessage="1" prompt="Please enter a number, which may be decimal like 456.78" sqref="B13:D14 B21:D22 B29:D30" xr:uid="{51CA1458-B456-4B78-8F7C-E82FBE7B99DE}">
      <formula1>0</formula1>
    </dataValidation>
    <dataValidation type="decimal" errorStyle="warning" operator="equal" errorTitle="TOTALS" error="Are you sure that you don't have this figures separated after &quot;females&quot;, &quot;males&quot; and &quot;groups&quot;. Please be aware that by entering a figure you are deleting the automatic calculation!" promptTitle="TOTALS" prompt="Please only enter a figure here, if you don't have the figures separted by &quot;females&quot;, &quot;males&quot; and &quot;groups&quot;" sqref="E12:E14 E20:E22 E28:E30" xr:uid="{D2401A40-93E3-4567-BDE7-8D9FEF1471DA}">
      <formula1>0</formula1>
    </dataValidation>
    <dataValidation type="date" operator="greaterThanOrEqual" allowBlank="1" showInputMessage="1" showErrorMessage="1" promptTitle="Month" prompt="Please enter it as month/year (for example: 1/2011)" sqref="D7:E7" xr:uid="{81F8127E-F161-41D7-894F-5F480FE822C0}">
      <formula1>24838</formula1>
    </dataValidation>
    <dataValidation operator="greaterThanOrEqual" allowBlank="1" promptTitle="Month" prompt="Please enter it as month/year (for example: 1/2011)" sqref="B5:C5" xr:uid="{D5F9FFDC-2FD6-4A9B-B4F7-4428D7D925F6}"/>
  </dataValidations>
  <pageMargins left="0.20866141699999999" right="0.10433070899999999" top="0.98425196850393704" bottom="0.98425196850393704" header="0.31496062992126" footer="0.118110236220472"/>
  <pageSetup paperSize="9" scale="95" orientation="portrait" r:id="rId1"/>
  <headerFooter differentFirst="1">
    <oddFooter>&amp;L&amp;"Myriad Pro,Regular"&amp;8&amp;F&amp;  MFSR No.  &amp;APage &amp;P of &amp;N</oddFooter>
    <firstFooter>&amp;L&amp;"Myriad Pro,Regular"&amp;8&amp;F&amp;MFSR No.  &amp;APage &amp;P of &amp;N&amp;R&amp;"Myriad Pro,Regular"&amp;8EasyBook is a collaboration of&amp;G</firstFooter>
  </headerFooter>
  <drawing r:id="rId2"/>
  <legacyDrawingHF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P238"/>
  <sheetViews>
    <sheetView topLeftCell="A51" workbookViewId="0">
      <selection activeCell="B134" sqref="B134:B135"/>
    </sheetView>
  </sheetViews>
  <sheetFormatPr defaultRowHeight="13.2"/>
  <cols>
    <col min="1" max="1" width="6.109375" customWidth="1"/>
    <col min="2" max="2" width="78.5546875" customWidth="1"/>
    <col min="3" max="3" width="17.109375" customWidth="1"/>
    <col min="4" max="4" width="14.5546875" customWidth="1"/>
    <col min="5" max="5" width="10.88671875" customWidth="1"/>
    <col min="7" max="7" width="10.6640625" bestFit="1" customWidth="1"/>
    <col min="8" max="8" width="11.5546875" customWidth="1"/>
    <col min="9" max="9" width="11.88671875" customWidth="1"/>
    <col min="10" max="10" width="14.44140625" customWidth="1"/>
    <col min="11" max="11" width="10.33203125" customWidth="1"/>
    <col min="12" max="12" width="22" customWidth="1"/>
    <col min="14" max="14" width="12.5546875" customWidth="1"/>
    <col min="15" max="15" width="10.6640625" customWidth="1"/>
    <col min="16" max="16" width="11.33203125" customWidth="1"/>
  </cols>
  <sheetData>
    <row r="3" spans="2:16" s="2" customFormat="1" ht="15" customHeight="1">
      <c r="B3" s="5" t="s">
        <v>86</v>
      </c>
    </row>
    <row r="4" spans="2:16" s="2" customFormat="1" ht="15" customHeight="1">
      <c r="B4" s="28"/>
      <c r="C4" s="28"/>
      <c r="D4" s="28"/>
      <c r="E4" s="28"/>
      <c r="F4" s="28"/>
    </row>
    <row r="5" spans="2:16" s="2" customFormat="1" ht="15" customHeight="1">
      <c r="B5" s="5" t="s">
        <v>87</v>
      </c>
    </row>
    <row r="6" spans="2:16" s="2" customFormat="1" ht="15" customHeight="1">
      <c r="B6" s="5"/>
    </row>
    <row r="7" spans="2:16" s="2" customFormat="1" ht="15" customHeight="1" thickBot="1">
      <c r="B7" s="28"/>
      <c r="C7" s="28"/>
      <c r="D7" s="902" t="s">
        <v>487</v>
      </c>
      <c r="E7" s="903"/>
      <c r="F7" s="904"/>
      <c r="G7" s="901" t="s">
        <v>474</v>
      </c>
      <c r="H7" s="901"/>
      <c r="I7" s="901"/>
      <c r="J7" s="901"/>
      <c r="K7" s="901"/>
      <c r="L7" s="901" t="s">
        <v>421</v>
      </c>
      <c r="M7" s="901"/>
      <c r="N7" s="901"/>
      <c r="O7" s="901"/>
      <c r="P7" s="901"/>
    </row>
    <row r="8" spans="2:16" s="2" customFormat="1" ht="15" customHeight="1">
      <c r="B8" s="109"/>
      <c r="C8" s="6" t="s">
        <v>2</v>
      </c>
      <c r="D8" s="7" t="s">
        <v>3</v>
      </c>
      <c r="E8" s="7" t="s">
        <v>4</v>
      </c>
      <c r="F8" s="108" t="s">
        <v>5</v>
      </c>
      <c r="G8" s="141" t="s">
        <v>476</v>
      </c>
      <c r="H8" s="141" t="s">
        <v>488</v>
      </c>
      <c r="I8" s="141" t="s">
        <v>477</v>
      </c>
      <c r="J8" s="141" t="s">
        <v>478</v>
      </c>
      <c r="K8" s="141" t="s">
        <v>420</v>
      </c>
      <c r="L8" s="142" t="s">
        <v>479</v>
      </c>
      <c r="M8" s="142" t="s">
        <v>480</v>
      </c>
      <c r="N8" s="142" t="s">
        <v>475</v>
      </c>
      <c r="O8" s="142" t="s">
        <v>488</v>
      </c>
      <c r="P8" s="142" t="s">
        <v>420</v>
      </c>
    </row>
    <row r="9" spans="2:16" s="2" customFormat="1" ht="15" customHeight="1">
      <c r="B9" s="159" t="s">
        <v>537</v>
      </c>
      <c r="C9" s="13">
        <f t="shared" ref="C9:C19" si="0">SUM(D9:F9)</f>
        <v>0</v>
      </c>
      <c r="D9" s="15">
        <v>0</v>
      </c>
      <c r="E9" s="15">
        <v>0</v>
      </c>
      <c r="F9" s="149">
        <v>0</v>
      </c>
      <c r="G9" s="15">
        <v>0</v>
      </c>
      <c r="H9" s="15">
        <v>0</v>
      </c>
      <c r="I9" s="15">
        <v>0</v>
      </c>
      <c r="J9" s="15">
        <v>0</v>
      </c>
      <c r="K9" s="160">
        <v>0</v>
      </c>
      <c r="L9" s="164">
        <v>0</v>
      </c>
      <c r="M9" s="15">
        <v>0</v>
      </c>
      <c r="N9" s="15">
        <v>0</v>
      </c>
      <c r="O9" s="15">
        <v>0</v>
      </c>
      <c r="P9" s="15">
        <v>0</v>
      </c>
    </row>
    <row r="10" spans="2:16" s="2" customFormat="1" ht="30.75" customHeight="1">
      <c r="B10" s="150" t="s">
        <v>481</v>
      </c>
      <c r="C10" s="14">
        <f t="shared" si="0"/>
        <v>0</v>
      </c>
      <c r="D10" s="15"/>
      <c r="E10" s="15"/>
      <c r="F10" s="16"/>
      <c r="G10" s="15"/>
      <c r="H10" s="15"/>
      <c r="I10" s="15"/>
      <c r="J10" s="15"/>
      <c r="K10" s="160"/>
      <c r="L10" s="165"/>
      <c r="M10" s="15"/>
      <c r="N10" s="15"/>
      <c r="O10" s="15"/>
      <c r="P10" s="15"/>
    </row>
    <row r="11" spans="2:16" s="2" customFormat="1" ht="28.5" customHeight="1" thickBot="1">
      <c r="B11" s="151" t="s">
        <v>482</v>
      </c>
      <c r="C11" s="17">
        <f t="shared" si="0"/>
        <v>0</v>
      </c>
      <c r="D11" s="18"/>
      <c r="E11" s="18"/>
      <c r="F11" s="19"/>
      <c r="G11" s="18"/>
      <c r="H11" s="18"/>
      <c r="I11" s="18"/>
      <c r="J11" s="18"/>
      <c r="K11" s="161"/>
      <c r="L11" s="166"/>
      <c r="M11" s="18"/>
      <c r="N11" s="18"/>
      <c r="O11" s="18"/>
      <c r="P11" s="18"/>
    </row>
    <row r="12" spans="2:16" s="2" customFormat="1" ht="15" customHeight="1" thickTop="1" thickBot="1">
      <c r="B12" s="152" t="s">
        <v>88</v>
      </c>
      <c r="C12" s="20">
        <f>+C10-C11</f>
        <v>0</v>
      </c>
      <c r="D12" s="21">
        <f t="shared" ref="D12:F12" si="1">+D10-D11</f>
        <v>0</v>
      </c>
      <c r="E12" s="21">
        <f t="shared" si="1"/>
        <v>0</v>
      </c>
      <c r="F12" s="22">
        <f t="shared" si="1"/>
        <v>0</v>
      </c>
      <c r="G12" s="21">
        <f t="shared" ref="G12:P12" si="2">+G10-G11</f>
        <v>0</v>
      </c>
      <c r="H12" s="21">
        <f t="shared" si="2"/>
        <v>0</v>
      </c>
      <c r="I12" s="21">
        <f t="shared" si="2"/>
        <v>0</v>
      </c>
      <c r="J12" s="21">
        <f t="shared" si="2"/>
        <v>0</v>
      </c>
      <c r="K12" s="162">
        <f t="shared" si="2"/>
        <v>0</v>
      </c>
      <c r="L12" s="167">
        <f t="shared" si="2"/>
        <v>0</v>
      </c>
      <c r="M12" s="21">
        <f t="shared" si="2"/>
        <v>0</v>
      </c>
      <c r="N12" s="21">
        <f t="shared" si="2"/>
        <v>0</v>
      </c>
      <c r="O12" s="21">
        <f t="shared" si="2"/>
        <v>0</v>
      </c>
      <c r="P12" s="21">
        <f t="shared" si="2"/>
        <v>0</v>
      </c>
    </row>
    <row r="13" spans="2:16" s="2" customFormat="1" ht="15" customHeight="1" thickTop="1" thickBot="1">
      <c r="B13" s="153" t="s">
        <v>89</v>
      </c>
      <c r="C13" s="23">
        <f t="shared" si="0"/>
        <v>0</v>
      </c>
      <c r="D13" s="24">
        <f>+D9+D12</f>
        <v>0</v>
      </c>
      <c r="E13" s="24">
        <f>+E9+E12</f>
        <v>0</v>
      </c>
      <c r="F13" s="25">
        <f>+F9+F12</f>
        <v>0</v>
      </c>
      <c r="G13" s="24">
        <f t="shared" ref="G13:P13" si="3">+G9+G12</f>
        <v>0</v>
      </c>
      <c r="H13" s="24">
        <f t="shared" si="3"/>
        <v>0</v>
      </c>
      <c r="I13" s="24">
        <f t="shared" si="3"/>
        <v>0</v>
      </c>
      <c r="J13" s="24">
        <f t="shared" si="3"/>
        <v>0</v>
      </c>
      <c r="K13" s="163">
        <f t="shared" si="3"/>
        <v>0</v>
      </c>
      <c r="L13" s="168">
        <f t="shared" si="3"/>
        <v>0</v>
      </c>
      <c r="M13" s="24">
        <f t="shared" si="3"/>
        <v>0</v>
      </c>
      <c r="N13" s="24">
        <f t="shared" si="3"/>
        <v>0</v>
      </c>
      <c r="O13" s="24">
        <f t="shared" si="3"/>
        <v>0</v>
      </c>
      <c r="P13" s="24">
        <f t="shared" si="3"/>
        <v>0</v>
      </c>
    </row>
    <row r="14" spans="2:16" s="2" customFormat="1" ht="15" customHeight="1" thickBot="1">
      <c r="B14" s="154"/>
      <c r="C14" s="155"/>
      <c r="D14" s="156"/>
      <c r="E14" s="156"/>
      <c r="F14" s="157"/>
    </row>
    <row r="15" spans="2:16" s="2" customFormat="1" ht="15" customHeight="1">
      <c r="B15" s="158" t="s">
        <v>489</v>
      </c>
      <c r="C15" s="13">
        <f t="shared" si="0"/>
        <v>0</v>
      </c>
      <c r="D15" s="15">
        <v>0</v>
      </c>
      <c r="E15" s="15">
        <v>0</v>
      </c>
      <c r="F15" s="148">
        <v>0</v>
      </c>
      <c r="G15" s="15">
        <v>0</v>
      </c>
      <c r="H15" s="15">
        <v>0</v>
      </c>
      <c r="I15" s="15">
        <v>0</v>
      </c>
      <c r="J15" s="15">
        <v>0</v>
      </c>
      <c r="K15" s="160">
        <v>0</v>
      </c>
      <c r="L15" s="165">
        <v>0</v>
      </c>
      <c r="M15" s="15">
        <v>0</v>
      </c>
      <c r="N15" s="15">
        <v>0</v>
      </c>
      <c r="O15" s="15">
        <v>0</v>
      </c>
      <c r="P15" s="173">
        <v>0</v>
      </c>
    </row>
    <row r="16" spans="2:16" s="2" customFormat="1" ht="22.5" customHeight="1">
      <c r="B16" s="150" t="s">
        <v>483</v>
      </c>
      <c r="C16" s="13">
        <f t="shared" si="0"/>
        <v>0</v>
      </c>
      <c r="D16" s="32"/>
      <c r="E16" s="32"/>
      <c r="F16" s="33"/>
      <c r="G16" s="32"/>
      <c r="H16" s="32"/>
      <c r="I16" s="32"/>
      <c r="J16" s="32"/>
      <c r="K16" s="169"/>
      <c r="L16" s="171"/>
      <c r="M16" s="32"/>
      <c r="N16" s="32"/>
      <c r="O16" s="32"/>
      <c r="P16" s="174"/>
    </row>
    <row r="17" spans="2:16" s="2" customFormat="1" ht="24.75" customHeight="1" thickBot="1">
      <c r="B17" s="151" t="s">
        <v>484</v>
      </c>
      <c r="C17" s="13">
        <f t="shared" si="0"/>
        <v>0</v>
      </c>
      <c r="D17" s="34"/>
      <c r="E17" s="34"/>
      <c r="F17" s="35"/>
      <c r="G17" s="34"/>
      <c r="H17" s="34"/>
      <c r="I17" s="34"/>
      <c r="J17" s="34"/>
      <c r="K17" s="170"/>
      <c r="L17" s="172"/>
      <c r="M17" s="34"/>
      <c r="N17" s="34"/>
      <c r="O17" s="34"/>
      <c r="P17" s="175"/>
    </row>
    <row r="18" spans="2:16" s="2" customFormat="1" ht="15" customHeight="1" thickTop="1" thickBot="1">
      <c r="B18" s="152" t="s">
        <v>90</v>
      </c>
      <c r="C18" s="13">
        <f>+C16-C17</f>
        <v>0</v>
      </c>
      <c r="D18" s="13">
        <f t="shared" ref="D18:F18" si="4">+D16-D17</f>
        <v>0</v>
      </c>
      <c r="E18" s="144">
        <f t="shared" si="4"/>
        <v>0</v>
      </c>
      <c r="F18" s="146">
        <f t="shared" si="4"/>
        <v>0</v>
      </c>
      <c r="G18" s="13">
        <f t="shared" ref="G18:P18" si="5">+G16-G17</f>
        <v>0</v>
      </c>
      <c r="H18" s="13">
        <f t="shared" si="5"/>
        <v>0</v>
      </c>
      <c r="I18" s="13">
        <f t="shared" si="5"/>
        <v>0</v>
      </c>
      <c r="J18" s="13">
        <f t="shared" si="5"/>
        <v>0</v>
      </c>
      <c r="K18" s="13">
        <f t="shared" si="5"/>
        <v>0</v>
      </c>
      <c r="L18" s="13">
        <f t="shared" si="5"/>
        <v>0</v>
      </c>
      <c r="M18" s="13">
        <f t="shared" si="5"/>
        <v>0</v>
      </c>
      <c r="N18" s="13">
        <f t="shared" si="5"/>
        <v>0</v>
      </c>
      <c r="O18" s="13">
        <f t="shared" si="5"/>
        <v>0</v>
      </c>
      <c r="P18" s="176">
        <f t="shared" si="5"/>
        <v>0</v>
      </c>
    </row>
    <row r="19" spans="2:16" s="2" customFormat="1" ht="23.25" customHeight="1" thickTop="1" thickBot="1">
      <c r="B19" s="153" t="s">
        <v>91</v>
      </c>
      <c r="C19" s="36">
        <f t="shared" si="0"/>
        <v>0</v>
      </c>
      <c r="D19" s="143">
        <f>+D15+D18</f>
        <v>0</v>
      </c>
      <c r="E19" s="145">
        <f>+E15+E18</f>
        <v>0</v>
      </c>
      <c r="F19" s="147">
        <f>+F15+F18</f>
        <v>0</v>
      </c>
      <c r="G19" s="143">
        <f>+G15+G18</f>
        <v>0</v>
      </c>
      <c r="H19" s="143">
        <f t="shared" ref="H19:P19" si="6">+H15+H18</f>
        <v>0</v>
      </c>
      <c r="I19" s="143">
        <f t="shared" si="6"/>
        <v>0</v>
      </c>
      <c r="J19" s="143">
        <f t="shared" si="6"/>
        <v>0</v>
      </c>
      <c r="K19" s="143">
        <f t="shared" si="6"/>
        <v>0</v>
      </c>
      <c r="L19" s="143">
        <f t="shared" si="6"/>
        <v>0</v>
      </c>
      <c r="M19" s="143">
        <f t="shared" si="6"/>
        <v>0</v>
      </c>
      <c r="N19" s="143">
        <f t="shared" si="6"/>
        <v>0</v>
      </c>
      <c r="O19" s="143">
        <f t="shared" si="6"/>
        <v>0</v>
      </c>
      <c r="P19" s="177">
        <f t="shared" si="6"/>
        <v>0</v>
      </c>
    </row>
    <row r="20" spans="2:16" s="2" customFormat="1" ht="15" customHeight="1">
      <c r="B20" s="28"/>
      <c r="C20" s="28"/>
      <c r="D20" s="28"/>
      <c r="E20" s="28"/>
      <c r="F20" s="28"/>
    </row>
    <row r="21" spans="2:16" s="2" customFormat="1" ht="15" customHeight="1">
      <c r="B21" s="5" t="s">
        <v>642</v>
      </c>
    </row>
    <row r="22" spans="2:16" s="2" customFormat="1" ht="15" customHeight="1">
      <c r="B22" s="5"/>
    </row>
    <row r="23" spans="2:16" s="2" customFormat="1" ht="15" customHeight="1" thickBot="1">
      <c r="B23" s="28"/>
      <c r="C23" s="28"/>
      <c r="D23" s="893" t="s">
        <v>487</v>
      </c>
      <c r="E23" s="894"/>
      <c r="F23" s="895"/>
      <c r="G23" s="896" t="s">
        <v>474</v>
      </c>
      <c r="H23" s="897"/>
      <c r="I23" s="897"/>
      <c r="J23" s="897"/>
      <c r="K23" s="898"/>
      <c r="L23" s="896" t="s">
        <v>421</v>
      </c>
      <c r="M23" s="897"/>
      <c r="N23" s="897"/>
      <c r="O23" s="897"/>
      <c r="P23" s="898"/>
    </row>
    <row r="24" spans="2:16" s="2" customFormat="1" ht="30" customHeight="1">
      <c r="B24" s="192" t="s">
        <v>92</v>
      </c>
      <c r="C24" s="234" t="s">
        <v>2</v>
      </c>
      <c r="D24" s="235" t="s">
        <v>3</v>
      </c>
      <c r="E24" s="235" t="s">
        <v>4</v>
      </c>
      <c r="F24" s="236" t="s">
        <v>5</v>
      </c>
      <c r="G24" s="141" t="s">
        <v>476</v>
      </c>
      <c r="H24" s="141" t="s">
        <v>488</v>
      </c>
      <c r="I24" s="141" t="s">
        <v>477</v>
      </c>
      <c r="J24" s="141" t="s">
        <v>478</v>
      </c>
      <c r="K24" s="141" t="s">
        <v>420</v>
      </c>
      <c r="L24" s="142" t="s">
        <v>479</v>
      </c>
      <c r="M24" s="142" t="s">
        <v>480</v>
      </c>
      <c r="N24" s="142" t="s">
        <v>475</v>
      </c>
      <c r="O24" s="142" t="s">
        <v>488</v>
      </c>
      <c r="P24" s="142" t="s">
        <v>420</v>
      </c>
    </row>
    <row r="25" spans="2:16" s="2" customFormat="1" ht="18" customHeight="1">
      <c r="B25" s="193" t="s">
        <v>631</v>
      </c>
      <c r="C25" s="239">
        <f t="shared" ref="C25" si="7">SUM(D25:F25)</f>
        <v>0</v>
      </c>
      <c r="D25" s="245"/>
      <c r="E25" s="245"/>
      <c r="F25" s="245"/>
      <c r="G25" s="245"/>
      <c r="H25" s="245"/>
      <c r="I25" s="245"/>
      <c r="J25" s="245"/>
      <c r="K25" s="245"/>
      <c r="L25" s="245"/>
      <c r="M25" s="245"/>
      <c r="N25" s="245"/>
      <c r="O25" s="245"/>
      <c r="P25" s="245"/>
    </row>
    <row r="26" spans="2:16" s="2" customFormat="1" ht="15" customHeight="1">
      <c r="B26" s="193" t="s">
        <v>93</v>
      </c>
      <c r="C26" s="239">
        <f t="shared" ref="C26:C35" si="8">SUM(D26:F26)</f>
        <v>0</v>
      </c>
      <c r="D26" s="245"/>
      <c r="E26" s="245"/>
      <c r="F26" s="245"/>
      <c r="G26" s="245"/>
      <c r="H26" s="245"/>
      <c r="I26" s="245"/>
      <c r="J26" s="245"/>
      <c r="K26" s="245"/>
      <c r="L26" s="245"/>
      <c r="M26" s="245"/>
      <c r="N26" s="245"/>
      <c r="O26" s="245"/>
      <c r="P26" s="245"/>
    </row>
    <row r="27" spans="2:16" s="2" customFormat="1" ht="15" customHeight="1">
      <c r="B27" s="194" t="s">
        <v>94</v>
      </c>
      <c r="C27" s="240">
        <f t="shared" si="8"/>
        <v>0</v>
      </c>
      <c r="D27" s="245"/>
      <c r="E27" s="245"/>
      <c r="F27" s="245"/>
      <c r="G27" s="245"/>
      <c r="H27" s="245"/>
      <c r="I27" s="245"/>
      <c r="J27" s="245"/>
      <c r="K27" s="245"/>
      <c r="L27" s="245"/>
      <c r="M27" s="245"/>
      <c r="N27" s="245"/>
      <c r="O27" s="245"/>
      <c r="P27" s="245"/>
    </row>
    <row r="28" spans="2:16" s="2" customFormat="1" ht="15" customHeight="1">
      <c r="B28" s="194" t="s">
        <v>95</v>
      </c>
      <c r="C28" s="240">
        <f t="shared" si="8"/>
        <v>0</v>
      </c>
      <c r="D28" s="245"/>
      <c r="E28" s="245"/>
      <c r="F28" s="245"/>
      <c r="G28" s="245"/>
      <c r="H28" s="245"/>
      <c r="I28" s="245"/>
      <c r="J28" s="245"/>
      <c r="K28" s="245"/>
      <c r="L28" s="245"/>
      <c r="M28" s="245"/>
      <c r="N28" s="245"/>
      <c r="O28" s="245"/>
      <c r="P28" s="245"/>
    </row>
    <row r="29" spans="2:16" s="2" customFormat="1" ht="15" customHeight="1">
      <c r="B29" s="194" t="s">
        <v>96</v>
      </c>
      <c r="C29" s="240">
        <f t="shared" si="8"/>
        <v>0</v>
      </c>
      <c r="D29" s="245"/>
      <c r="E29" s="245"/>
      <c r="F29" s="245"/>
      <c r="G29" s="245"/>
      <c r="H29" s="245"/>
      <c r="I29" s="245"/>
      <c r="J29" s="245"/>
      <c r="K29" s="245"/>
      <c r="L29" s="245"/>
      <c r="M29" s="245"/>
      <c r="N29" s="245"/>
      <c r="O29" s="245"/>
      <c r="P29" s="245"/>
    </row>
    <row r="30" spans="2:16" s="2" customFormat="1" ht="15" customHeight="1">
      <c r="B30" s="194" t="s">
        <v>97</v>
      </c>
      <c r="C30" s="240">
        <f t="shared" si="8"/>
        <v>0</v>
      </c>
      <c r="D30" s="245"/>
      <c r="E30" s="245"/>
      <c r="F30" s="245"/>
      <c r="G30" s="245"/>
      <c r="H30" s="245"/>
      <c r="I30" s="245"/>
      <c r="J30" s="245"/>
      <c r="K30" s="245"/>
      <c r="L30" s="245"/>
      <c r="M30" s="245"/>
      <c r="N30" s="245"/>
      <c r="O30" s="245"/>
      <c r="P30" s="245"/>
    </row>
    <row r="31" spans="2:16" s="2" customFormat="1" ht="15" customHeight="1" thickBot="1">
      <c r="B31" s="195" t="s">
        <v>98</v>
      </c>
      <c r="C31" s="241">
        <f t="shared" si="8"/>
        <v>0</v>
      </c>
      <c r="D31" s="245"/>
      <c r="E31" s="245"/>
      <c r="F31" s="245"/>
      <c r="G31" s="245"/>
      <c r="H31" s="245"/>
      <c r="I31" s="245"/>
      <c r="J31" s="245"/>
      <c r="K31" s="245"/>
      <c r="L31" s="245"/>
      <c r="M31" s="245"/>
      <c r="N31" s="245"/>
      <c r="O31" s="245"/>
      <c r="P31" s="245"/>
    </row>
    <row r="32" spans="2:16" s="2" customFormat="1" ht="15" customHeight="1" thickTop="1" thickBot="1">
      <c r="B32" s="153" t="s">
        <v>99</v>
      </c>
      <c r="C32" s="242">
        <f t="shared" si="8"/>
        <v>0</v>
      </c>
      <c r="D32" s="246">
        <f t="shared" ref="D32:E32" si="9">+SUM(D25:D31)</f>
        <v>0</v>
      </c>
      <c r="E32" s="246">
        <f t="shared" si="9"/>
        <v>0</v>
      </c>
      <c r="F32" s="246">
        <f>+SUM(F25:F31)</f>
        <v>0</v>
      </c>
      <c r="G32" s="246">
        <f t="shared" ref="G32:P32" si="10">+SUM(G25:G31)</f>
        <v>0</v>
      </c>
      <c r="H32" s="246">
        <f t="shared" si="10"/>
        <v>0</v>
      </c>
      <c r="I32" s="246">
        <f t="shared" si="10"/>
        <v>0</v>
      </c>
      <c r="J32" s="246">
        <f t="shared" si="10"/>
        <v>0</v>
      </c>
      <c r="K32" s="246">
        <f t="shared" si="10"/>
        <v>0</v>
      </c>
      <c r="L32" s="246">
        <f t="shared" si="10"/>
        <v>0</v>
      </c>
      <c r="M32" s="246">
        <f t="shared" si="10"/>
        <v>0</v>
      </c>
      <c r="N32" s="246">
        <f t="shared" si="10"/>
        <v>0</v>
      </c>
      <c r="O32" s="246">
        <f t="shared" si="10"/>
        <v>0</v>
      </c>
      <c r="P32" s="246">
        <f t="shared" si="10"/>
        <v>0</v>
      </c>
    </row>
    <row r="33" spans="2:16" s="2" customFormat="1" ht="30" customHeight="1" thickBot="1">
      <c r="B33" s="197" t="s">
        <v>100</v>
      </c>
      <c r="C33" s="243">
        <f t="shared" si="8"/>
        <v>0</v>
      </c>
      <c r="D33" s="245"/>
      <c r="E33" s="245"/>
      <c r="F33" s="245"/>
      <c r="G33" s="245"/>
      <c r="H33" s="245"/>
      <c r="I33" s="245"/>
      <c r="J33" s="245"/>
      <c r="K33" s="245"/>
      <c r="L33" s="245"/>
      <c r="M33" s="245"/>
      <c r="N33" s="245"/>
      <c r="O33" s="245"/>
      <c r="P33" s="245"/>
    </row>
    <row r="34" spans="2:16" s="2" customFormat="1" ht="30" customHeight="1" thickTop="1" thickBot="1">
      <c r="B34" s="153" t="s">
        <v>101</v>
      </c>
      <c r="C34" s="244">
        <f t="shared" si="8"/>
        <v>0</v>
      </c>
      <c r="D34" s="247">
        <f>+D32+D33</f>
        <v>0</v>
      </c>
      <c r="E34" s="247">
        <f>+E32+E33</f>
        <v>0</v>
      </c>
      <c r="F34" s="247">
        <f>+F32+F33</f>
        <v>0</v>
      </c>
      <c r="G34" s="247">
        <f t="shared" ref="G34:P34" si="11">+G32+G33</f>
        <v>0</v>
      </c>
      <c r="H34" s="247">
        <f t="shared" si="11"/>
        <v>0</v>
      </c>
      <c r="I34" s="247">
        <f t="shared" si="11"/>
        <v>0</v>
      </c>
      <c r="J34" s="247">
        <f t="shared" si="11"/>
        <v>0</v>
      </c>
      <c r="K34" s="247">
        <f t="shared" si="11"/>
        <v>0</v>
      </c>
      <c r="L34" s="247">
        <f t="shared" si="11"/>
        <v>0</v>
      </c>
      <c r="M34" s="247">
        <f t="shared" si="11"/>
        <v>0</v>
      </c>
      <c r="N34" s="247">
        <f t="shared" si="11"/>
        <v>0</v>
      </c>
      <c r="O34" s="247">
        <f t="shared" si="11"/>
        <v>0</v>
      </c>
      <c r="P34" s="247">
        <f t="shared" si="11"/>
        <v>0</v>
      </c>
    </row>
    <row r="35" spans="2:16" s="2" customFormat="1" ht="30" customHeight="1" thickTop="1" thickBot="1">
      <c r="B35" s="237" t="s">
        <v>633</v>
      </c>
      <c r="C35" s="244">
        <f t="shared" si="8"/>
        <v>0</v>
      </c>
      <c r="D35" s="247">
        <f t="shared" ref="D35:F35" si="12">D25+D34</f>
        <v>0</v>
      </c>
      <c r="E35" s="247">
        <f t="shared" si="12"/>
        <v>0</v>
      </c>
      <c r="F35" s="247">
        <f t="shared" si="12"/>
        <v>0</v>
      </c>
      <c r="G35" s="247">
        <f t="shared" ref="G35:P35" si="13">G25+G34</f>
        <v>0</v>
      </c>
      <c r="H35" s="247">
        <f t="shared" si="13"/>
        <v>0</v>
      </c>
      <c r="I35" s="247">
        <f t="shared" si="13"/>
        <v>0</v>
      </c>
      <c r="J35" s="247">
        <f t="shared" si="13"/>
        <v>0</v>
      </c>
      <c r="K35" s="247">
        <f t="shared" si="13"/>
        <v>0</v>
      </c>
      <c r="L35" s="247">
        <f t="shared" si="13"/>
        <v>0</v>
      </c>
      <c r="M35" s="247">
        <f t="shared" si="13"/>
        <v>0</v>
      </c>
      <c r="N35" s="247">
        <f t="shared" si="13"/>
        <v>0</v>
      </c>
      <c r="O35" s="247">
        <f t="shared" si="13"/>
        <v>0</v>
      </c>
      <c r="P35" s="247">
        <f t="shared" si="13"/>
        <v>0</v>
      </c>
    </row>
    <row r="36" spans="2:16" s="2" customFormat="1" ht="30" customHeight="1">
      <c r="B36" s="154"/>
      <c r="C36" s="27"/>
      <c r="D36" s="27"/>
      <c r="E36" s="27"/>
      <c r="F36" s="27"/>
      <c r="G36" s="27"/>
      <c r="H36" s="27"/>
      <c r="I36" s="27"/>
      <c r="J36" s="27"/>
      <c r="K36" s="27"/>
      <c r="L36" s="27"/>
      <c r="M36" s="27"/>
      <c r="N36" s="27"/>
      <c r="O36" s="27"/>
      <c r="P36" s="27"/>
    </row>
    <row r="37" spans="2:16" s="2" customFormat="1" ht="30" customHeight="1" thickBot="1">
      <c r="B37" s="154"/>
      <c r="C37" s="27"/>
      <c r="D37" s="893" t="s">
        <v>487</v>
      </c>
      <c r="E37" s="894"/>
      <c r="F37" s="895"/>
      <c r="G37" s="896" t="s">
        <v>474</v>
      </c>
      <c r="H37" s="897"/>
      <c r="I37" s="897"/>
      <c r="J37" s="897"/>
      <c r="K37" s="898"/>
      <c r="L37" s="896" t="s">
        <v>421</v>
      </c>
      <c r="M37" s="897"/>
      <c r="N37" s="897"/>
      <c r="O37" s="897"/>
      <c r="P37" s="898"/>
    </row>
    <row r="38" spans="2:16" s="2" customFormat="1" ht="30" customHeight="1">
      <c r="B38" s="198" t="s">
        <v>639</v>
      </c>
      <c r="C38" s="234" t="s">
        <v>2</v>
      </c>
      <c r="D38" s="235" t="s">
        <v>3</v>
      </c>
      <c r="E38" s="235" t="s">
        <v>4</v>
      </c>
      <c r="F38" s="236" t="s">
        <v>5</v>
      </c>
      <c r="G38" s="141" t="s">
        <v>476</v>
      </c>
      <c r="H38" s="141" t="s">
        <v>488</v>
      </c>
      <c r="I38" s="141" t="s">
        <v>477</v>
      </c>
      <c r="J38" s="141" t="s">
        <v>478</v>
      </c>
      <c r="K38" s="141" t="s">
        <v>420</v>
      </c>
      <c r="L38" s="142" t="s">
        <v>479</v>
      </c>
      <c r="M38" s="142" t="s">
        <v>480</v>
      </c>
      <c r="N38" s="142" t="s">
        <v>475</v>
      </c>
      <c r="O38" s="142" t="s">
        <v>488</v>
      </c>
      <c r="P38" s="142" t="s">
        <v>420</v>
      </c>
    </row>
    <row r="39" spans="2:16" s="2" customFormat="1" ht="18.75" customHeight="1">
      <c r="B39" s="193" t="s">
        <v>631</v>
      </c>
      <c r="C39" s="38">
        <f t="shared" ref="C39:C49" si="14">SUM(D39:F39)</f>
        <v>0</v>
      </c>
      <c r="D39" s="245"/>
      <c r="E39" s="245"/>
      <c r="F39" s="245"/>
      <c r="G39" s="245"/>
      <c r="H39" s="245"/>
      <c r="I39" s="245"/>
      <c r="J39" s="245"/>
      <c r="K39" s="245"/>
      <c r="L39" s="245"/>
      <c r="M39" s="245"/>
      <c r="N39" s="245"/>
      <c r="O39" s="245"/>
      <c r="P39" s="245"/>
    </row>
    <row r="40" spans="2:16" s="2" customFormat="1" ht="22.5" customHeight="1">
      <c r="B40" s="193" t="s">
        <v>93</v>
      </c>
      <c r="C40" s="38">
        <f t="shared" si="14"/>
        <v>0</v>
      </c>
      <c r="D40" s="245"/>
      <c r="E40" s="245"/>
      <c r="F40" s="245"/>
      <c r="G40" s="245"/>
      <c r="H40" s="245"/>
      <c r="I40" s="245"/>
      <c r="J40" s="245"/>
      <c r="K40" s="245"/>
      <c r="L40" s="245"/>
      <c r="M40" s="245"/>
      <c r="N40" s="245"/>
      <c r="O40" s="245"/>
      <c r="P40" s="245"/>
    </row>
    <row r="41" spans="2:16" s="2" customFormat="1" ht="20.25" customHeight="1">
      <c r="B41" s="194" t="s">
        <v>94</v>
      </c>
      <c r="C41" s="39">
        <f t="shared" si="14"/>
        <v>0</v>
      </c>
      <c r="D41" s="245"/>
      <c r="E41" s="245"/>
      <c r="F41" s="245"/>
      <c r="G41" s="245"/>
      <c r="H41" s="245"/>
      <c r="I41" s="245"/>
      <c r="J41" s="245"/>
      <c r="K41" s="245"/>
      <c r="L41" s="245"/>
      <c r="M41" s="245"/>
      <c r="N41" s="245"/>
      <c r="O41" s="245"/>
      <c r="P41" s="245"/>
    </row>
    <row r="42" spans="2:16" s="2" customFormat="1" ht="22.5" customHeight="1">
      <c r="B42" s="194" t="s">
        <v>95</v>
      </c>
      <c r="C42" s="39">
        <f t="shared" si="14"/>
        <v>0</v>
      </c>
      <c r="D42" s="245"/>
      <c r="E42" s="245"/>
      <c r="F42" s="245"/>
      <c r="G42" s="245"/>
      <c r="H42" s="245"/>
      <c r="I42" s="245"/>
      <c r="J42" s="245"/>
      <c r="K42" s="245"/>
      <c r="L42" s="245"/>
      <c r="M42" s="245"/>
      <c r="N42" s="245"/>
      <c r="O42" s="245"/>
      <c r="P42" s="245"/>
    </row>
    <row r="43" spans="2:16" s="2" customFormat="1" ht="21" customHeight="1">
      <c r="B43" s="194" t="s">
        <v>96</v>
      </c>
      <c r="C43" s="39">
        <f t="shared" si="14"/>
        <v>0</v>
      </c>
      <c r="D43" s="245"/>
      <c r="E43" s="245"/>
      <c r="F43" s="245"/>
      <c r="G43" s="245"/>
      <c r="H43" s="245"/>
      <c r="I43" s="245"/>
      <c r="J43" s="245"/>
      <c r="K43" s="245"/>
      <c r="L43" s="245"/>
      <c r="M43" s="245"/>
      <c r="N43" s="245"/>
      <c r="O43" s="245"/>
      <c r="P43" s="245"/>
    </row>
    <row r="44" spans="2:16" s="2" customFormat="1" ht="21.75" customHeight="1">
      <c r="B44" s="194" t="s">
        <v>97</v>
      </c>
      <c r="C44" s="39">
        <f t="shared" si="14"/>
        <v>0</v>
      </c>
      <c r="D44" s="245"/>
      <c r="E44" s="245"/>
      <c r="F44" s="245"/>
      <c r="G44" s="245"/>
      <c r="H44" s="245"/>
      <c r="I44" s="245"/>
      <c r="J44" s="245"/>
      <c r="K44" s="245"/>
      <c r="L44" s="245"/>
      <c r="M44" s="245"/>
      <c r="N44" s="245"/>
      <c r="O44" s="245"/>
      <c r="P44" s="245"/>
    </row>
    <row r="45" spans="2:16" s="2" customFormat="1" ht="22.5" customHeight="1" thickBot="1">
      <c r="B45" s="195" t="s">
        <v>98</v>
      </c>
      <c r="C45" s="40">
        <f t="shared" si="14"/>
        <v>0</v>
      </c>
      <c r="D45" s="245"/>
      <c r="E45" s="245"/>
      <c r="F45" s="245"/>
      <c r="G45" s="245"/>
      <c r="H45" s="245"/>
      <c r="I45" s="245"/>
      <c r="J45" s="245"/>
      <c r="K45" s="245"/>
      <c r="L45" s="245"/>
      <c r="M45" s="245"/>
      <c r="N45" s="245"/>
      <c r="O45" s="245"/>
      <c r="P45" s="245"/>
    </row>
    <row r="46" spans="2:16" s="2" customFormat="1" ht="21.75" customHeight="1" thickTop="1" thickBot="1">
      <c r="B46" s="153" t="s">
        <v>102</v>
      </c>
      <c r="C46" s="41">
        <f t="shared" si="14"/>
        <v>0</v>
      </c>
      <c r="D46" s="246">
        <f t="shared" ref="D46" si="15">+SUM(D39:D45)</f>
        <v>0</v>
      </c>
      <c r="E46" s="246">
        <f t="shared" ref="E46" si="16">+SUM(E39:E45)</f>
        <v>0</v>
      </c>
      <c r="F46" s="246">
        <f>+SUM(F39:F45)</f>
        <v>0</v>
      </c>
      <c r="G46" s="246">
        <f t="shared" ref="G46" si="17">+SUM(G39:G45)</f>
        <v>0</v>
      </c>
      <c r="H46" s="246">
        <f t="shared" ref="H46" si="18">+SUM(H39:H45)</f>
        <v>0</v>
      </c>
      <c r="I46" s="246">
        <f t="shared" ref="I46" si="19">+SUM(I39:I45)</f>
        <v>0</v>
      </c>
      <c r="J46" s="246">
        <f t="shared" ref="J46" si="20">+SUM(J39:J45)</f>
        <v>0</v>
      </c>
      <c r="K46" s="246">
        <f t="shared" ref="K46" si="21">+SUM(K39:K45)</f>
        <v>0</v>
      </c>
      <c r="L46" s="246">
        <f t="shared" ref="L46" si="22">+SUM(L39:L45)</f>
        <v>0</v>
      </c>
      <c r="M46" s="246">
        <f t="shared" ref="M46" si="23">+SUM(M39:M45)</f>
        <v>0</v>
      </c>
      <c r="N46" s="246">
        <f t="shared" ref="N46" si="24">+SUM(N39:N45)</f>
        <v>0</v>
      </c>
      <c r="O46" s="246">
        <f t="shared" ref="O46" si="25">+SUM(O39:O45)</f>
        <v>0</v>
      </c>
      <c r="P46" s="246">
        <f t="shared" ref="P46" si="26">+SUM(P39:P45)</f>
        <v>0</v>
      </c>
    </row>
    <row r="47" spans="2:16" s="2" customFormat="1" ht="21.75" customHeight="1" thickBot="1">
      <c r="B47" s="197" t="s">
        <v>100</v>
      </c>
      <c r="C47" s="43">
        <f t="shared" si="14"/>
        <v>0</v>
      </c>
      <c r="D47" s="245"/>
      <c r="E47" s="245"/>
      <c r="F47" s="245"/>
      <c r="G47" s="245"/>
      <c r="H47" s="245"/>
      <c r="I47" s="245"/>
      <c r="J47" s="245"/>
      <c r="K47" s="245"/>
      <c r="L47" s="245"/>
      <c r="M47" s="245"/>
      <c r="N47" s="245"/>
      <c r="O47" s="245"/>
      <c r="P47" s="245"/>
    </row>
    <row r="48" spans="2:16" s="2" customFormat="1" ht="30" customHeight="1" thickTop="1" thickBot="1">
      <c r="B48" s="196" t="s">
        <v>103</v>
      </c>
      <c r="C48" s="36">
        <f t="shared" si="14"/>
        <v>0</v>
      </c>
      <c r="D48" s="256">
        <f>+D46+D47</f>
        <v>0</v>
      </c>
      <c r="E48" s="256">
        <f>+E46+E47</f>
        <v>0</v>
      </c>
      <c r="F48" s="247">
        <f>+F46+F47</f>
        <v>0</v>
      </c>
      <c r="G48" s="247">
        <f t="shared" ref="G48" si="27">+G46+G47</f>
        <v>0</v>
      </c>
      <c r="H48" s="247">
        <f t="shared" ref="H48" si="28">+H46+H47</f>
        <v>0</v>
      </c>
      <c r="I48" s="247">
        <f t="shared" ref="I48" si="29">+I46+I47</f>
        <v>0</v>
      </c>
      <c r="J48" s="247">
        <f t="shared" ref="J48" si="30">+J46+J47</f>
        <v>0</v>
      </c>
      <c r="K48" s="247">
        <f t="shared" ref="K48" si="31">+K46+K47</f>
        <v>0</v>
      </c>
      <c r="L48" s="247">
        <f t="shared" ref="L48" si="32">+L46+L47</f>
        <v>0</v>
      </c>
      <c r="M48" s="247">
        <f t="shared" ref="M48" si="33">+M46+M47</f>
        <v>0</v>
      </c>
      <c r="N48" s="247">
        <f t="shared" ref="N48" si="34">+N46+N47</f>
        <v>0</v>
      </c>
      <c r="O48" s="247">
        <f t="shared" ref="O48" si="35">+O46+O47</f>
        <v>0</v>
      </c>
      <c r="P48" s="247">
        <f t="shared" ref="P48" si="36">+P46+P47</f>
        <v>0</v>
      </c>
    </row>
    <row r="49" spans="2:16" s="2" customFormat="1" ht="30" customHeight="1" thickBot="1">
      <c r="B49" s="237" t="s">
        <v>632</v>
      </c>
      <c r="C49" s="238">
        <f t="shared" si="14"/>
        <v>0</v>
      </c>
      <c r="D49" s="256">
        <f t="shared" ref="D49:P49" si="37">D39+D48</f>
        <v>0</v>
      </c>
      <c r="E49" s="256">
        <f t="shared" si="37"/>
        <v>0</v>
      </c>
      <c r="F49" s="247">
        <f t="shared" si="37"/>
        <v>0</v>
      </c>
      <c r="G49" s="247">
        <f t="shared" si="37"/>
        <v>0</v>
      </c>
      <c r="H49" s="247">
        <f t="shared" si="37"/>
        <v>0</v>
      </c>
      <c r="I49" s="247">
        <f t="shared" si="37"/>
        <v>0</v>
      </c>
      <c r="J49" s="247">
        <f t="shared" si="37"/>
        <v>0</v>
      </c>
      <c r="K49" s="247">
        <f t="shared" si="37"/>
        <v>0</v>
      </c>
      <c r="L49" s="247">
        <f t="shared" si="37"/>
        <v>0</v>
      </c>
      <c r="M49" s="247">
        <f t="shared" si="37"/>
        <v>0</v>
      </c>
      <c r="N49" s="247">
        <f t="shared" si="37"/>
        <v>0</v>
      </c>
      <c r="O49" s="247">
        <f t="shared" si="37"/>
        <v>0</v>
      </c>
      <c r="P49" s="247">
        <f t="shared" si="37"/>
        <v>0</v>
      </c>
    </row>
    <row r="50" spans="2:16" s="2" customFormat="1" ht="30" customHeight="1" thickBot="1">
      <c r="B50" s="154"/>
      <c r="C50" s="27"/>
      <c r="D50" s="27"/>
      <c r="E50" s="27"/>
      <c r="F50" s="27"/>
      <c r="G50" s="27"/>
      <c r="H50" s="27"/>
      <c r="I50" s="27"/>
      <c r="J50" s="27"/>
      <c r="K50" s="27"/>
      <c r="L50" s="27"/>
      <c r="M50" s="27"/>
      <c r="N50" s="27"/>
      <c r="O50" s="27"/>
      <c r="P50" s="27"/>
    </row>
    <row r="51" spans="2:16" s="2" customFormat="1" ht="38.25" customHeight="1">
      <c r="B51" s="198" t="s">
        <v>641</v>
      </c>
      <c r="C51" s="234" t="s">
        <v>2</v>
      </c>
      <c r="D51" s="235" t="s">
        <v>3</v>
      </c>
      <c r="E51" s="248" t="s">
        <v>4</v>
      </c>
      <c r="F51" s="251" t="s">
        <v>5</v>
      </c>
      <c r="G51" s="252" t="s">
        <v>634</v>
      </c>
      <c r="H51" s="252" t="s">
        <v>635</v>
      </c>
      <c r="I51" s="252" t="s">
        <v>636</v>
      </c>
      <c r="J51" s="252" t="s">
        <v>637</v>
      </c>
    </row>
    <row r="52" spans="2:16" s="2" customFormat="1" ht="15" customHeight="1">
      <c r="B52" s="193" t="s">
        <v>631</v>
      </c>
      <c r="C52" s="38">
        <f t="shared" ref="C52:C62" si="38">SUM(D52:F52)</f>
        <v>0</v>
      </c>
      <c r="D52" s="32">
        <f>D39</f>
        <v>0</v>
      </c>
      <c r="E52" s="169">
        <f>E39</f>
        <v>0</v>
      </c>
      <c r="F52" s="245">
        <f>F39</f>
        <v>0</v>
      </c>
      <c r="G52" s="253">
        <v>0.01</v>
      </c>
      <c r="H52" s="202">
        <f>C52*G52</f>
        <v>0</v>
      </c>
      <c r="I52" s="245"/>
      <c r="J52" s="202">
        <f>H52-I52</f>
        <v>0</v>
      </c>
    </row>
    <row r="53" spans="2:16" s="2" customFormat="1" ht="15" customHeight="1">
      <c r="B53" s="193" t="s">
        <v>93</v>
      </c>
      <c r="C53" s="38">
        <f t="shared" si="38"/>
        <v>0</v>
      </c>
      <c r="D53" s="32">
        <f t="shared" ref="D53:F53" si="39">D40</f>
        <v>0</v>
      </c>
      <c r="E53" s="169">
        <f t="shared" si="39"/>
        <v>0</v>
      </c>
      <c r="F53" s="245">
        <f t="shared" si="39"/>
        <v>0</v>
      </c>
      <c r="G53" s="253">
        <v>0.1</v>
      </c>
      <c r="H53" s="202">
        <f t="shared" ref="H53:H60" si="40">C53*G53</f>
        <v>0</v>
      </c>
      <c r="I53" s="245"/>
      <c r="J53" s="202">
        <f t="shared" ref="J53:J61" si="41">H53-I53</f>
        <v>0</v>
      </c>
    </row>
    <row r="54" spans="2:16" s="2" customFormat="1" ht="15" customHeight="1">
      <c r="B54" s="194" t="s">
        <v>94</v>
      </c>
      <c r="C54" s="39">
        <f t="shared" si="38"/>
        <v>0</v>
      </c>
      <c r="D54" s="32">
        <f t="shared" ref="D54:F54" si="42">D41</f>
        <v>0</v>
      </c>
      <c r="E54" s="169">
        <f t="shared" si="42"/>
        <v>0</v>
      </c>
      <c r="F54" s="245">
        <f t="shared" si="42"/>
        <v>0</v>
      </c>
      <c r="G54" s="253">
        <v>0.1</v>
      </c>
      <c r="H54" s="202">
        <f t="shared" si="40"/>
        <v>0</v>
      </c>
      <c r="I54" s="245"/>
      <c r="J54" s="202">
        <f t="shared" si="41"/>
        <v>0</v>
      </c>
    </row>
    <row r="55" spans="2:16" s="2" customFormat="1" ht="15" customHeight="1">
      <c r="B55" s="194" t="s">
        <v>95</v>
      </c>
      <c r="C55" s="39">
        <f t="shared" si="38"/>
        <v>0</v>
      </c>
      <c r="D55" s="32">
        <f t="shared" ref="D55:F55" si="43">D42</f>
        <v>0</v>
      </c>
      <c r="E55" s="169">
        <f t="shared" si="43"/>
        <v>0</v>
      </c>
      <c r="F55" s="245">
        <f t="shared" si="43"/>
        <v>0</v>
      </c>
      <c r="G55" s="253">
        <v>0.1</v>
      </c>
      <c r="H55" s="202">
        <f t="shared" si="40"/>
        <v>0</v>
      </c>
      <c r="I55" s="245"/>
      <c r="J55" s="202">
        <f t="shared" si="41"/>
        <v>0</v>
      </c>
    </row>
    <row r="56" spans="2:16" s="2" customFormat="1" ht="15" customHeight="1">
      <c r="B56" s="194" t="s">
        <v>96</v>
      </c>
      <c r="C56" s="39">
        <f t="shared" si="38"/>
        <v>0</v>
      </c>
      <c r="D56" s="32">
        <f t="shared" ref="D56:F56" si="44">D43</f>
        <v>0</v>
      </c>
      <c r="E56" s="169">
        <f t="shared" si="44"/>
        <v>0</v>
      </c>
      <c r="F56" s="245">
        <f t="shared" si="44"/>
        <v>0</v>
      </c>
      <c r="G56" s="253">
        <v>0.3</v>
      </c>
      <c r="H56" s="202">
        <f t="shared" si="40"/>
        <v>0</v>
      </c>
      <c r="I56" s="245"/>
      <c r="J56" s="202">
        <f t="shared" si="41"/>
        <v>0</v>
      </c>
    </row>
    <row r="57" spans="2:16" s="2" customFormat="1" ht="15" customHeight="1">
      <c r="B57" s="194" t="s">
        <v>97</v>
      </c>
      <c r="C57" s="39">
        <f t="shared" si="38"/>
        <v>0</v>
      </c>
      <c r="D57" s="32">
        <f t="shared" ref="D57:F57" si="45">D44</f>
        <v>0</v>
      </c>
      <c r="E57" s="169">
        <f t="shared" si="45"/>
        <v>0</v>
      </c>
      <c r="F57" s="245">
        <f t="shared" si="45"/>
        <v>0</v>
      </c>
      <c r="G57" s="253">
        <v>0.6</v>
      </c>
      <c r="H57" s="202">
        <f t="shared" si="40"/>
        <v>0</v>
      </c>
      <c r="I57" s="245"/>
      <c r="J57" s="202">
        <f t="shared" si="41"/>
        <v>0</v>
      </c>
    </row>
    <row r="58" spans="2:16" s="2" customFormat="1" ht="15" customHeight="1" thickBot="1">
      <c r="B58" s="195" t="s">
        <v>98</v>
      </c>
      <c r="C58" s="40">
        <f t="shared" si="38"/>
        <v>0</v>
      </c>
      <c r="D58" s="32">
        <f t="shared" ref="D58:F58" si="46">D45</f>
        <v>0</v>
      </c>
      <c r="E58" s="169">
        <f t="shared" si="46"/>
        <v>0</v>
      </c>
      <c r="F58" s="245">
        <f t="shared" si="46"/>
        <v>0</v>
      </c>
      <c r="G58" s="253">
        <v>1</v>
      </c>
      <c r="H58" s="202">
        <f t="shared" si="40"/>
        <v>0</v>
      </c>
      <c r="I58" s="245"/>
      <c r="J58" s="202">
        <f t="shared" si="41"/>
        <v>0</v>
      </c>
    </row>
    <row r="59" spans="2:16" s="2" customFormat="1" ht="14.4" thickTop="1" thickBot="1">
      <c r="B59" s="153" t="s">
        <v>102</v>
      </c>
      <c r="C59" s="41">
        <f t="shared" si="38"/>
        <v>0</v>
      </c>
      <c r="D59" s="42">
        <f>+SUM(D52:D58)</f>
        <v>0</v>
      </c>
      <c r="E59" s="249">
        <f>+SUM(E53:E58)</f>
        <v>0</v>
      </c>
      <c r="F59" s="254">
        <f>+SUM(F53:F58)</f>
        <v>0</v>
      </c>
      <c r="G59" s="202"/>
      <c r="H59" s="254">
        <f>+SUM(H53:H58)</f>
        <v>0</v>
      </c>
      <c r="I59" s="254">
        <f>+SUM(I53:I58)</f>
        <v>0</v>
      </c>
      <c r="J59" s="202">
        <f t="shared" si="41"/>
        <v>0</v>
      </c>
    </row>
    <row r="60" spans="2:16" s="2" customFormat="1" ht="15" customHeight="1" thickBot="1">
      <c r="B60" s="197" t="s">
        <v>100</v>
      </c>
      <c r="C60" s="43">
        <f t="shared" si="38"/>
        <v>0</v>
      </c>
      <c r="D60" s="32">
        <f>D47</f>
        <v>0</v>
      </c>
      <c r="E60" s="32">
        <f>E47</f>
        <v>0</v>
      </c>
      <c r="F60" s="32">
        <f>F47</f>
        <v>0</v>
      </c>
      <c r="G60" s="253">
        <v>1</v>
      </c>
      <c r="H60" s="202">
        <f t="shared" si="40"/>
        <v>0</v>
      </c>
      <c r="I60" s="202"/>
      <c r="J60" s="202">
        <f t="shared" si="41"/>
        <v>0</v>
      </c>
    </row>
    <row r="61" spans="2:16" s="2" customFormat="1" ht="22.5" customHeight="1" thickTop="1" thickBot="1">
      <c r="B61" s="196" t="s">
        <v>103</v>
      </c>
      <c r="C61" s="36">
        <f t="shared" si="38"/>
        <v>0</v>
      </c>
      <c r="D61" s="37">
        <f>+D59+D60</f>
        <v>0</v>
      </c>
      <c r="E61" s="250">
        <f>+E59+E60</f>
        <v>0</v>
      </c>
      <c r="F61" s="254">
        <f>+F59+F60</f>
        <v>0</v>
      </c>
      <c r="G61" s="202"/>
      <c r="H61" s="254">
        <f>+H59+H60</f>
        <v>0</v>
      </c>
      <c r="I61" s="254">
        <f>+I59+I60</f>
        <v>0</v>
      </c>
      <c r="J61" s="202">
        <f t="shared" si="41"/>
        <v>0</v>
      </c>
    </row>
    <row r="62" spans="2:16" s="2" customFormat="1" ht="22.5" customHeight="1" thickBot="1">
      <c r="B62" s="237" t="s">
        <v>632</v>
      </c>
      <c r="C62" s="238">
        <f t="shared" si="38"/>
        <v>0</v>
      </c>
      <c r="D62" s="238">
        <f t="shared" ref="D62:F62" si="47">D52+D61</f>
        <v>0</v>
      </c>
      <c r="E62" s="238">
        <f t="shared" si="47"/>
        <v>0</v>
      </c>
      <c r="F62" s="255">
        <f t="shared" si="47"/>
        <v>0</v>
      </c>
      <c r="G62" s="202"/>
      <c r="H62" s="255">
        <f>H52+H61</f>
        <v>0</v>
      </c>
      <c r="I62" s="255">
        <f>I52+I61</f>
        <v>0</v>
      </c>
      <c r="J62" s="255">
        <f>H62-I62</f>
        <v>0</v>
      </c>
    </row>
    <row r="63" spans="2:16" s="2" customFormat="1" ht="22.5" customHeight="1">
      <c r="B63" s="154"/>
    </row>
    <row r="64" spans="2:16" s="2" customFormat="1" ht="22.5" customHeight="1" thickBot="1">
      <c r="B64" s="154"/>
      <c r="C64" s="27"/>
      <c r="D64" s="893" t="s">
        <v>487</v>
      </c>
      <c r="E64" s="894"/>
      <c r="F64" s="895"/>
      <c r="G64" s="896" t="s">
        <v>474</v>
      </c>
      <c r="H64" s="897"/>
      <c r="I64" s="897"/>
      <c r="J64" s="897"/>
      <c r="K64" s="898"/>
      <c r="L64" s="896" t="s">
        <v>421</v>
      </c>
      <c r="M64" s="897"/>
      <c r="N64" s="897"/>
      <c r="O64" s="897"/>
      <c r="P64" s="898"/>
    </row>
    <row r="65" spans="2:16" s="2" customFormat="1" ht="30" customHeight="1">
      <c r="B65" s="198" t="s">
        <v>640</v>
      </c>
      <c r="C65" s="234" t="s">
        <v>2</v>
      </c>
      <c r="D65" s="235" t="s">
        <v>3</v>
      </c>
      <c r="E65" s="235" t="s">
        <v>4</v>
      </c>
      <c r="F65" s="236" t="s">
        <v>5</v>
      </c>
      <c r="G65" s="141" t="s">
        <v>476</v>
      </c>
      <c r="H65" s="141" t="s">
        <v>488</v>
      </c>
      <c r="I65" s="141" t="s">
        <v>477</v>
      </c>
      <c r="J65" s="141" t="s">
        <v>478</v>
      </c>
      <c r="K65" s="141" t="s">
        <v>420</v>
      </c>
      <c r="L65" s="142" t="s">
        <v>479</v>
      </c>
      <c r="M65" s="142" t="s">
        <v>480</v>
      </c>
      <c r="N65" s="142" t="s">
        <v>475</v>
      </c>
      <c r="O65" s="142" t="s">
        <v>488</v>
      </c>
      <c r="P65" s="142" t="s">
        <v>420</v>
      </c>
    </row>
    <row r="66" spans="2:16" s="2" customFormat="1" ht="15" customHeight="1">
      <c r="B66" s="193" t="s">
        <v>93</v>
      </c>
      <c r="C66" s="38">
        <f t="shared" ref="C66:C74" si="48">SUM(D66:F66)</f>
        <v>0</v>
      </c>
      <c r="D66" s="245"/>
      <c r="E66" s="245"/>
      <c r="F66" s="245"/>
      <c r="G66" s="245"/>
      <c r="H66" s="245"/>
      <c r="I66" s="245"/>
      <c r="J66" s="245"/>
      <c r="K66" s="245"/>
      <c r="L66" s="245"/>
      <c r="M66" s="245"/>
      <c r="N66" s="245"/>
      <c r="O66" s="245"/>
      <c r="P66" s="245"/>
    </row>
    <row r="67" spans="2:16" s="2" customFormat="1" ht="15" customHeight="1">
      <c r="B67" s="194" t="s">
        <v>94</v>
      </c>
      <c r="C67" s="39">
        <f t="shared" si="48"/>
        <v>0</v>
      </c>
      <c r="D67" s="245"/>
      <c r="E67" s="245"/>
      <c r="F67" s="245"/>
      <c r="G67" s="245"/>
      <c r="H67" s="245"/>
      <c r="I67" s="245"/>
      <c r="J67" s="245"/>
      <c r="K67" s="245"/>
      <c r="L67" s="245"/>
      <c r="M67" s="245"/>
      <c r="N67" s="245"/>
      <c r="O67" s="245"/>
      <c r="P67" s="245"/>
    </row>
    <row r="68" spans="2:16" s="2" customFormat="1" ht="15" customHeight="1">
      <c r="B68" s="194" t="s">
        <v>95</v>
      </c>
      <c r="C68" s="39">
        <f t="shared" si="48"/>
        <v>0</v>
      </c>
      <c r="D68" s="245"/>
      <c r="E68" s="245"/>
      <c r="F68" s="245"/>
      <c r="G68" s="245"/>
      <c r="H68" s="245"/>
      <c r="I68" s="245"/>
      <c r="J68" s="245"/>
      <c r="K68" s="245"/>
      <c r="L68" s="245"/>
      <c r="M68" s="245"/>
      <c r="N68" s="245"/>
      <c r="O68" s="245"/>
      <c r="P68" s="245"/>
    </row>
    <row r="69" spans="2:16" s="2" customFormat="1" ht="15" customHeight="1">
      <c r="B69" s="194" t="s">
        <v>96</v>
      </c>
      <c r="C69" s="39">
        <f t="shared" si="48"/>
        <v>0</v>
      </c>
      <c r="D69" s="245"/>
      <c r="E69" s="245"/>
      <c r="F69" s="245"/>
      <c r="G69" s="245"/>
      <c r="H69" s="245"/>
      <c r="I69" s="245"/>
      <c r="J69" s="245"/>
      <c r="K69" s="245"/>
      <c r="L69" s="245"/>
      <c r="M69" s="245"/>
      <c r="N69" s="245"/>
      <c r="O69" s="245"/>
      <c r="P69" s="245"/>
    </row>
    <row r="70" spans="2:16" s="2" customFormat="1" ht="15" customHeight="1">
      <c r="B70" s="194" t="s">
        <v>97</v>
      </c>
      <c r="C70" s="39">
        <f t="shared" si="48"/>
        <v>0</v>
      </c>
      <c r="D70" s="245"/>
      <c r="E70" s="245"/>
      <c r="F70" s="245"/>
      <c r="G70" s="245"/>
      <c r="H70" s="245"/>
      <c r="I70" s="245"/>
      <c r="J70" s="245"/>
      <c r="K70" s="245"/>
      <c r="L70" s="245"/>
      <c r="M70" s="245"/>
      <c r="N70" s="245"/>
      <c r="O70" s="245"/>
      <c r="P70" s="245"/>
    </row>
    <row r="71" spans="2:16" s="2" customFormat="1" ht="15" customHeight="1" thickBot="1">
      <c r="B71" s="195" t="s">
        <v>98</v>
      </c>
      <c r="C71" s="40">
        <f t="shared" si="48"/>
        <v>0</v>
      </c>
      <c r="D71" s="245"/>
      <c r="E71" s="245"/>
      <c r="F71" s="245"/>
      <c r="G71" s="245"/>
      <c r="H71" s="245"/>
      <c r="I71" s="245"/>
      <c r="J71" s="245"/>
      <c r="K71" s="245"/>
      <c r="L71" s="245"/>
      <c r="M71" s="245"/>
      <c r="N71" s="245"/>
      <c r="O71" s="245"/>
      <c r="P71" s="245"/>
    </row>
    <row r="72" spans="2:16" s="2" customFormat="1" ht="15" customHeight="1" thickTop="1" thickBot="1">
      <c r="B72" s="153" t="s">
        <v>102</v>
      </c>
      <c r="C72" s="41">
        <f t="shared" si="48"/>
        <v>0</v>
      </c>
      <c r="D72" s="246">
        <f t="shared" ref="D72" si="49">+SUM(D65:D71)</f>
        <v>0</v>
      </c>
      <c r="E72" s="246">
        <f t="shared" ref="E72" si="50">+SUM(E65:E71)</f>
        <v>0</v>
      </c>
      <c r="F72" s="246">
        <f>+SUM(F65:F71)</f>
        <v>0</v>
      </c>
      <c r="G72" s="246">
        <f t="shared" ref="G72" si="51">+SUM(G65:G71)</f>
        <v>0</v>
      </c>
      <c r="H72" s="246">
        <f t="shared" ref="H72" si="52">+SUM(H65:H71)</f>
        <v>0</v>
      </c>
      <c r="I72" s="246">
        <f t="shared" ref="I72" si="53">+SUM(I65:I71)</f>
        <v>0</v>
      </c>
      <c r="J72" s="246">
        <f t="shared" ref="J72" si="54">+SUM(J65:J71)</f>
        <v>0</v>
      </c>
      <c r="K72" s="246">
        <f t="shared" ref="K72" si="55">+SUM(K65:K71)</f>
        <v>0</v>
      </c>
      <c r="L72" s="246">
        <f t="shared" ref="L72" si="56">+SUM(L65:L71)</f>
        <v>0</v>
      </c>
      <c r="M72" s="246">
        <f t="shared" ref="M72" si="57">+SUM(M65:M71)</f>
        <v>0</v>
      </c>
      <c r="N72" s="246">
        <f t="shared" ref="N72" si="58">+SUM(N65:N71)</f>
        <v>0</v>
      </c>
      <c r="O72" s="246">
        <f t="shared" ref="O72" si="59">+SUM(O65:O71)</f>
        <v>0</v>
      </c>
      <c r="P72" s="246">
        <f t="shared" ref="P72" si="60">+SUM(P65:P71)</f>
        <v>0</v>
      </c>
    </row>
    <row r="73" spans="2:16" s="2" customFormat="1" ht="15" customHeight="1" thickBot="1">
      <c r="B73" s="197" t="s">
        <v>100</v>
      </c>
      <c r="C73" s="43">
        <f t="shared" si="48"/>
        <v>0</v>
      </c>
      <c r="D73" s="245"/>
      <c r="E73" s="245"/>
      <c r="F73" s="245"/>
      <c r="G73" s="245"/>
      <c r="H73" s="245"/>
      <c r="I73" s="245"/>
      <c r="J73" s="245"/>
      <c r="K73" s="245"/>
      <c r="L73" s="245"/>
      <c r="M73" s="245"/>
      <c r="N73" s="245"/>
      <c r="O73" s="245"/>
      <c r="P73" s="245"/>
    </row>
    <row r="74" spans="2:16" s="2" customFormat="1" ht="22.5" customHeight="1" thickTop="1" thickBot="1">
      <c r="B74" s="196" t="s">
        <v>103</v>
      </c>
      <c r="C74" s="36">
        <f t="shared" si="48"/>
        <v>0</v>
      </c>
      <c r="D74" s="247">
        <f>+D72+D73</f>
        <v>0</v>
      </c>
      <c r="E74" s="247">
        <f>+E72+E73</f>
        <v>0</v>
      </c>
      <c r="F74" s="247">
        <f>+F72+F73</f>
        <v>0</v>
      </c>
      <c r="G74" s="247">
        <f t="shared" ref="G74" si="61">+G72+G73</f>
        <v>0</v>
      </c>
      <c r="H74" s="247">
        <f t="shared" ref="H74" si="62">+H72+H73</f>
        <v>0</v>
      </c>
      <c r="I74" s="247">
        <f t="shared" ref="I74" si="63">+I72+I73</f>
        <v>0</v>
      </c>
      <c r="J74" s="247">
        <f t="shared" ref="J74" si="64">+J72+J73</f>
        <v>0</v>
      </c>
      <c r="K74" s="247">
        <f t="shared" ref="K74" si="65">+K72+K73</f>
        <v>0</v>
      </c>
      <c r="L74" s="247">
        <f t="shared" ref="L74" si="66">+L72+L73</f>
        <v>0</v>
      </c>
      <c r="M74" s="247">
        <f t="shared" ref="M74" si="67">+M72+M73</f>
        <v>0</v>
      </c>
      <c r="N74" s="247">
        <f t="shared" ref="N74" si="68">+N72+N73</f>
        <v>0</v>
      </c>
      <c r="O74" s="247">
        <f t="shared" ref="O74" si="69">+O72+O73</f>
        <v>0</v>
      </c>
      <c r="P74" s="247">
        <f t="shared" ref="P74" si="70">+P72+P73</f>
        <v>0</v>
      </c>
    </row>
    <row r="75" spans="2:16" s="2" customFormat="1" ht="15" customHeight="1"/>
    <row r="76" spans="2:16" s="2" customFormat="1" ht="15" customHeight="1"/>
    <row r="77" spans="2:16" s="2" customFormat="1" ht="15" customHeight="1">
      <c r="B77" s="5" t="s">
        <v>514</v>
      </c>
    </row>
    <row r="78" spans="2:16" s="2" customFormat="1" ht="15" customHeight="1"/>
    <row r="79" spans="2:16" s="2" customFormat="1" ht="15" customHeight="1">
      <c r="B79" s="191" t="s">
        <v>539</v>
      </c>
      <c r="C79" s="203" t="s">
        <v>532</v>
      </c>
      <c r="D79" s="203" t="s">
        <v>531</v>
      </c>
    </row>
    <row r="80" spans="2:16" s="2" customFormat="1" ht="15" customHeight="1">
      <c r="B80" s="190"/>
      <c r="C80" s="200" t="s">
        <v>492</v>
      </c>
      <c r="D80" s="200" t="s">
        <v>492</v>
      </c>
    </row>
    <row r="81" spans="1:4" s="2" customFormat="1" ht="15" customHeight="1">
      <c r="B81" s="205" t="s">
        <v>535</v>
      </c>
      <c r="C81" s="32"/>
      <c r="D81" s="169"/>
    </row>
    <row r="82" spans="1:4" s="2" customFormat="1" ht="15" customHeight="1">
      <c r="B82" s="190"/>
    </row>
    <row r="83" spans="1:4" s="2" customFormat="1" ht="15" customHeight="1">
      <c r="B83" s="190" t="s">
        <v>534</v>
      </c>
    </row>
    <row r="84" spans="1:4" s="2" customFormat="1" ht="15" customHeight="1">
      <c r="B84" s="201"/>
      <c r="C84" s="203" t="s">
        <v>532</v>
      </c>
      <c r="D84" s="203" t="s">
        <v>531</v>
      </c>
    </row>
    <row r="85" spans="1:4" s="2" customFormat="1" ht="15" customHeight="1">
      <c r="B85" s="201"/>
      <c r="C85" s="200" t="s">
        <v>492</v>
      </c>
      <c r="D85" s="200" t="s">
        <v>492</v>
      </c>
    </row>
    <row r="86" spans="1:4" s="2" customFormat="1" ht="15" customHeight="1">
      <c r="A86" s="2">
        <v>1</v>
      </c>
      <c r="B86" s="201"/>
      <c r="C86" s="202"/>
      <c r="D86" s="202"/>
    </row>
    <row r="87" spans="1:4" s="2" customFormat="1" ht="15" customHeight="1">
      <c r="A87" s="2">
        <v>2</v>
      </c>
      <c r="B87" s="201"/>
      <c r="C87" s="202"/>
      <c r="D87" s="202"/>
    </row>
    <row r="88" spans="1:4" s="2" customFormat="1" ht="15" customHeight="1">
      <c r="A88" s="2">
        <v>3</v>
      </c>
      <c r="B88" s="201"/>
      <c r="C88" s="202"/>
      <c r="D88" s="202"/>
    </row>
    <row r="89" spans="1:4" s="2" customFormat="1" ht="15" customHeight="1">
      <c r="A89" s="2">
        <v>4</v>
      </c>
      <c r="B89" s="201"/>
      <c r="C89" s="202"/>
      <c r="D89" s="202"/>
    </row>
    <row r="90" spans="1:4" s="2" customFormat="1" ht="15" customHeight="1">
      <c r="A90" s="2">
        <v>5</v>
      </c>
      <c r="B90" s="201"/>
      <c r="C90" s="202"/>
      <c r="D90" s="202"/>
    </row>
    <row r="91" spans="1:4" s="2" customFormat="1" ht="15" customHeight="1">
      <c r="A91" s="2">
        <v>6</v>
      </c>
      <c r="B91" s="201"/>
      <c r="C91" s="202"/>
      <c r="D91" s="202"/>
    </row>
    <row r="92" spans="1:4" s="2" customFormat="1" ht="15" customHeight="1">
      <c r="A92" s="2">
        <v>7</v>
      </c>
      <c r="B92" s="201"/>
      <c r="C92" s="202"/>
      <c r="D92" s="202"/>
    </row>
    <row r="93" spans="1:4" s="2" customFormat="1" ht="15" customHeight="1">
      <c r="A93" s="2">
        <v>8</v>
      </c>
      <c r="B93" s="201"/>
      <c r="C93" s="202"/>
      <c r="D93" s="202"/>
    </row>
    <row r="94" spans="1:4" s="2" customFormat="1" ht="15" customHeight="1">
      <c r="A94" s="2">
        <v>9</v>
      </c>
      <c r="B94" s="201"/>
      <c r="C94" s="202"/>
      <c r="D94" s="202"/>
    </row>
    <row r="95" spans="1:4" s="2" customFormat="1" ht="15" customHeight="1">
      <c r="A95" s="2">
        <v>10</v>
      </c>
      <c r="B95" s="201"/>
      <c r="C95" s="202"/>
      <c r="D95" s="202"/>
    </row>
    <row r="96" spans="1:4" s="2" customFormat="1" ht="15" customHeight="1">
      <c r="A96" s="2">
        <v>11</v>
      </c>
      <c r="B96" s="201"/>
      <c r="C96" s="202"/>
      <c r="D96" s="202"/>
    </row>
    <row r="97" spans="1:8" s="2" customFormat="1" ht="15" customHeight="1">
      <c r="A97" s="2">
        <v>12</v>
      </c>
      <c r="B97" s="201"/>
      <c r="C97" s="202"/>
      <c r="D97" s="202"/>
    </row>
    <row r="98" spans="1:8" s="2" customFormat="1" ht="15" customHeight="1">
      <c r="A98" s="2">
        <v>13</v>
      </c>
      <c r="B98" s="201"/>
      <c r="C98" s="202"/>
      <c r="D98" s="202"/>
    </row>
    <row r="99" spans="1:8" s="2" customFormat="1" ht="15" customHeight="1">
      <c r="A99" s="2">
        <v>14</v>
      </c>
      <c r="B99" s="201"/>
      <c r="C99" s="202"/>
      <c r="D99" s="202"/>
    </row>
    <row r="100" spans="1:8" s="2" customFormat="1" ht="15" customHeight="1">
      <c r="A100" s="2">
        <v>15</v>
      </c>
      <c r="B100" s="201"/>
      <c r="C100" s="202"/>
      <c r="D100" s="202"/>
    </row>
    <row r="101" spans="1:8" s="2" customFormat="1" ht="15" customHeight="1">
      <c r="A101" s="2">
        <v>16</v>
      </c>
      <c r="B101" s="201"/>
      <c r="C101" s="202"/>
      <c r="D101" s="202"/>
    </row>
    <row r="102" spans="1:8" s="2" customFormat="1" ht="15" customHeight="1">
      <c r="A102" s="2">
        <v>17</v>
      </c>
      <c r="B102" s="201"/>
      <c r="C102" s="202"/>
      <c r="D102" s="202"/>
    </row>
    <row r="103" spans="1:8" s="2" customFormat="1" ht="15" customHeight="1">
      <c r="A103" s="2">
        <v>18</v>
      </c>
      <c r="B103" s="201"/>
      <c r="C103" s="202"/>
      <c r="D103" s="202"/>
    </row>
    <row r="104" spans="1:8" s="2" customFormat="1" ht="15" customHeight="1">
      <c r="A104" s="2">
        <v>19</v>
      </c>
      <c r="B104" s="201"/>
      <c r="C104" s="202"/>
      <c r="D104" s="202"/>
    </row>
    <row r="105" spans="1:8" s="2" customFormat="1" ht="15" customHeight="1">
      <c r="A105" s="2">
        <v>20</v>
      </c>
      <c r="B105" s="201"/>
      <c r="C105" s="202"/>
      <c r="D105" s="202"/>
    </row>
    <row r="106" spans="1:8" s="2" customFormat="1" ht="15" customHeight="1">
      <c r="B106" s="201" t="s">
        <v>2</v>
      </c>
      <c r="C106" s="203">
        <f>SUM(C86:C105)</f>
        <v>0</v>
      </c>
      <c r="D106" s="203">
        <f>SUM(D86:D105)</f>
        <v>0</v>
      </c>
    </row>
    <row r="107" spans="1:8" s="2" customFormat="1" ht="15" customHeight="1">
      <c r="B107" s="201" t="s">
        <v>536</v>
      </c>
      <c r="C107" s="203"/>
      <c r="D107" s="203"/>
    </row>
    <row r="108" spans="1:8" s="2" customFormat="1" ht="15" customHeight="1">
      <c r="B108" s="204" t="s">
        <v>533</v>
      </c>
      <c r="C108" s="202"/>
      <c r="D108" s="202"/>
    </row>
    <row r="109" spans="1:8" s="2" customFormat="1" ht="15" customHeight="1">
      <c r="B109" s="190"/>
    </row>
    <row r="110" spans="1:8" s="2" customFormat="1" ht="15" customHeight="1">
      <c r="B110" s="190"/>
    </row>
    <row r="111" spans="1:8" s="2" customFormat="1" ht="15" customHeight="1">
      <c r="B111" s="190"/>
    </row>
    <row r="112" spans="1:8" s="2" customFormat="1" ht="15" customHeight="1">
      <c r="B112" s="199" t="s">
        <v>515</v>
      </c>
      <c r="C112" s="899" t="s">
        <v>104</v>
      </c>
      <c r="D112" s="899"/>
      <c r="E112" s="900" t="s">
        <v>529</v>
      </c>
      <c r="F112" s="900"/>
      <c r="G112" s="900" t="s">
        <v>530</v>
      </c>
      <c r="H112" s="900"/>
    </row>
    <row r="113" spans="2:8" s="2" customFormat="1" ht="15" customHeight="1">
      <c r="B113" s="199"/>
      <c r="C113" s="200" t="s">
        <v>528</v>
      </c>
      <c r="D113" s="200" t="s">
        <v>492</v>
      </c>
      <c r="E113" s="200" t="s">
        <v>528</v>
      </c>
      <c r="F113" s="200" t="s">
        <v>492</v>
      </c>
      <c r="G113" s="200" t="s">
        <v>528</v>
      </c>
      <c r="H113" s="200" t="s">
        <v>492</v>
      </c>
    </row>
    <row r="114" spans="2:8" s="2" customFormat="1" ht="15" customHeight="1">
      <c r="B114" s="201" t="s">
        <v>516</v>
      </c>
      <c r="C114" s="202"/>
      <c r="D114" s="202"/>
      <c r="E114" s="202"/>
      <c r="F114" s="202"/>
      <c r="G114" s="202"/>
      <c r="H114" s="202"/>
    </row>
    <row r="115" spans="2:8" s="2" customFormat="1" ht="15" customHeight="1">
      <c r="B115" s="201" t="s">
        <v>517</v>
      </c>
      <c r="C115" s="202"/>
      <c r="D115" s="202"/>
      <c r="E115" s="202"/>
      <c r="F115" s="202"/>
      <c r="G115" s="202"/>
      <c r="H115" s="202"/>
    </row>
    <row r="116" spans="2:8" s="2" customFormat="1" ht="14.4">
      <c r="B116" s="201" t="s">
        <v>518</v>
      </c>
      <c r="C116" s="202"/>
      <c r="D116" s="202"/>
      <c r="E116" s="202"/>
      <c r="F116" s="202"/>
      <c r="G116" s="202"/>
      <c r="H116" s="202"/>
    </row>
    <row r="117" spans="2:8" s="2" customFormat="1" ht="14.4">
      <c r="B117" s="201" t="s">
        <v>519</v>
      </c>
      <c r="C117" s="202"/>
      <c r="D117" s="202"/>
      <c r="E117" s="202"/>
      <c r="F117" s="202"/>
      <c r="G117" s="202"/>
      <c r="H117" s="202"/>
    </row>
    <row r="118" spans="2:8" s="2" customFormat="1" ht="14.4">
      <c r="B118" s="201" t="s">
        <v>520</v>
      </c>
      <c r="C118" s="202"/>
      <c r="D118" s="202"/>
      <c r="E118" s="202"/>
      <c r="F118" s="202"/>
      <c r="G118" s="202"/>
      <c r="H118" s="202"/>
    </row>
    <row r="119" spans="2:8" s="2" customFormat="1" ht="14.4">
      <c r="B119" s="201" t="s">
        <v>521</v>
      </c>
      <c r="C119" s="202"/>
      <c r="D119" s="202"/>
      <c r="E119" s="202"/>
      <c r="F119" s="202"/>
      <c r="G119" s="202"/>
      <c r="H119" s="202"/>
    </row>
    <row r="120" spans="2:8" s="2" customFormat="1" ht="14.4">
      <c r="B120" s="201" t="s">
        <v>522</v>
      </c>
      <c r="C120" s="202"/>
      <c r="D120" s="202"/>
      <c r="E120" s="202"/>
      <c r="F120" s="202"/>
      <c r="G120" s="202"/>
      <c r="H120" s="202"/>
    </row>
    <row r="121" spans="2:8" s="2" customFormat="1" ht="14.4">
      <c r="B121" s="201" t="s">
        <v>523</v>
      </c>
      <c r="C121" s="202"/>
      <c r="D121" s="202"/>
      <c r="E121" s="202"/>
      <c r="F121" s="202"/>
      <c r="G121" s="202"/>
      <c r="H121" s="202"/>
    </row>
    <row r="122" spans="2:8" s="2" customFormat="1" ht="14.4">
      <c r="B122" s="201" t="s">
        <v>524</v>
      </c>
      <c r="C122" s="202"/>
      <c r="D122" s="202"/>
      <c r="E122" s="202"/>
      <c r="F122" s="202"/>
      <c r="G122" s="202"/>
      <c r="H122" s="202"/>
    </row>
    <row r="123" spans="2:8" s="2" customFormat="1" ht="14.4">
      <c r="B123" s="201" t="s">
        <v>525</v>
      </c>
      <c r="C123" s="202"/>
      <c r="D123" s="202"/>
      <c r="E123" s="202"/>
      <c r="F123" s="202"/>
      <c r="G123" s="202"/>
      <c r="H123" s="202"/>
    </row>
    <row r="124" spans="2:8" s="2" customFormat="1" ht="14.4">
      <c r="B124" s="201" t="s">
        <v>526</v>
      </c>
      <c r="C124" s="202"/>
      <c r="D124" s="202"/>
      <c r="E124" s="202"/>
      <c r="F124" s="202"/>
      <c r="G124" s="202"/>
      <c r="H124" s="202"/>
    </row>
    <row r="125" spans="2:8" s="2" customFormat="1" ht="14.4">
      <c r="B125" s="201" t="s">
        <v>527</v>
      </c>
      <c r="C125" s="202"/>
      <c r="D125" s="202"/>
      <c r="E125" s="202"/>
      <c r="F125" s="202"/>
      <c r="G125" s="202"/>
      <c r="H125" s="202"/>
    </row>
    <row r="126" spans="2:8" s="2" customFormat="1"/>
    <row r="127" spans="2:8" s="2" customFormat="1"/>
    <row r="128" spans="2:8" s="2" customFormat="1"/>
    <row r="129" spans="2:6" s="2" customFormat="1"/>
    <row r="130" spans="2:6" s="2" customFormat="1" ht="13.8">
      <c r="B130" s="5" t="s">
        <v>540</v>
      </c>
    </row>
    <row r="131" spans="2:6" s="2" customFormat="1"/>
    <row r="132" spans="2:6" s="2" customFormat="1" ht="14.4">
      <c r="B132" s="199"/>
      <c r="C132" s="899" t="s">
        <v>543</v>
      </c>
      <c r="D132" s="899"/>
      <c r="E132" s="899" t="s">
        <v>542</v>
      </c>
      <c r="F132" s="899"/>
    </row>
    <row r="133" spans="2:6" s="2" customFormat="1" ht="14.4">
      <c r="B133" s="199"/>
      <c r="C133" s="200" t="s">
        <v>528</v>
      </c>
      <c r="D133" s="200" t="s">
        <v>492</v>
      </c>
      <c r="E133" s="200" t="s">
        <v>528</v>
      </c>
      <c r="F133" s="200" t="s">
        <v>492</v>
      </c>
    </row>
    <row r="134" spans="2:6" s="2" customFormat="1" ht="14.4">
      <c r="B134" s="201" t="s">
        <v>541</v>
      </c>
      <c r="C134" s="202"/>
      <c r="D134" s="202"/>
      <c r="E134" s="202"/>
      <c r="F134" s="202"/>
    </row>
    <row r="135" spans="2:6" s="2" customFormat="1">
      <c r="B135" s="202" t="s">
        <v>544</v>
      </c>
      <c r="C135" s="202"/>
      <c r="D135" s="202"/>
      <c r="E135" s="202"/>
      <c r="F135" s="202"/>
    </row>
    <row r="136" spans="2:6" s="2" customFormat="1"/>
    <row r="137" spans="2:6" s="2" customFormat="1"/>
    <row r="138" spans="2:6" s="2" customFormat="1"/>
    <row r="139" spans="2:6" s="2" customFormat="1"/>
    <row r="140" spans="2:6" s="2" customFormat="1"/>
    <row r="141" spans="2:6" s="2" customFormat="1"/>
    <row r="142" spans="2:6" s="2" customFormat="1"/>
    <row r="143" spans="2:6" s="2" customFormat="1"/>
    <row r="144" spans="2:6" s="2" customFormat="1"/>
    <row r="145" s="2" customFormat="1"/>
    <row r="146" s="2" customFormat="1"/>
    <row r="147" s="2" customFormat="1"/>
    <row r="148" s="2" customFormat="1"/>
    <row r="149" s="2" customFormat="1"/>
    <row r="150" s="2" customFormat="1"/>
    <row r="151" s="2" customFormat="1"/>
    <row r="152" s="2" customFormat="1"/>
    <row r="153" s="2" customFormat="1"/>
    <row r="154" s="2" customFormat="1"/>
    <row r="155" s="2" customFormat="1"/>
    <row r="156" s="2" customFormat="1"/>
    <row r="157" s="2" customFormat="1"/>
    <row r="158" s="2" customFormat="1"/>
    <row r="159" s="2" customFormat="1"/>
    <row r="160" s="2" customFormat="1"/>
    <row r="161" s="2" customFormat="1"/>
    <row r="162" s="2" customFormat="1"/>
    <row r="163" s="2" customFormat="1"/>
    <row r="164" s="2" customFormat="1"/>
    <row r="165" s="2" customFormat="1"/>
    <row r="166" s="2" customFormat="1"/>
    <row r="167" s="2" customFormat="1"/>
    <row r="168" s="2" customFormat="1"/>
    <row r="169" s="2" customFormat="1"/>
    <row r="170" s="2" customFormat="1"/>
    <row r="171" s="2" customFormat="1"/>
    <row r="172" s="2" customFormat="1"/>
    <row r="173" s="2" customFormat="1"/>
    <row r="174" s="2" customFormat="1"/>
    <row r="175" s="2" customFormat="1"/>
    <row r="176" s="2" customFormat="1"/>
    <row r="177" s="2" customFormat="1"/>
    <row r="178" s="2" customFormat="1"/>
    <row r="179" s="2" customFormat="1"/>
    <row r="180" s="2" customFormat="1"/>
    <row r="181" s="2" customFormat="1"/>
    <row r="182" s="2" customFormat="1"/>
    <row r="183" s="2" customFormat="1"/>
    <row r="184" s="2" customFormat="1"/>
    <row r="185" s="2" customFormat="1"/>
    <row r="186" s="2" customFormat="1"/>
    <row r="187" s="2" customFormat="1"/>
    <row r="188" s="2" customFormat="1"/>
    <row r="189" s="2" customFormat="1"/>
    <row r="190" s="2" customFormat="1"/>
    <row r="191" s="2" customFormat="1"/>
    <row r="192" s="2" customFormat="1"/>
    <row r="193" s="2" customFormat="1"/>
    <row r="194" s="2" customFormat="1"/>
    <row r="195" s="2" customFormat="1"/>
    <row r="196" s="2" customFormat="1"/>
    <row r="197" s="2" customFormat="1"/>
    <row r="198" s="2" customFormat="1"/>
    <row r="199" s="2" customFormat="1"/>
    <row r="200" s="2" customFormat="1"/>
    <row r="201" s="2" customFormat="1"/>
    <row r="202" s="2" customFormat="1"/>
    <row r="203" s="2" customFormat="1"/>
    <row r="204" s="2" customFormat="1"/>
    <row r="205" s="2" customFormat="1"/>
    <row r="206" s="2" customFormat="1"/>
    <row r="207" s="2" customFormat="1"/>
    <row r="208" s="2" customFormat="1"/>
    <row r="209" s="2" customFormat="1"/>
    <row r="210" s="2" customFormat="1"/>
    <row r="211" s="2" customFormat="1"/>
    <row r="212" s="2" customFormat="1"/>
    <row r="213" s="2" customFormat="1"/>
    <row r="214" s="2" customFormat="1"/>
    <row r="215" s="2" customFormat="1"/>
    <row r="216" s="2" customFormat="1"/>
    <row r="217" s="2" customFormat="1"/>
    <row r="218" s="2" customFormat="1"/>
    <row r="219" s="2" customFormat="1"/>
    <row r="220" s="2" customFormat="1"/>
    <row r="221" s="2" customFormat="1"/>
    <row r="222" s="2" customFormat="1"/>
    <row r="223" s="2" customFormat="1"/>
    <row r="224" s="2" customFormat="1"/>
    <row r="225" s="2" customFormat="1"/>
    <row r="226" s="2" customFormat="1"/>
    <row r="227" s="2" customFormat="1"/>
    <row r="228" s="2" customFormat="1"/>
    <row r="229" s="2" customFormat="1"/>
    <row r="230" s="2" customFormat="1"/>
    <row r="231" s="2" customFormat="1"/>
    <row r="232" s="2" customFormat="1"/>
    <row r="233" s="2" customFormat="1"/>
    <row r="234" s="2" customFormat="1"/>
    <row r="235" s="2" customFormat="1"/>
    <row r="236" s="2" customFormat="1"/>
    <row r="237" s="2" customFormat="1"/>
    <row r="238" s="2" customFormat="1"/>
  </sheetData>
  <mergeCells count="17">
    <mergeCell ref="G7:K7"/>
    <mergeCell ref="L7:P7"/>
    <mergeCell ref="D7:F7"/>
    <mergeCell ref="G23:K23"/>
    <mergeCell ref="L23:P23"/>
    <mergeCell ref="D23:F23"/>
    <mergeCell ref="C132:D132"/>
    <mergeCell ref="E132:F132"/>
    <mergeCell ref="C112:D112"/>
    <mergeCell ref="E112:F112"/>
    <mergeCell ref="G112:H112"/>
    <mergeCell ref="D37:F37"/>
    <mergeCell ref="G37:K37"/>
    <mergeCell ref="L37:P37"/>
    <mergeCell ref="D64:F64"/>
    <mergeCell ref="G64:K64"/>
    <mergeCell ref="L64:P64"/>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H49"/>
  <sheetViews>
    <sheetView topLeftCell="A31" zoomScaleNormal="100" workbookViewId="0">
      <selection activeCell="B39" sqref="B39"/>
    </sheetView>
  </sheetViews>
  <sheetFormatPr defaultColWidth="9.109375" defaultRowHeight="14.4"/>
  <cols>
    <col min="1" max="1" width="6.109375" style="136" customWidth="1"/>
    <col min="2" max="2" width="29.109375" style="136" customWidth="1"/>
    <col min="3" max="16384" width="9.109375" style="136"/>
  </cols>
  <sheetData>
    <row r="1" spans="1:34" ht="8.25" customHeight="1"/>
    <row r="2" spans="1:34">
      <c r="B2" s="2"/>
      <c r="C2" s="908" t="str">
        <f>NOTES!D7</f>
        <v>XXXX CO-OPERATIVE CREDIT UNION LTD.</v>
      </c>
      <c r="D2" s="909"/>
      <c r="E2" s="909"/>
      <c r="F2" s="909"/>
      <c r="G2" s="909"/>
      <c r="H2" s="909"/>
      <c r="I2" s="909"/>
      <c r="J2" s="909"/>
    </row>
    <row r="3" spans="1:34">
      <c r="B3" s="2"/>
      <c r="C3" s="908"/>
      <c r="D3" s="909"/>
      <c r="E3" s="909"/>
      <c r="F3" s="909"/>
      <c r="G3" s="909"/>
      <c r="H3" s="909"/>
      <c r="I3" s="909"/>
      <c r="J3" s="909"/>
    </row>
    <row r="4" spans="1:34">
      <c r="B4" s="2"/>
      <c r="C4" s="2"/>
      <c r="D4" s="2"/>
      <c r="E4" s="2"/>
      <c r="F4" s="2"/>
      <c r="G4" s="2"/>
      <c r="H4" s="2"/>
    </row>
    <row r="5" spans="1:34">
      <c r="B5" s="2"/>
      <c r="C5" s="2"/>
      <c r="D5" s="2"/>
      <c r="E5" s="3" t="s">
        <v>0</v>
      </c>
      <c r="F5" s="325">
        <f>NOTES!F5</f>
        <v>0</v>
      </c>
      <c r="G5" s="325"/>
      <c r="H5" s="2"/>
    </row>
    <row r="6" spans="1:34">
      <c r="B6" s="2"/>
      <c r="C6" s="2"/>
      <c r="D6" s="2"/>
      <c r="E6" s="2"/>
      <c r="F6" s="2"/>
      <c r="G6" s="2"/>
      <c r="H6" s="2"/>
    </row>
    <row r="7" spans="1:34" ht="21.75" customHeight="1">
      <c r="B7" s="4" t="s">
        <v>1</v>
      </c>
      <c r="C7" s="1"/>
      <c r="D7" s="1"/>
      <c r="E7" s="1"/>
      <c r="F7" s="905">
        <v>42734</v>
      </c>
      <c r="G7" s="905"/>
      <c r="H7" s="1"/>
    </row>
    <row r="8" spans="1:34" ht="21.75" customHeight="1">
      <c r="B8" s="4"/>
      <c r="C8" s="1"/>
      <c r="D8" s="1"/>
      <c r="E8" s="1"/>
      <c r="F8" s="140"/>
      <c r="G8" s="140"/>
      <c r="H8" s="1"/>
    </row>
    <row r="9" spans="1:34">
      <c r="A9" s="180" t="s">
        <v>554</v>
      </c>
      <c r="B9" s="137" t="s">
        <v>538</v>
      </c>
      <c r="C9" s="140"/>
    </row>
    <row r="10" spans="1:34">
      <c r="B10" s="180" t="s">
        <v>468</v>
      </c>
      <c r="C10" s="184">
        <v>1</v>
      </c>
      <c r="D10" s="184">
        <v>2</v>
      </c>
      <c r="E10" s="184">
        <v>3</v>
      </c>
      <c r="F10" s="184">
        <v>4</v>
      </c>
      <c r="G10" s="184">
        <v>5</v>
      </c>
      <c r="H10" s="184">
        <v>6</v>
      </c>
      <c r="I10" s="184">
        <v>7</v>
      </c>
      <c r="J10" s="184">
        <v>8</v>
      </c>
      <c r="K10" s="184">
        <v>9</v>
      </c>
      <c r="L10" s="184">
        <v>10</v>
      </c>
      <c r="M10" s="184">
        <v>11</v>
      </c>
      <c r="N10" s="184">
        <v>12</v>
      </c>
      <c r="O10" s="184">
        <v>13</v>
      </c>
      <c r="P10" s="184">
        <v>14</v>
      </c>
      <c r="Q10" s="184">
        <v>15</v>
      </c>
      <c r="R10" s="184">
        <v>16</v>
      </c>
      <c r="S10" s="184">
        <v>17</v>
      </c>
      <c r="T10" s="184">
        <v>18</v>
      </c>
      <c r="U10" s="184">
        <v>19</v>
      </c>
      <c r="V10" s="184">
        <v>20</v>
      </c>
      <c r="W10" s="184">
        <v>21</v>
      </c>
      <c r="X10" s="184">
        <v>22</v>
      </c>
      <c r="Y10" s="184">
        <v>23</v>
      </c>
      <c r="Z10" s="184">
        <v>24</v>
      </c>
      <c r="AA10" s="184">
        <v>25</v>
      </c>
      <c r="AB10" s="184">
        <v>26</v>
      </c>
      <c r="AC10" s="184">
        <v>27</v>
      </c>
      <c r="AD10" s="184">
        <v>28</v>
      </c>
      <c r="AE10" s="184">
        <v>29</v>
      </c>
      <c r="AF10" s="184">
        <v>30</v>
      </c>
      <c r="AG10" s="184">
        <v>31</v>
      </c>
      <c r="AH10" s="184" t="s">
        <v>469</v>
      </c>
    </row>
    <row r="11" spans="1:34">
      <c r="B11" s="137" t="s">
        <v>490</v>
      </c>
      <c r="C11" s="185" t="s">
        <v>492</v>
      </c>
      <c r="D11" s="185" t="s">
        <v>492</v>
      </c>
      <c r="E11" s="185" t="s">
        <v>492</v>
      </c>
      <c r="F11" s="185" t="s">
        <v>492</v>
      </c>
      <c r="G11" s="185" t="s">
        <v>492</v>
      </c>
      <c r="H11" s="185" t="s">
        <v>492</v>
      </c>
      <c r="I11" s="185" t="s">
        <v>492</v>
      </c>
      <c r="J11" s="185" t="s">
        <v>492</v>
      </c>
      <c r="K11" s="185" t="s">
        <v>492</v>
      </c>
      <c r="L11" s="185" t="s">
        <v>492</v>
      </c>
      <c r="M11" s="185" t="s">
        <v>492</v>
      </c>
      <c r="N11" s="185" t="s">
        <v>492</v>
      </c>
      <c r="O11" s="185" t="s">
        <v>492</v>
      </c>
      <c r="P11" s="185" t="s">
        <v>492</v>
      </c>
      <c r="Q11" s="185" t="s">
        <v>492</v>
      </c>
      <c r="R11" s="185" t="s">
        <v>492</v>
      </c>
      <c r="S11" s="185" t="s">
        <v>492</v>
      </c>
      <c r="T11" s="185" t="s">
        <v>492</v>
      </c>
      <c r="U11" s="185" t="s">
        <v>492</v>
      </c>
      <c r="V11" s="185" t="s">
        <v>492</v>
      </c>
      <c r="W11" s="185" t="s">
        <v>492</v>
      </c>
      <c r="X11" s="185" t="s">
        <v>492</v>
      </c>
      <c r="Y11" s="185" t="s">
        <v>492</v>
      </c>
      <c r="Z11" s="185" t="s">
        <v>492</v>
      </c>
      <c r="AA11" s="185" t="s">
        <v>492</v>
      </c>
      <c r="AB11" s="185" t="s">
        <v>492</v>
      </c>
      <c r="AC11" s="185" t="s">
        <v>492</v>
      </c>
      <c r="AD11" s="185" t="s">
        <v>492</v>
      </c>
      <c r="AE11" s="185" t="s">
        <v>492</v>
      </c>
      <c r="AF11" s="185" t="s">
        <v>492</v>
      </c>
      <c r="AG11" s="185" t="s">
        <v>492</v>
      </c>
      <c r="AH11" s="185" t="s">
        <v>492</v>
      </c>
    </row>
    <row r="12" spans="1:34">
      <c r="B12" s="136" t="s">
        <v>470</v>
      </c>
      <c r="AH12" s="136" t="e">
        <f>AVERAGE(C12:AG12)</f>
        <v>#DIV/0!</v>
      </c>
    </row>
    <row r="13" spans="1:34">
      <c r="B13" s="481" t="s">
        <v>858</v>
      </c>
      <c r="AH13" s="136" t="e">
        <f t="shared" ref="AH13:AH16" si="0">AVERAGE(C13:AG13)</f>
        <v>#DIV/0!</v>
      </c>
    </row>
    <row r="14" spans="1:34">
      <c r="B14" s="181" t="s">
        <v>493</v>
      </c>
      <c r="AH14" s="136" t="e">
        <f t="shared" si="0"/>
        <v>#DIV/0!</v>
      </c>
    </row>
    <row r="15" spans="1:34">
      <c r="B15" s="181" t="s">
        <v>507</v>
      </c>
      <c r="AH15" s="136" t="e">
        <f>AVERAGE(C15:AG15)</f>
        <v>#DIV/0!</v>
      </c>
    </row>
    <row r="16" spans="1:34">
      <c r="B16" s="181" t="s">
        <v>420</v>
      </c>
      <c r="C16" s="179"/>
      <c r="D16" s="179"/>
      <c r="E16" s="179"/>
      <c r="F16" s="179"/>
      <c r="G16" s="179"/>
      <c r="H16" s="179"/>
      <c r="I16" s="179"/>
      <c r="J16" s="179"/>
      <c r="K16" s="179"/>
      <c r="L16" s="179"/>
      <c r="M16" s="179"/>
      <c r="N16" s="179"/>
      <c r="O16" s="179"/>
      <c r="P16" s="179"/>
      <c r="Q16" s="179"/>
      <c r="R16" s="179"/>
      <c r="S16" s="179"/>
      <c r="T16" s="179"/>
      <c r="U16" s="179"/>
      <c r="V16" s="179"/>
      <c r="W16" s="179"/>
      <c r="X16" s="179"/>
      <c r="Y16" s="179"/>
      <c r="Z16" s="179"/>
      <c r="AA16" s="179"/>
      <c r="AB16" s="179"/>
      <c r="AC16" s="179"/>
      <c r="AD16" s="179"/>
      <c r="AE16" s="179"/>
      <c r="AF16" s="179"/>
      <c r="AG16" s="179"/>
      <c r="AH16" s="136" t="e">
        <f t="shared" si="0"/>
        <v>#DIV/0!</v>
      </c>
    </row>
    <row r="17" spans="2:34">
      <c r="B17" s="183" t="s">
        <v>471</v>
      </c>
      <c r="C17" s="137">
        <f>SUM(C12:C15)</f>
        <v>0</v>
      </c>
      <c r="D17" s="137">
        <f t="shared" ref="D17:AH17" si="1">SUM(D12:D15)</f>
        <v>0</v>
      </c>
      <c r="E17" s="137">
        <f t="shared" si="1"/>
        <v>0</v>
      </c>
      <c r="F17" s="137">
        <f t="shared" si="1"/>
        <v>0</v>
      </c>
      <c r="G17" s="137">
        <f t="shared" si="1"/>
        <v>0</v>
      </c>
      <c r="H17" s="137">
        <f t="shared" si="1"/>
        <v>0</v>
      </c>
      <c r="I17" s="137">
        <f t="shared" si="1"/>
        <v>0</v>
      </c>
      <c r="J17" s="137">
        <f t="shared" si="1"/>
        <v>0</v>
      </c>
      <c r="K17" s="137">
        <f t="shared" si="1"/>
        <v>0</v>
      </c>
      <c r="L17" s="137">
        <f t="shared" si="1"/>
        <v>0</v>
      </c>
      <c r="M17" s="137">
        <f t="shared" si="1"/>
        <v>0</v>
      </c>
      <c r="N17" s="137">
        <f t="shared" si="1"/>
        <v>0</v>
      </c>
      <c r="O17" s="137">
        <f t="shared" si="1"/>
        <v>0</v>
      </c>
      <c r="P17" s="137">
        <f t="shared" si="1"/>
        <v>0</v>
      </c>
      <c r="Q17" s="137">
        <f t="shared" si="1"/>
        <v>0</v>
      </c>
      <c r="R17" s="137">
        <f t="shared" si="1"/>
        <v>0</v>
      </c>
      <c r="S17" s="137">
        <f t="shared" si="1"/>
        <v>0</v>
      </c>
      <c r="T17" s="137">
        <f t="shared" si="1"/>
        <v>0</v>
      </c>
      <c r="U17" s="137">
        <f t="shared" si="1"/>
        <v>0</v>
      </c>
      <c r="V17" s="137">
        <f t="shared" si="1"/>
        <v>0</v>
      </c>
      <c r="W17" s="137">
        <f t="shared" si="1"/>
        <v>0</v>
      </c>
      <c r="X17" s="137">
        <f t="shared" si="1"/>
        <v>0</v>
      </c>
      <c r="Y17" s="137">
        <f t="shared" si="1"/>
        <v>0</v>
      </c>
      <c r="Z17" s="137">
        <f t="shared" si="1"/>
        <v>0</v>
      </c>
      <c r="AA17" s="137">
        <f t="shared" si="1"/>
        <v>0</v>
      </c>
      <c r="AB17" s="137">
        <f t="shared" si="1"/>
        <v>0</v>
      </c>
      <c r="AC17" s="137">
        <f t="shared" si="1"/>
        <v>0</v>
      </c>
      <c r="AD17" s="137">
        <f t="shared" si="1"/>
        <v>0</v>
      </c>
      <c r="AE17" s="137">
        <f t="shared" si="1"/>
        <v>0</v>
      </c>
      <c r="AF17" s="137">
        <f t="shared" si="1"/>
        <v>0</v>
      </c>
      <c r="AG17" s="137">
        <f t="shared" ref="AG17" si="2">SUM(AG12:AG15)</f>
        <v>0</v>
      </c>
      <c r="AH17" s="137" t="e">
        <f t="shared" si="1"/>
        <v>#DIV/0!</v>
      </c>
    </row>
    <row r="18" spans="2:34">
      <c r="B18" s="137" t="s">
        <v>491</v>
      </c>
    </row>
    <row r="19" spans="2:34">
      <c r="B19" s="136" t="s">
        <v>472</v>
      </c>
      <c r="AH19" s="136" t="e">
        <f t="shared" ref="AH19:AH20" si="3">AVERAGE(C19:AF19)</f>
        <v>#DIV/0!</v>
      </c>
    </row>
    <row r="20" spans="2:34">
      <c r="B20" s="181" t="s">
        <v>494</v>
      </c>
      <c r="C20" s="138"/>
      <c r="D20" s="138"/>
      <c r="E20" s="138"/>
      <c r="F20" s="138"/>
      <c r="G20" s="138"/>
      <c r="H20" s="138"/>
      <c r="I20" s="138"/>
      <c r="J20" s="138"/>
      <c r="K20" s="138"/>
      <c r="L20" s="138"/>
      <c r="M20" s="138"/>
      <c r="N20" s="138"/>
      <c r="AH20" s="136" t="e">
        <f t="shared" si="3"/>
        <v>#DIV/0!</v>
      </c>
    </row>
    <row r="21" spans="2:34">
      <c r="B21" s="137" t="s">
        <v>473</v>
      </c>
      <c r="C21" s="139">
        <f>C19+C20</f>
        <v>0</v>
      </c>
      <c r="D21" s="139">
        <f t="shared" ref="D21:AH21" si="4">D19+D20</f>
        <v>0</v>
      </c>
      <c r="E21" s="139">
        <f t="shared" si="4"/>
        <v>0</v>
      </c>
      <c r="F21" s="139">
        <f t="shared" si="4"/>
        <v>0</v>
      </c>
      <c r="G21" s="139">
        <f t="shared" si="4"/>
        <v>0</v>
      </c>
      <c r="H21" s="139">
        <f t="shared" si="4"/>
        <v>0</v>
      </c>
      <c r="I21" s="139">
        <f t="shared" si="4"/>
        <v>0</v>
      </c>
      <c r="J21" s="139">
        <f t="shared" si="4"/>
        <v>0</v>
      </c>
      <c r="K21" s="139">
        <f t="shared" si="4"/>
        <v>0</v>
      </c>
      <c r="L21" s="139">
        <f t="shared" si="4"/>
        <v>0</v>
      </c>
      <c r="M21" s="139">
        <f t="shared" si="4"/>
        <v>0</v>
      </c>
      <c r="N21" s="139">
        <f t="shared" si="4"/>
        <v>0</v>
      </c>
      <c r="O21" s="139">
        <f t="shared" si="4"/>
        <v>0</v>
      </c>
      <c r="P21" s="139">
        <f t="shared" si="4"/>
        <v>0</v>
      </c>
      <c r="Q21" s="139">
        <f t="shared" si="4"/>
        <v>0</v>
      </c>
      <c r="R21" s="139">
        <f t="shared" si="4"/>
        <v>0</v>
      </c>
      <c r="S21" s="139">
        <f t="shared" si="4"/>
        <v>0</v>
      </c>
      <c r="T21" s="139">
        <f t="shared" si="4"/>
        <v>0</v>
      </c>
      <c r="U21" s="139">
        <f t="shared" si="4"/>
        <v>0</v>
      </c>
      <c r="V21" s="139">
        <f t="shared" si="4"/>
        <v>0</v>
      </c>
      <c r="W21" s="139">
        <f t="shared" si="4"/>
        <v>0</v>
      </c>
      <c r="X21" s="139">
        <f t="shared" si="4"/>
        <v>0</v>
      </c>
      <c r="Y21" s="139">
        <f t="shared" si="4"/>
        <v>0</v>
      </c>
      <c r="Z21" s="139">
        <f t="shared" si="4"/>
        <v>0</v>
      </c>
      <c r="AA21" s="139">
        <f t="shared" si="4"/>
        <v>0</v>
      </c>
      <c r="AB21" s="139">
        <f t="shared" si="4"/>
        <v>0</v>
      </c>
      <c r="AC21" s="139">
        <f t="shared" si="4"/>
        <v>0</v>
      </c>
      <c r="AD21" s="139">
        <f t="shared" si="4"/>
        <v>0</v>
      </c>
      <c r="AE21" s="139">
        <f t="shared" si="4"/>
        <v>0</v>
      </c>
      <c r="AF21" s="139">
        <f t="shared" si="4"/>
        <v>0</v>
      </c>
      <c r="AG21" s="139">
        <f t="shared" ref="AG21" si="5">AG19+AG20</f>
        <v>0</v>
      </c>
      <c r="AH21" s="139" t="e">
        <f t="shared" si="4"/>
        <v>#DIV/0!</v>
      </c>
    </row>
    <row r="22" spans="2:34">
      <c r="B22" s="181" t="s">
        <v>495</v>
      </c>
      <c r="C22" s="137"/>
      <c r="D22" s="137"/>
      <c r="E22" s="137"/>
      <c r="F22" s="137"/>
      <c r="G22" s="137"/>
      <c r="H22" s="137"/>
      <c r="I22" s="137"/>
      <c r="J22" s="137"/>
      <c r="K22" s="137"/>
      <c r="L22" s="137"/>
      <c r="M22" s="137"/>
      <c r="N22" s="137"/>
      <c r="O22" s="137"/>
      <c r="P22" s="137"/>
      <c r="Q22" s="137"/>
      <c r="R22" s="137"/>
      <c r="S22" s="137"/>
      <c r="T22" s="137"/>
      <c r="U22" s="137"/>
      <c r="V22" s="137"/>
      <c r="W22" s="137"/>
      <c r="X22" s="137"/>
      <c r="Y22" s="137"/>
      <c r="Z22" s="137"/>
      <c r="AA22" s="137"/>
      <c r="AB22" s="137"/>
      <c r="AC22" s="137"/>
      <c r="AD22" s="137"/>
      <c r="AE22" s="137"/>
      <c r="AF22" s="137"/>
      <c r="AG22" s="137"/>
      <c r="AH22" s="136" t="e">
        <f t="shared" ref="AH22:AH31" si="6">AVERAGE(C22:AF22)</f>
        <v>#DIV/0!</v>
      </c>
    </row>
    <row r="23" spans="2:34">
      <c r="B23" s="181" t="s">
        <v>506</v>
      </c>
      <c r="C23" s="181"/>
      <c r="D23" s="181"/>
      <c r="E23" s="181"/>
      <c r="F23" s="181"/>
      <c r="G23" s="181"/>
      <c r="H23" s="137"/>
      <c r="I23" s="137"/>
      <c r="J23" s="137"/>
      <c r="K23" s="137"/>
      <c r="L23" s="137"/>
      <c r="M23" s="137"/>
      <c r="N23" s="137"/>
      <c r="O23" s="137"/>
      <c r="P23" s="137"/>
      <c r="Q23" s="137"/>
      <c r="R23" s="137"/>
      <c r="S23" s="137"/>
      <c r="T23" s="137"/>
      <c r="U23" s="137"/>
      <c r="V23" s="137"/>
      <c r="W23" s="137"/>
      <c r="X23" s="137"/>
      <c r="Y23" s="137"/>
      <c r="Z23" s="137"/>
      <c r="AA23" s="137"/>
      <c r="AB23" s="137"/>
      <c r="AC23" s="137"/>
      <c r="AD23" s="137"/>
      <c r="AE23" s="137"/>
      <c r="AF23" s="137"/>
      <c r="AG23" s="137"/>
      <c r="AH23" s="136" t="e">
        <f t="shared" si="6"/>
        <v>#DIV/0!</v>
      </c>
    </row>
    <row r="24" spans="2:34">
      <c r="B24" s="181" t="s">
        <v>496</v>
      </c>
      <c r="C24" s="137"/>
      <c r="D24" s="137"/>
      <c r="E24" s="137"/>
      <c r="F24" s="137"/>
      <c r="G24" s="137"/>
      <c r="H24" s="137"/>
      <c r="I24" s="137"/>
      <c r="J24" s="137"/>
      <c r="K24" s="137"/>
      <c r="L24" s="137"/>
      <c r="M24" s="137"/>
      <c r="N24" s="137"/>
      <c r="O24" s="137"/>
      <c r="P24" s="137"/>
      <c r="Q24" s="137"/>
      <c r="R24" s="137"/>
      <c r="S24" s="137"/>
      <c r="T24" s="137"/>
      <c r="U24" s="137"/>
      <c r="V24" s="137"/>
      <c r="W24" s="137"/>
      <c r="X24" s="137"/>
      <c r="Y24" s="137"/>
      <c r="Z24" s="137"/>
      <c r="AA24" s="137"/>
      <c r="AB24" s="137"/>
      <c r="AC24" s="137"/>
      <c r="AD24" s="137"/>
      <c r="AE24" s="137"/>
      <c r="AF24" s="137"/>
      <c r="AG24" s="137"/>
      <c r="AH24" s="136" t="e">
        <f t="shared" si="6"/>
        <v>#DIV/0!</v>
      </c>
    </row>
    <row r="25" spans="2:34">
      <c r="B25" s="181" t="s">
        <v>497</v>
      </c>
      <c r="C25" s="137"/>
      <c r="D25" s="137"/>
      <c r="E25" s="137"/>
      <c r="F25" s="137"/>
      <c r="G25" s="137"/>
      <c r="H25" s="137"/>
      <c r="I25" s="137"/>
      <c r="J25" s="137"/>
      <c r="K25" s="137"/>
      <c r="L25" s="137"/>
      <c r="M25" s="137"/>
      <c r="N25" s="137"/>
      <c r="O25" s="137"/>
      <c r="P25" s="137"/>
      <c r="Q25" s="137"/>
      <c r="R25" s="137"/>
      <c r="S25" s="137"/>
      <c r="T25" s="137"/>
      <c r="U25" s="137"/>
      <c r="V25" s="137"/>
      <c r="W25" s="137"/>
      <c r="X25" s="137"/>
      <c r="Y25" s="137"/>
      <c r="Z25" s="137"/>
      <c r="AA25" s="137"/>
      <c r="AB25" s="137"/>
      <c r="AC25" s="137"/>
      <c r="AD25" s="137"/>
      <c r="AE25" s="137"/>
      <c r="AF25" s="137"/>
      <c r="AG25" s="137"/>
      <c r="AH25" s="136" t="e">
        <f t="shared" si="6"/>
        <v>#DIV/0!</v>
      </c>
    </row>
    <row r="26" spans="2:34">
      <c r="B26" s="181" t="s">
        <v>498</v>
      </c>
      <c r="C26" s="137"/>
      <c r="D26" s="137"/>
      <c r="E26" s="137"/>
      <c r="F26" s="137"/>
      <c r="G26" s="137"/>
      <c r="H26" s="137"/>
      <c r="I26" s="137"/>
      <c r="J26" s="137"/>
      <c r="K26" s="137"/>
      <c r="L26" s="137"/>
      <c r="M26" s="137"/>
      <c r="N26" s="137"/>
      <c r="O26" s="137"/>
      <c r="P26" s="137"/>
      <c r="Q26" s="137"/>
      <c r="R26" s="137"/>
      <c r="S26" s="137"/>
      <c r="T26" s="137"/>
      <c r="U26" s="137"/>
      <c r="V26" s="137"/>
      <c r="W26" s="137"/>
      <c r="X26" s="137"/>
      <c r="Y26" s="137"/>
      <c r="Z26" s="137"/>
      <c r="AA26" s="137"/>
      <c r="AB26" s="137"/>
      <c r="AC26" s="137"/>
      <c r="AD26" s="137"/>
      <c r="AE26" s="137"/>
      <c r="AF26" s="137"/>
      <c r="AG26" s="137"/>
      <c r="AH26" s="136" t="e">
        <f t="shared" si="6"/>
        <v>#DIV/0!</v>
      </c>
    </row>
    <row r="27" spans="2:34">
      <c r="B27" s="181" t="s">
        <v>499</v>
      </c>
      <c r="C27" s="137"/>
      <c r="D27" s="137"/>
      <c r="E27" s="137"/>
      <c r="F27" s="137"/>
      <c r="G27" s="137"/>
      <c r="H27" s="137"/>
      <c r="I27" s="137"/>
      <c r="J27" s="137"/>
      <c r="K27" s="137"/>
      <c r="L27" s="137"/>
      <c r="M27" s="137"/>
      <c r="N27" s="137"/>
      <c r="O27" s="137"/>
      <c r="P27" s="137"/>
      <c r="Q27" s="137"/>
      <c r="R27" s="137"/>
      <c r="S27" s="137"/>
      <c r="T27" s="137"/>
      <c r="U27" s="137"/>
      <c r="V27" s="137"/>
      <c r="W27" s="137"/>
      <c r="X27" s="137"/>
      <c r="Y27" s="137"/>
      <c r="Z27" s="137"/>
      <c r="AA27" s="137"/>
      <c r="AB27" s="137"/>
      <c r="AC27" s="137"/>
      <c r="AD27" s="137"/>
      <c r="AE27" s="137"/>
      <c r="AF27" s="137"/>
      <c r="AG27" s="137"/>
      <c r="AH27" s="136" t="e">
        <f t="shared" si="6"/>
        <v>#DIV/0!</v>
      </c>
    </row>
    <row r="28" spans="2:34">
      <c r="B28" s="181" t="s">
        <v>500</v>
      </c>
      <c r="C28" s="137"/>
      <c r="D28" s="137"/>
      <c r="E28" s="137"/>
      <c r="F28" s="137"/>
      <c r="G28" s="137"/>
      <c r="H28" s="137"/>
      <c r="I28" s="137"/>
      <c r="J28" s="137"/>
      <c r="K28" s="137"/>
      <c r="L28" s="137"/>
      <c r="M28" s="137"/>
      <c r="N28" s="137"/>
      <c r="O28" s="137"/>
      <c r="P28" s="137"/>
      <c r="Q28" s="137"/>
      <c r="R28" s="137"/>
      <c r="S28" s="137"/>
      <c r="T28" s="137"/>
      <c r="U28" s="137"/>
      <c r="V28" s="137"/>
      <c r="W28" s="137"/>
      <c r="X28" s="137"/>
      <c r="Y28" s="137"/>
      <c r="Z28" s="137"/>
      <c r="AA28" s="137"/>
      <c r="AB28" s="137"/>
      <c r="AC28" s="137"/>
      <c r="AD28" s="137"/>
      <c r="AE28" s="137"/>
      <c r="AF28" s="137"/>
      <c r="AG28" s="137"/>
      <c r="AH28" s="136" t="e">
        <f t="shared" si="6"/>
        <v>#DIV/0!</v>
      </c>
    </row>
    <row r="29" spans="2:34">
      <c r="B29" s="181" t="s">
        <v>501</v>
      </c>
      <c r="C29" s="137"/>
      <c r="D29" s="137"/>
      <c r="E29" s="137"/>
      <c r="F29" s="137"/>
      <c r="G29" s="137"/>
      <c r="H29" s="137"/>
      <c r="I29" s="137"/>
      <c r="J29" s="137"/>
      <c r="K29" s="137"/>
      <c r="L29" s="137"/>
      <c r="M29" s="137"/>
      <c r="N29" s="137"/>
      <c r="O29" s="137"/>
      <c r="P29" s="137"/>
      <c r="Q29" s="137"/>
      <c r="R29" s="137"/>
      <c r="S29" s="137"/>
      <c r="T29" s="137"/>
      <c r="U29" s="137"/>
      <c r="V29" s="137"/>
      <c r="W29" s="137"/>
      <c r="X29" s="137"/>
      <c r="Y29" s="137"/>
      <c r="Z29" s="137"/>
      <c r="AA29" s="137"/>
      <c r="AB29" s="137"/>
      <c r="AC29" s="137"/>
      <c r="AD29" s="137"/>
      <c r="AE29" s="137"/>
      <c r="AF29" s="137"/>
      <c r="AG29" s="137"/>
      <c r="AH29" s="136" t="e">
        <f t="shared" si="6"/>
        <v>#DIV/0!</v>
      </c>
    </row>
    <row r="30" spans="2:34">
      <c r="B30" s="181" t="s">
        <v>502</v>
      </c>
      <c r="C30" s="137"/>
      <c r="D30" s="137"/>
      <c r="E30" s="137"/>
      <c r="F30" s="137"/>
      <c r="G30" s="137"/>
      <c r="H30" s="137"/>
      <c r="I30" s="137"/>
      <c r="J30" s="137"/>
      <c r="K30" s="137"/>
      <c r="L30" s="137"/>
      <c r="M30" s="137"/>
      <c r="N30" s="137"/>
      <c r="O30" s="137"/>
      <c r="P30" s="137"/>
      <c r="Q30" s="137"/>
      <c r="R30" s="137"/>
      <c r="S30" s="137"/>
      <c r="T30" s="137"/>
      <c r="U30" s="137"/>
      <c r="V30" s="137"/>
      <c r="W30" s="137"/>
      <c r="X30" s="137"/>
      <c r="Y30" s="137"/>
      <c r="Z30" s="137"/>
      <c r="AA30" s="137"/>
      <c r="AB30" s="137"/>
      <c r="AC30" s="137"/>
      <c r="AD30" s="137"/>
      <c r="AE30" s="137"/>
      <c r="AF30" s="137"/>
      <c r="AG30" s="137"/>
      <c r="AH30" s="136" t="e">
        <f t="shared" si="6"/>
        <v>#DIV/0!</v>
      </c>
    </row>
    <row r="31" spans="2:34">
      <c r="B31" s="181" t="s">
        <v>503</v>
      </c>
      <c r="C31" s="186"/>
      <c r="D31" s="186"/>
      <c r="E31" s="186"/>
      <c r="F31" s="186"/>
      <c r="G31" s="186"/>
      <c r="H31" s="186"/>
      <c r="I31" s="186"/>
      <c r="J31" s="186"/>
      <c r="K31" s="186"/>
      <c r="L31" s="186"/>
      <c r="M31" s="186"/>
      <c r="N31" s="186"/>
      <c r="O31" s="186"/>
      <c r="P31" s="186"/>
      <c r="Q31" s="186"/>
      <c r="R31" s="186"/>
      <c r="S31" s="186"/>
      <c r="T31" s="186"/>
      <c r="U31" s="186"/>
      <c r="V31" s="186"/>
      <c r="W31" s="186"/>
      <c r="X31" s="186"/>
      <c r="Y31" s="186"/>
      <c r="Z31" s="186"/>
      <c r="AA31" s="186"/>
      <c r="AB31" s="186"/>
      <c r="AC31" s="186"/>
      <c r="AD31" s="186"/>
      <c r="AE31" s="186"/>
      <c r="AF31" s="186"/>
      <c r="AG31" s="186"/>
      <c r="AH31" s="179" t="e">
        <f t="shared" si="6"/>
        <v>#DIV/0!</v>
      </c>
    </row>
    <row r="32" spans="2:34">
      <c r="B32" s="183" t="s">
        <v>504</v>
      </c>
      <c r="C32" s="178">
        <f t="shared" ref="C32:AG32" si="7">SUM(C22:C31)</f>
        <v>0</v>
      </c>
      <c r="D32" s="178">
        <f t="shared" si="7"/>
        <v>0</v>
      </c>
      <c r="E32" s="178">
        <f t="shared" si="7"/>
        <v>0</v>
      </c>
      <c r="F32" s="178">
        <f t="shared" si="7"/>
        <v>0</v>
      </c>
      <c r="G32" s="178">
        <f t="shared" si="7"/>
        <v>0</v>
      </c>
      <c r="H32" s="178">
        <f t="shared" si="7"/>
        <v>0</v>
      </c>
      <c r="I32" s="178">
        <f t="shared" si="7"/>
        <v>0</v>
      </c>
      <c r="J32" s="178">
        <f t="shared" si="7"/>
        <v>0</v>
      </c>
      <c r="K32" s="178">
        <f t="shared" si="7"/>
        <v>0</v>
      </c>
      <c r="L32" s="178">
        <f t="shared" si="7"/>
        <v>0</v>
      </c>
      <c r="M32" s="178">
        <f t="shared" si="7"/>
        <v>0</v>
      </c>
      <c r="N32" s="178">
        <f t="shared" si="7"/>
        <v>0</v>
      </c>
      <c r="O32" s="178">
        <f t="shared" si="7"/>
        <v>0</v>
      </c>
      <c r="P32" s="178">
        <f t="shared" si="7"/>
        <v>0</v>
      </c>
      <c r="Q32" s="178">
        <f t="shared" si="7"/>
        <v>0</v>
      </c>
      <c r="R32" s="178">
        <f t="shared" si="7"/>
        <v>0</v>
      </c>
      <c r="S32" s="178">
        <f t="shared" si="7"/>
        <v>0</v>
      </c>
      <c r="T32" s="178">
        <f t="shared" si="7"/>
        <v>0</v>
      </c>
      <c r="U32" s="178">
        <f t="shared" si="7"/>
        <v>0</v>
      </c>
      <c r="V32" s="178">
        <f t="shared" si="7"/>
        <v>0</v>
      </c>
      <c r="W32" s="178">
        <f t="shared" si="7"/>
        <v>0</v>
      </c>
      <c r="X32" s="178">
        <f t="shared" si="7"/>
        <v>0</v>
      </c>
      <c r="Y32" s="178">
        <f t="shared" si="7"/>
        <v>0</v>
      </c>
      <c r="Z32" s="178">
        <f t="shared" si="7"/>
        <v>0</v>
      </c>
      <c r="AA32" s="178">
        <f t="shared" si="7"/>
        <v>0</v>
      </c>
      <c r="AB32" s="178">
        <f t="shared" si="7"/>
        <v>0</v>
      </c>
      <c r="AC32" s="178">
        <f t="shared" si="7"/>
        <v>0</v>
      </c>
      <c r="AD32" s="178">
        <f t="shared" si="7"/>
        <v>0</v>
      </c>
      <c r="AE32" s="178">
        <f t="shared" si="7"/>
        <v>0</v>
      </c>
      <c r="AF32" s="178">
        <f t="shared" si="7"/>
        <v>0</v>
      </c>
      <c r="AG32" s="178">
        <f t="shared" si="7"/>
        <v>0</v>
      </c>
      <c r="AH32" s="187">
        <f t="shared" ref="AH32:AH36" si="8">AVERAGE(C32:AF32)</f>
        <v>0</v>
      </c>
    </row>
    <row r="33" spans="1:34">
      <c r="B33" s="182" t="s">
        <v>505</v>
      </c>
      <c r="C33" s="178">
        <f t="shared" ref="C33:AG33" si="9">C21+C32</f>
        <v>0</v>
      </c>
      <c r="D33" s="178">
        <f t="shared" si="9"/>
        <v>0</v>
      </c>
      <c r="E33" s="178">
        <f t="shared" si="9"/>
        <v>0</v>
      </c>
      <c r="F33" s="178">
        <f t="shared" si="9"/>
        <v>0</v>
      </c>
      <c r="G33" s="178">
        <f t="shared" si="9"/>
        <v>0</v>
      </c>
      <c r="H33" s="178">
        <f t="shared" si="9"/>
        <v>0</v>
      </c>
      <c r="I33" s="178">
        <f t="shared" si="9"/>
        <v>0</v>
      </c>
      <c r="J33" s="178">
        <f t="shared" si="9"/>
        <v>0</v>
      </c>
      <c r="K33" s="178">
        <f t="shared" si="9"/>
        <v>0</v>
      </c>
      <c r="L33" s="178">
        <f t="shared" si="9"/>
        <v>0</v>
      </c>
      <c r="M33" s="178">
        <f t="shared" si="9"/>
        <v>0</v>
      </c>
      <c r="N33" s="178">
        <f t="shared" si="9"/>
        <v>0</v>
      </c>
      <c r="O33" s="178">
        <f t="shared" si="9"/>
        <v>0</v>
      </c>
      <c r="P33" s="178">
        <f t="shared" si="9"/>
        <v>0</v>
      </c>
      <c r="Q33" s="178">
        <f t="shared" si="9"/>
        <v>0</v>
      </c>
      <c r="R33" s="178">
        <f t="shared" si="9"/>
        <v>0</v>
      </c>
      <c r="S33" s="178">
        <f t="shared" si="9"/>
        <v>0</v>
      </c>
      <c r="T33" s="178">
        <f t="shared" si="9"/>
        <v>0</v>
      </c>
      <c r="U33" s="178">
        <f t="shared" si="9"/>
        <v>0</v>
      </c>
      <c r="V33" s="178">
        <f t="shared" si="9"/>
        <v>0</v>
      </c>
      <c r="W33" s="178">
        <f t="shared" si="9"/>
        <v>0</v>
      </c>
      <c r="X33" s="178">
        <f t="shared" si="9"/>
        <v>0</v>
      </c>
      <c r="Y33" s="178">
        <f t="shared" si="9"/>
        <v>0</v>
      </c>
      <c r="Z33" s="178">
        <f t="shared" si="9"/>
        <v>0</v>
      </c>
      <c r="AA33" s="178">
        <f t="shared" si="9"/>
        <v>0</v>
      </c>
      <c r="AB33" s="178">
        <f t="shared" si="9"/>
        <v>0</v>
      </c>
      <c r="AC33" s="178">
        <f t="shared" si="9"/>
        <v>0</v>
      </c>
      <c r="AD33" s="178">
        <f t="shared" si="9"/>
        <v>0</v>
      </c>
      <c r="AE33" s="178">
        <f t="shared" si="9"/>
        <v>0</v>
      </c>
      <c r="AF33" s="178">
        <f t="shared" si="9"/>
        <v>0</v>
      </c>
      <c r="AG33" s="178">
        <f t="shared" si="9"/>
        <v>0</v>
      </c>
      <c r="AH33" s="187">
        <f t="shared" si="8"/>
        <v>0</v>
      </c>
    </row>
    <row r="34" spans="1:34">
      <c r="B34" s="183"/>
      <c r="C34" s="137"/>
      <c r="D34" s="137"/>
      <c r="E34" s="137"/>
      <c r="F34" s="137"/>
      <c r="G34" s="137"/>
    </row>
    <row r="35" spans="1:34">
      <c r="B35" s="181" t="s">
        <v>508</v>
      </c>
      <c r="AH35" s="136" t="e">
        <f t="shared" si="8"/>
        <v>#DIV/0!</v>
      </c>
    </row>
    <row r="36" spans="1:34">
      <c r="B36" s="136" t="s">
        <v>68</v>
      </c>
      <c r="AH36" s="136" t="e">
        <f t="shared" si="8"/>
        <v>#DIV/0!</v>
      </c>
    </row>
    <row r="37" spans="1:34" s="188" customFormat="1">
      <c r="B37" s="188" t="s">
        <v>859</v>
      </c>
      <c r="C37" s="188">
        <f>C36*2%</f>
        <v>0</v>
      </c>
      <c r="D37" s="188">
        <f>D36*2%</f>
        <v>0</v>
      </c>
      <c r="E37" s="188">
        <f t="shared" ref="E37:AH37" si="10">E36*2%</f>
        <v>0</v>
      </c>
      <c r="F37" s="188">
        <f t="shared" si="10"/>
        <v>0</v>
      </c>
      <c r="G37" s="188">
        <f t="shared" si="10"/>
        <v>0</v>
      </c>
      <c r="H37" s="188">
        <f t="shared" si="10"/>
        <v>0</v>
      </c>
      <c r="I37" s="188">
        <f t="shared" si="10"/>
        <v>0</v>
      </c>
      <c r="J37" s="188">
        <f t="shared" si="10"/>
        <v>0</v>
      </c>
      <c r="K37" s="188">
        <f t="shared" si="10"/>
        <v>0</v>
      </c>
      <c r="L37" s="188">
        <f t="shared" si="10"/>
        <v>0</v>
      </c>
      <c r="M37" s="188">
        <f t="shared" si="10"/>
        <v>0</v>
      </c>
      <c r="N37" s="188">
        <f t="shared" si="10"/>
        <v>0</v>
      </c>
      <c r="O37" s="188">
        <f t="shared" si="10"/>
        <v>0</v>
      </c>
      <c r="P37" s="188">
        <f t="shared" si="10"/>
        <v>0</v>
      </c>
      <c r="Q37" s="188">
        <f t="shared" si="10"/>
        <v>0</v>
      </c>
      <c r="R37" s="188">
        <f t="shared" si="10"/>
        <v>0</v>
      </c>
      <c r="S37" s="188">
        <f t="shared" si="10"/>
        <v>0</v>
      </c>
      <c r="T37" s="188">
        <f t="shared" si="10"/>
        <v>0</v>
      </c>
      <c r="U37" s="188">
        <f t="shared" si="10"/>
        <v>0</v>
      </c>
      <c r="V37" s="188">
        <f t="shared" si="10"/>
        <v>0</v>
      </c>
      <c r="W37" s="188">
        <f t="shared" si="10"/>
        <v>0</v>
      </c>
      <c r="X37" s="188">
        <f t="shared" si="10"/>
        <v>0</v>
      </c>
      <c r="Y37" s="188">
        <f t="shared" si="10"/>
        <v>0</v>
      </c>
      <c r="Z37" s="188">
        <f t="shared" si="10"/>
        <v>0</v>
      </c>
      <c r="AA37" s="188">
        <f t="shared" si="10"/>
        <v>0</v>
      </c>
      <c r="AB37" s="188">
        <f t="shared" si="10"/>
        <v>0</v>
      </c>
      <c r="AC37" s="188">
        <f t="shared" si="10"/>
        <v>0</v>
      </c>
      <c r="AD37" s="188">
        <f t="shared" si="10"/>
        <v>0</v>
      </c>
      <c r="AE37" s="188">
        <f t="shared" si="10"/>
        <v>0</v>
      </c>
      <c r="AF37" s="188">
        <f t="shared" si="10"/>
        <v>0</v>
      </c>
      <c r="AG37" s="188">
        <f t="shared" si="10"/>
        <v>0</v>
      </c>
      <c r="AH37" s="188" t="e">
        <f t="shared" si="10"/>
        <v>#DIV/0!</v>
      </c>
    </row>
    <row r="38" spans="1:34" s="188" customFormat="1">
      <c r="B38" s="188" t="s">
        <v>860</v>
      </c>
      <c r="C38" s="188">
        <f>C36*18%</f>
        <v>0</v>
      </c>
      <c r="D38" s="188">
        <f>D36*18%</f>
        <v>0</v>
      </c>
      <c r="E38" s="188">
        <f t="shared" ref="E38:AH38" si="11">E36*18%</f>
        <v>0</v>
      </c>
      <c r="F38" s="188">
        <f t="shared" si="11"/>
        <v>0</v>
      </c>
      <c r="G38" s="188">
        <f t="shared" si="11"/>
        <v>0</v>
      </c>
      <c r="H38" s="188">
        <f t="shared" si="11"/>
        <v>0</v>
      </c>
      <c r="I38" s="188">
        <f t="shared" si="11"/>
        <v>0</v>
      </c>
      <c r="J38" s="188">
        <f t="shared" si="11"/>
        <v>0</v>
      </c>
      <c r="K38" s="188">
        <f t="shared" si="11"/>
        <v>0</v>
      </c>
      <c r="L38" s="188">
        <f t="shared" si="11"/>
        <v>0</v>
      </c>
      <c r="M38" s="188">
        <f t="shared" si="11"/>
        <v>0</v>
      </c>
      <c r="N38" s="188">
        <f t="shared" si="11"/>
        <v>0</v>
      </c>
      <c r="O38" s="188">
        <f t="shared" si="11"/>
        <v>0</v>
      </c>
      <c r="P38" s="188">
        <f t="shared" si="11"/>
        <v>0</v>
      </c>
      <c r="Q38" s="188">
        <f t="shared" si="11"/>
        <v>0</v>
      </c>
      <c r="R38" s="188">
        <f t="shared" si="11"/>
        <v>0</v>
      </c>
      <c r="S38" s="188">
        <f t="shared" si="11"/>
        <v>0</v>
      </c>
      <c r="T38" s="188">
        <f t="shared" si="11"/>
        <v>0</v>
      </c>
      <c r="U38" s="188">
        <f t="shared" si="11"/>
        <v>0</v>
      </c>
      <c r="V38" s="188">
        <f t="shared" si="11"/>
        <v>0</v>
      </c>
      <c r="W38" s="188">
        <f t="shared" si="11"/>
        <v>0</v>
      </c>
      <c r="X38" s="188">
        <f t="shared" si="11"/>
        <v>0</v>
      </c>
      <c r="Y38" s="188">
        <f t="shared" si="11"/>
        <v>0</v>
      </c>
      <c r="Z38" s="188">
        <f t="shared" si="11"/>
        <v>0</v>
      </c>
      <c r="AA38" s="188">
        <f t="shared" si="11"/>
        <v>0</v>
      </c>
      <c r="AB38" s="188">
        <f t="shared" si="11"/>
        <v>0</v>
      </c>
      <c r="AC38" s="188">
        <f t="shared" si="11"/>
        <v>0</v>
      </c>
      <c r="AD38" s="188">
        <f t="shared" si="11"/>
        <v>0</v>
      </c>
      <c r="AE38" s="188">
        <f t="shared" si="11"/>
        <v>0</v>
      </c>
      <c r="AF38" s="188">
        <f t="shared" si="11"/>
        <v>0</v>
      </c>
      <c r="AG38" s="188">
        <f t="shared" si="11"/>
        <v>0</v>
      </c>
      <c r="AH38" s="188" t="e">
        <f t="shared" si="11"/>
        <v>#DIV/0!</v>
      </c>
    </row>
    <row r="39" spans="1:34" s="182" customFormat="1">
      <c r="B39" s="182" t="s">
        <v>509</v>
      </c>
      <c r="C39" s="182">
        <f>C37+C38</f>
        <v>0</v>
      </c>
      <c r="D39" s="182">
        <f>D37+D38</f>
        <v>0</v>
      </c>
      <c r="E39" s="182">
        <f t="shared" ref="E39:AH39" si="12">E37+E38</f>
        <v>0</v>
      </c>
      <c r="F39" s="182">
        <f t="shared" si="12"/>
        <v>0</v>
      </c>
      <c r="G39" s="182">
        <f t="shared" si="12"/>
        <v>0</v>
      </c>
      <c r="H39" s="182">
        <f t="shared" si="12"/>
        <v>0</v>
      </c>
      <c r="I39" s="182">
        <f t="shared" si="12"/>
        <v>0</v>
      </c>
      <c r="J39" s="182">
        <f t="shared" si="12"/>
        <v>0</v>
      </c>
      <c r="K39" s="182">
        <f t="shared" si="12"/>
        <v>0</v>
      </c>
      <c r="L39" s="182">
        <f t="shared" si="12"/>
        <v>0</v>
      </c>
      <c r="M39" s="182">
        <f t="shared" si="12"/>
        <v>0</v>
      </c>
      <c r="N39" s="182">
        <f t="shared" si="12"/>
        <v>0</v>
      </c>
      <c r="O39" s="182">
        <f t="shared" si="12"/>
        <v>0</v>
      </c>
      <c r="P39" s="182">
        <f t="shared" si="12"/>
        <v>0</v>
      </c>
      <c r="Q39" s="182">
        <f t="shared" si="12"/>
        <v>0</v>
      </c>
      <c r="R39" s="182">
        <f t="shared" si="12"/>
        <v>0</v>
      </c>
      <c r="S39" s="182">
        <f t="shared" si="12"/>
        <v>0</v>
      </c>
      <c r="T39" s="182">
        <f t="shared" si="12"/>
        <v>0</v>
      </c>
      <c r="U39" s="182">
        <f t="shared" si="12"/>
        <v>0</v>
      </c>
      <c r="V39" s="182">
        <f t="shared" si="12"/>
        <v>0</v>
      </c>
      <c r="W39" s="182">
        <f t="shared" si="12"/>
        <v>0</v>
      </c>
      <c r="X39" s="182">
        <f t="shared" si="12"/>
        <v>0</v>
      </c>
      <c r="Y39" s="182">
        <f t="shared" si="12"/>
        <v>0</v>
      </c>
      <c r="Z39" s="182">
        <f t="shared" si="12"/>
        <v>0</v>
      </c>
      <c r="AA39" s="182">
        <f t="shared" si="12"/>
        <v>0</v>
      </c>
      <c r="AB39" s="182">
        <f t="shared" si="12"/>
        <v>0</v>
      </c>
      <c r="AC39" s="182">
        <f t="shared" si="12"/>
        <v>0</v>
      </c>
      <c r="AD39" s="182">
        <f t="shared" si="12"/>
        <v>0</v>
      </c>
      <c r="AE39" s="182">
        <f t="shared" si="12"/>
        <v>0</v>
      </c>
      <c r="AF39" s="182">
        <f t="shared" si="12"/>
        <v>0</v>
      </c>
      <c r="AG39" s="182">
        <f t="shared" si="12"/>
        <v>0</v>
      </c>
      <c r="AH39" s="182" t="e">
        <f t="shared" si="12"/>
        <v>#DIV/0!</v>
      </c>
    </row>
    <row r="40" spans="1:34" s="137" customFormat="1">
      <c r="B40" s="137" t="s">
        <v>513</v>
      </c>
      <c r="C40" s="137">
        <f>C33-C38</f>
        <v>0</v>
      </c>
      <c r="D40" s="137">
        <f>D33-D38</f>
        <v>0</v>
      </c>
      <c r="E40" s="137">
        <f t="shared" ref="E40:AH40" si="13">E33-E38</f>
        <v>0</v>
      </c>
      <c r="F40" s="137">
        <f t="shared" si="13"/>
        <v>0</v>
      </c>
      <c r="G40" s="137">
        <f t="shared" si="13"/>
        <v>0</v>
      </c>
      <c r="H40" s="137">
        <f t="shared" si="13"/>
        <v>0</v>
      </c>
      <c r="I40" s="137">
        <f t="shared" si="13"/>
        <v>0</v>
      </c>
      <c r="J40" s="137">
        <f t="shared" si="13"/>
        <v>0</v>
      </c>
      <c r="K40" s="137">
        <f t="shared" si="13"/>
        <v>0</v>
      </c>
      <c r="L40" s="137">
        <f t="shared" si="13"/>
        <v>0</v>
      </c>
      <c r="M40" s="137">
        <f t="shared" si="13"/>
        <v>0</v>
      </c>
      <c r="N40" s="137">
        <f t="shared" si="13"/>
        <v>0</v>
      </c>
      <c r="O40" s="137">
        <f t="shared" si="13"/>
        <v>0</v>
      </c>
      <c r="P40" s="137">
        <f t="shared" si="13"/>
        <v>0</v>
      </c>
      <c r="Q40" s="137">
        <f t="shared" si="13"/>
        <v>0</v>
      </c>
      <c r="R40" s="137">
        <f t="shared" si="13"/>
        <v>0</v>
      </c>
      <c r="S40" s="137">
        <f t="shared" si="13"/>
        <v>0</v>
      </c>
      <c r="T40" s="137">
        <f t="shared" si="13"/>
        <v>0</v>
      </c>
      <c r="U40" s="137">
        <f t="shared" si="13"/>
        <v>0</v>
      </c>
      <c r="V40" s="137">
        <f t="shared" si="13"/>
        <v>0</v>
      </c>
      <c r="W40" s="137">
        <f t="shared" si="13"/>
        <v>0</v>
      </c>
      <c r="X40" s="137">
        <f t="shared" si="13"/>
        <v>0</v>
      </c>
      <c r="Y40" s="137">
        <f t="shared" si="13"/>
        <v>0</v>
      </c>
      <c r="Z40" s="137">
        <f t="shared" si="13"/>
        <v>0</v>
      </c>
      <c r="AA40" s="137">
        <f t="shared" si="13"/>
        <v>0</v>
      </c>
      <c r="AB40" s="137">
        <f t="shared" si="13"/>
        <v>0</v>
      </c>
      <c r="AC40" s="137">
        <f t="shared" si="13"/>
        <v>0</v>
      </c>
      <c r="AD40" s="137">
        <f t="shared" si="13"/>
        <v>0</v>
      </c>
      <c r="AE40" s="137">
        <f t="shared" si="13"/>
        <v>0</v>
      </c>
      <c r="AF40" s="137">
        <f t="shared" si="13"/>
        <v>0</v>
      </c>
      <c r="AG40" s="137">
        <f t="shared" si="13"/>
        <v>0</v>
      </c>
      <c r="AH40" s="137" t="e">
        <f t="shared" si="13"/>
        <v>#DIV/0!</v>
      </c>
    </row>
    <row r="41" spans="1:34" s="188" customFormat="1">
      <c r="B41" s="188" t="s">
        <v>510</v>
      </c>
      <c r="C41" s="189" t="e">
        <f>C33/C12</f>
        <v>#DIV/0!</v>
      </c>
      <c r="D41" s="189" t="e">
        <f>D33/D12</f>
        <v>#DIV/0!</v>
      </c>
      <c r="E41" s="189" t="e">
        <f>E33/E12</f>
        <v>#DIV/0!</v>
      </c>
      <c r="F41" s="189" t="e">
        <f>F33/F12</f>
        <v>#DIV/0!</v>
      </c>
      <c r="G41" s="189" t="e">
        <f>G33/G12</f>
        <v>#DIV/0!</v>
      </c>
      <c r="H41" s="189" t="e">
        <f t="shared" ref="H41:AH41" si="14">H33/H12</f>
        <v>#DIV/0!</v>
      </c>
      <c r="I41" s="189" t="e">
        <f t="shared" si="14"/>
        <v>#DIV/0!</v>
      </c>
      <c r="J41" s="189" t="e">
        <f t="shared" si="14"/>
        <v>#DIV/0!</v>
      </c>
      <c r="K41" s="189" t="e">
        <f t="shared" si="14"/>
        <v>#DIV/0!</v>
      </c>
      <c r="L41" s="189" t="e">
        <f t="shared" si="14"/>
        <v>#DIV/0!</v>
      </c>
      <c r="M41" s="189" t="e">
        <f t="shared" si="14"/>
        <v>#DIV/0!</v>
      </c>
      <c r="N41" s="189" t="e">
        <f t="shared" si="14"/>
        <v>#DIV/0!</v>
      </c>
      <c r="O41" s="189" t="e">
        <f t="shared" si="14"/>
        <v>#DIV/0!</v>
      </c>
      <c r="P41" s="189" t="e">
        <f t="shared" si="14"/>
        <v>#DIV/0!</v>
      </c>
      <c r="Q41" s="189" t="e">
        <f t="shared" si="14"/>
        <v>#DIV/0!</v>
      </c>
      <c r="R41" s="189" t="e">
        <f t="shared" si="14"/>
        <v>#DIV/0!</v>
      </c>
      <c r="S41" s="189" t="e">
        <f t="shared" si="14"/>
        <v>#DIV/0!</v>
      </c>
      <c r="T41" s="189" t="e">
        <f t="shared" si="14"/>
        <v>#DIV/0!</v>
      </c>
      <c r="U41" s="189" t="e">
        <f t="shared" si="14"/>
        <v>#DIV/0!</v>
      </c>
      <c r="V41" s="189" t="e">
        <f t="shared" si="14"/>
        <v>#DIV/0!</v>
      </c>
      <c r="W41" s="189" t="e">
        <f t="shared" si="14"/>
        <v>#DIV/0!</v>
      </c>
      <c r="X41" s="189" t="e">
        <f t="shared" si="14"/>
        <v>#DIV/0!</v>
      </c>
      <c r="Y41" s="189" t="e">
        <f t="shared" si="14"/>
        <v>#DIV/0!</v>
      </c>
      <c r="Z41" s="189" t="e">
        <f t="shared" si="14"/>
        <v>#DIV/0!</v>
      </c>
      <c r="AA41" s="189" t="e">
        <f t="shared" si="14"/>
        <v>#DIV/0!</v>
      </c>
      <c r="AB41" s="189" t="e">
        <f t="shared" si="14"/>
        <v>#DIV/0!</v>
      </c>
      <c r="AC41" s="189" t="e">
        <f t="shared" si="14"/>
        <v>#DIV/0!</v>
      </c>
      <c r="AD41" s="189" t="e">
        <f t="shared" si="14"/>
        <v>#DIV/0!</v>
      </c>
      <c r="AE41" s="189" t="e">
        <f t="shared" si="14"/>
        <v>#DIV/0!</v>
      </c>
      <c r="AF41" s="189" t="e">
        <f t="shared" si="14"/>
        <v>#DIV/0!</v>
      </c>
      <c r="AG41" s="189" t="e">
        <f t="shared" si="14"/>
        <v>#DIV/0!</v>
      </c>
      <c r="AH41" s="189" t="e">
        <f t="shared" si="14"/>
        <v>#DIV/0!</v>
      </c>
    </row>
    <row r="42" spans="1:34" s="188" customFormat="1">
      <c r="B42" s="188" t="s">
        <v>511</v>
      </c>
      <c r="C42" s="189" t="e">
        <f>C33/C36</f>
        <v>#DIV/0!</v>
      </c>
      <c r="D42" s="189" t="e">
        <f>D33/D36</f>
        <v>#DIV/0!</v>
      </c>
      <c r="E42" s="189" t="e">
        <f t="shared" ref="E42:I42" si="15">E33/E36</f>
        <v>#DIV/0!</v>
      </c>
      <c r="F42" s="189" t="e">
        <f t="shared" si="15"/>
        <v>#DIV/0!</v>
      </c>
      <c r="G42" s="189" t="e">
        <f t="shared" si="15"/>
        <v>#DIV/0!</v>
      </c>
      <c r="H42" s="189" t="e">
        <f t="shared" si="15"/>
        <v>#DIV/0!</v>
      </c>
      <c r="I42" s="189" t="e">
        <f t="shared" si="15"/>
        <v>#DIV/0!</v>
      </c>
      <c r="J42" s="189" t="e">
        <f t="shared" ref="J42:AH42" si="16">J33/J36</f>
        <v>#DIV/0!</v>
      </c>
      <c r="K42" s="189" t="e">
        <f t="shared" si="16"/>
        <v>#DIV/0!</v>
      </c>
      <c r="L42" s="189" t="e">
        <f t="shared" si="16"/>
        <v>#DIV/0!</v>
      </c>
      <c r="M42" s="189" t="e">
        <f t="shared" si="16"/>
        <v>#DIV/0!</v>
      </c>
      <c r="N42" s="189" t="e">
        <f t="shared" si="16"/>
        <v>#DIV/0!</v>
      </c>
      <c r="O42" s="189" t="e">
        <f t="shared" si="16"/>
        <v>#DIV/0!</v>
      </c>
      <c r="P42" s="189" t="e">
        <f t="shared" si="16"/>
        <v>#DIV/0!</v>
      </c>
      <c r="Q42" s="189" t="e">
        <f t="shared" si="16"/>
        <v>#DIV/0!</v>
      </c>
      <c r="R42" s="189" t="e">
        <f t="shared" si="16"/>
        <v>#DIV/0!</v>
      </c>
      <c r="S42" s="189" t="e">
        <f t="shared" si="16"/>
        <v>#DIV/0!</v>
      </c>
      <c r="T42" s="189" t="e">
        <f t="shared" si="16"/>
        <v>#DIV/0!</v>
      </c>
      <c r="U42" s="189" t="e">
        <f t="shared" si="16"/>
        <v>#DIV/0!</v>
      </c>
      <c r="V42" s="189" t="e">
        <f t="shared" si="16"/>
        <v>#DIV/0!</v>
      </c>
      <c r="W42" s="189" t="e">
        <f t="shared" si="16"/>
        <v>#DIV/0!</v>
      </c>
      <c r="X42" s="189" t="e">
        <f t="shared" si="16"/>
        <v>#DIV/0!</v>
      </c>
      <c r="Y42" s="189" t="e">
        <f t="shared" si="16"/>
        <v>#DIV/0!</v>
      </c>
      <c r="Z42" s="189" t="e">
        <f t="shared" si="16"/>
        <v>#DIV/0!</v>
      </c>
      <c r="AA42" s="189" t="e">
        <f t="shared" si="16"/>
        <v>#DIV/0!</v>
      </c>
      <c r="AB42" s="189" t="e">
        <f t="shared" si="16"/>
        <v>#DIV/0!</v>
      </c>
      <c r="AC42" s="189" t="e">
        <f t="shared" si="16"/>
        <v>#DIV/0!</v>
      </c>
      <c r="AD42" s="189" t="e">
        <f t="shared" si="16"/>
        <v>#DIV/0!</v>
      </c>
      <c r="AE42" s="189" t="e">
        <f t="shared" si="16"/>
        <v>#DIV/0!</v>
      </c>
      <c r="AF42" s="189" t="e">
        <f t="shared" si="16"/>
        <v>#DIV/0!</v>
      </c>
      <c r="AG42" s="189" t="e">
        <f t="shared" si="16"/>
        <v>#DIV/0!</v>
      </c>
      <c r="AH42" s="189" t="e">
        <f t="shared" si="16"/>
        <v>#DIV/0!</v>
      </c>
    </row>
    <row r="43" spans="1:34" s="188" customFormat="1">
      <c r="B43" s="188" t="s">
        <v>512</v>
      </c>
      <c r="C43" s="189" t="e">
        <f>C21/C36</f>
        <v>#DIV/0!</v>
      </c>
      <c r="D43" s="189" t="e">
        <f>D21/D36</f>
        <v>#DIV/0!</v>
      </c>
      <c r="E43" s="189" t="e">
        <f>E21/E36</f>
        <v>#DIV/0!</v>
      </c>
      <c r="F43" s="189" t="e">
        <f>F21/F36</f>
        <v>#DIV/0!</v>
      </c>
      <c r="G43" s="189" t="e">
        <f>G21/G36</f>
        <v>#DIV/0!</v>
      </c>
      <c r="H43" s="189" t="e">
        <f t="shared" ref="H43:AH43" si="17">H21/H36</f>
        <v>#DIV/0!</v>
      </c>
      <c r="I43" s="189" t="e">
        <f t="shared" si="17"/>
        <v>#DIV/0!</v>
      </c>
      <c r="J43" s="189" t="e">
        <f t="shared" si="17"/>
        <v>#DIV/0!</v>
      </c>
      <c r="K43" s="189" t="e">
        <f t="shared" si="17"/>
        <v>#DIV/0!</v>
      </c>
      <c r="L43" s="189" t="e">
        <f t="shared" si="17"/>
        <v>#DIV/0!</v>
      </c>
      <c r="M43" s="189" t="e">
        <f t="shared" si="17"/>
        <v>#DIV/0!</v>
      </c>
      <c r="N43" s="189" t="e">
        <f t="shared" si="17"/>
        <v>#DIV/0!</v>
      </c>
      <c r="O43" s="189" t="e">
        <f t="shared" si="17"/>
        <v>#DIV/0!</v>
      </c>
      <c r="P43" s="189" t="e">
        <f t="shared" si="17"/>
        <v>#DIV/0!</v>
      </c>
      <c r="Q43" s="189" t="e">
        <f t="shared" si="17"/>
        <v>#DIV/0!</v>
      </c>
      <c r="R43" s="189" t="e">
        <f t="shared" si="17"/>
        <v>#DIV/0!</v>
      </c>
      <c r="S43" s="189" t="e">
        <f t="shared" si="17"/>
        <v>#DIV/0!</v>
      </c>
      <c r="T43" s="189" t="e">
        <f t="shared" si="17"/>
        <v>#DIV/0!</v>
      </c>
      <c r="U43" s="189" t="e">
        <f t="shared" si="17"/>
        <v>#DIV/0!</v>
      </c>
      <c r="V43" s="189" t="e">
        <f t="shared" si="17"/>
        <v>#DIV/0!</v>
      </c>
      <c r="W43" s="189" t="e">
        <f t="shared" si="17"/>
        <v>#DIV/0!</v>
      </c>
      <c r="X43" s="189" t="e">
        <f t="shared" si="17"/>
        <v>#DIV/0!</v>
      </c>
      <c r="Y43" s="189" t="e">
        <f t="shared" si="17"/>
        <v>#DIV/0!</v>
      </c>
      <c r="Z43" s="189" t="e">
        <f t="shared" si="17"/>
        <v>#DIV/0!</v>
      </c>
      <c r="AA43" s="189" t="e">
        <f t="shared" si="17"/>
        <v>#DIV/0!</v>
      </c>
      <c r="AB43" s="189" t="e">
        <f t="shared" si="17"/>
        <v>#DIV/0!</v>
      </c>
      <c r="AC43" s="189" t="e">
        <f t="shared" si="17"/>
        <v>#DIV/0!</v>
      </c>
      <c r="AD43" s="189" t="e">
        <f t="shared" si="17"/>
        <v>#DIV/0!</v>
      </c>
      <c r="AE43" s="189" t="e">
        <f t="shared" si="17"/>
        <v>#DIV/0!</v>
      </c>
      <c r="AF43" s="189" t="e">
        <f t="shared" si="17"/>
        <v>#DIV/0!</v>
      </c>
      <c r="AG43" s="189" t="e">
        <f t="shared" si="17"/>
        <v>#DIV/0!</v>
      </c>
      <c r="AH43" s="189" t="e">
        <f t="shared" si="17"/>
        <v>#DIV/0!</v>
      </c>
    </row>
    <row r="45" spans="1:34" ht="15" thickBot="1"/>
    <row r="46" spans="1:34">
      <c r="A46" s="180" t="s">
        <v>553</v>
      </c>
      <c r="B46" s="206" t="s">
        <v>547</v>
      </c>
      <c r="C46" s="207"/>
      <c r="D46" s="207"/>
      <c r="E46" s="207"/>
      <c r="F46" s="207"/>
      <c r="G46" s="207"/>
      <c r="H46" s="207"/>
      <c r="I46" s="207"/>
      <c r="J46" s="207"/>
      <c r="K46" s="207"/>
      <c r="L46" s="207"/>
      <c r="M46" s="207"/>
      <c r="N46" s="207"/>
      <c r="O46" s="207"/>
      <c r="P46" s="207"/>
      <c r="Q46" s="207"/>
      <c r="R46" s="207"/>
      <c r="S46" s="207"/>
      <c r="T46" s="207"/>
      <c r="U46" s="207"/>
      <c r="V46" s="207"/>
      <c r="W46" s="207"/>
      <c r="X46" s="207"/>
      <c r="Y46" s="207"/>
      <c r="Z46" s="207"/>
      <c r="AA46" s="207"/>
      <c r="AB46" s="207"/>
      <c r="AC46" s="207"/>
      <c r="AD46" s="207"/>
      <c r="AE46" s="215" t="s">
        <v>543</v>
      </c>
      <c r="AF46" s="215"/>
      <c r="AG46" s="906" t="s">
        <v>542</v>
      </c>
      <c r="AH46" s="907"/>
    </row>
    <row r="47" spans="1:34">
      <c r="B47" s="216"/>
      <c r="C47" s="138"/>
      <c r="D47" s="138"/>
      <c r="E47" s="138"/>
      <c r="F47" s="138"/>
      <c r="G47" s="138"/>
      <c r="H47" s="138"/>
      <c r="I47" s="138"/>
      <c r="J47" s="138"/>
      <c r="K47" s="138"/>
      <c r="L47" s="138"/>
      <c r="M47" s="138"/>
      <c r="N47" s="138"/>
      <c r="O47" s="138"/>
      <c r="P47" s="138"/>
      <c r="Q47" s="138"/>
      <c r="R47" s="138"/>
      <c r="S47" s="138"/>
      <c r="T47" s="138"/>
      <c r="U47" s="138"/>
      <c r="V47" s="138"/>
      <c r="W47" s="138"/>
      <c r="X47" s="138"/>
      <c r="Y47" s="138"/>
      <c r="Z47" s="138"/>
      <c r="AA47" s="138"/>
      <c r="AB47" s="138"/>
      <c r="AC47" s="138"/>
      <c r="AD47" s="138"/>
      <c r="AE47" s="200" t="s">
        <v>528</v>
      </c>
      <c r="AF47" s="200" t="s">
        <v>492</v>
      </c>
      <c r="AG47" s="200" t="s">
        <v>528</v>
      </c>
      <c r="AH47" s="211" t="s">
        <v>492</v>
      </c>
    </row>
    <row r="48" spans="1:34">
      <c r="B48" s="208" t="s">
        <v>545</v>
      </c>
      <c r="AE48" s="214"/>
      <c r="AF48" s="214"/>
      <c r="AG48" s="214"/>
      <c r="AH48" s="217"/>
    </row>
    <row r="49" spans="2:34" ht="15" thickBot="1">
      <c r="B49" s="209" t="s">
        <v>546</v>
      </c>
      <c r="C49" s="210"/>
      <c r="D49" s="210"/>
      <c r="E49" s="210"/>
      <c r="F49" s="210"/>
      <c r="G49" s="210"/>
      <c r="H49" s="210"/>
      <c r="I49" s="210"/>
      <c r="J49" s="210"/>
      <c r="K49" s="210"/>
      <c r="L49" s="210"/>
      <c r="M49" s="210"/>
      <c r="N49" s="210"/>
      <c r="O49" s="210"/>
      <c r="P49" s="210"/>
      <c r="Q49" s="210"/>
      <c r="R49" s="210"/>
      <c r="S49" s="210"/>
      <c r="T49" s="210"/>
      <c r="U49" s="210"/>
      <c r="V49" s="210"/>
      <c r="W49" s="210"/>
      <c r="X49" s="210"/>
      <c r="Y49" s="210"/>
      <c r="Z49" s="210"/>
      <c r="AA49" s="210"/>
      <c r="AB49" s="210"/>
      <c r="AC49" s="210"/>
      <c r="AD49" s="210"/>
      <c r="AE49" s="212"/>
      <c r="AF49" s="212"/>
      <c r="AG49" s="212"/>
      <c r="AH49" s="213"/>
    </row>
  </sheetData>
  <mergeCells count="3">
    <mergeCell ref="F7:G7"/>
    <mergeCell ref="AG46:AH46"/>
    <mergeCell ref="C2:J3"/>
  </mergeCells>
  <dataValidations count="3">
    <dataValidation operator="greaterThanOrEqual" allowBlank="1" showInputMessage="1" showErrorMessage="1" promptTitle="CUA Database ID " prompt="Please enter CUA Datebase Reporting ID (for example: CUA-ACXX-0-0000)" sqref="F5:G5" xr:uid="{00000000-0002-0000-0400-000000000000}"/>
    <dataValidation allowBlank="1" showInputMessage="1" showErrorMessage="1" promptTitle="Credit Union Name" prompt="Type the name of your Credit Union Here" sqref="C2" xr:uid="{00000000-0002-0000-0400-000001000000}"/>
    <dataValidation type="date" operator="greaterThanOrEqual" allowBlank="1" showInputMessage="1" showErrorMessage="1" promptTitle="Month" prompt="Please enter it as month/year (for example: 1/2011)" sqref="F7:G8" xr:uid="{00000000-0002-0000-0400-000002000000}">
      <formula1>24838</formula1>
    </dataValidation>
  </dataValidation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V41"/>
  <sheetViews>
    <sheetView zoomScale="118" zoomScaleNormal="118" workbookViewId="0">
      <pane xSplit="2" ySplit="11" topLeftCell="C26" activePane="bottomRight" state="frozen"/>
      <selection pane="topRight" activeCell="C1" sqref="C1"/>
      <selection pane="bottomLeft" activeCell="A5" sqref="A5"/>
      <selection pane="bottomRight" activeCell="A28" sqref="A28:XFD28"/>
    </sheetView>
  </sheetViews>
  <sheetFormatPr defaultColWidth="9.109375" defaultRowHeight="14.4"/>
  <cols>
    <col min="1" max="1" width="6.88671875" style="110" customWidth="1"/>
    <col min="2" max="2" width="41.109375" style="110" customWidth="1"/>
    <col min="3" max="3" width="15.88671875" style="110" customWidth="1"/>
    <col min="4" max="11" width="11.88671875" style="110" bestFit="1" customWidth="1"/>
    <col min="12" max="15" width="13.109375" style="110" bestFit="1" customWidth="1"/>
    <col min="16" max="18" width="12.6640625" style="110" bestFit="1" customWidth="1"/>
    <col min="19" max="19" width="11.88671875" style="110" bestFit="1" customWidth="1"/>
    <col min="20" max="20" width="12.6640625" style="110" bestFit="1" customWidth="1"/>
    <col min="21" max="21" width="13.109375" style="112" bestFit="1" customWidth="1"/>
    <col min="22" max="16384" width="9.109375" style="110"/>
  </cols>
  <sheetData>
    <row r="1" spans="2:22">
      <c r="B1" s="136"/>
      <c r="C1" s="136"/>
      <c r="D1" s="136"/>
      <c r="E1" s="136"/>
      <c r="F1" s="136"/>
      <c r="G1" s="136"/>
      <c r="H1" s="136"/>
    </row>
    <row r="2" spans="2:22">
      <c r="B2" s="2"/>
      <c r="C2" s="910" t="str">
        <f>NOTES!D7</f>
        <v>XXXX CO-OPERATIVE CREDIT UNION LTD.</v>
      </c>
      <c r="D2" s="911"/>
      <c r="E2" s="911"/>
      <c r="F2" s="911"/>
      <c r="G2" s="911"/>
      <c r="H2" s="912"/>
    </row>
    <row r="3" spans="2:22">
      <c r="B3" s="2"/>
      <c r="C3" s="913"/>
      <c r="D3" s="914"/>
      <c r="E3" s="914"/>
      <c r="F3" s="914"/>
      <c r="G3" s="914"/>
      <c r="H3" s="915"/>
    </row>
    <row r="4" spans="2:22">
      <c r="B4" s="2"/>
      <c r="C4" s="2"/>
      <c r="D4" s="2"/>
      <c r="E4" s="2"/>
      <c r="F4" s="2"/>
      <c r="G4" s="2"/>
      <c r="H4" s="2"/>
    </row>
    <row r="5" spans="2:22">
      <c r="B5" s="2"/>
      <c r="C5" s="2"/>
      <c r="D5" s="2"/>
      <c r="E5" s="3" t="s">
        <v>557</v>
      </c>
      <c r="F5" s="892">
        <f>NOTES!F5</f>
        <v>0</v>
      </c>
      <c r="G5" s="892"/>
      <c r="H5" s="2"/>
    </row>
    <row r="6" spans="2:22">
      <c r="B6" s="2"/>
      <c r="C6" s="2"/>
      <c r="D6" s="2"/>
      <c r="E6" s="2"/>
      <c r="F6" s="2"/>
      <c r="G6" s="2"/>
      <c r="H6" s="2"/>
    </row>
    <row r="7" spans="2:22">
      <c r="B7" s="4" t="s">
        <v>1</v>
      </c>
      <c r="C7" s="1"/>
      <c r="D7" s="1"/>
      <c r="E7" s="1"/>
      <c r="F7" s="905">
        <v>43921</v>
      </c>
      <c r="G7" s="905"/>
      <c r="H7" s="1"/>
    </row>
    <row r="8" spans="2:22">
      <c r="B8" s="111" t="s">
        <v>423</v>
      </c>
    </row>
    <row r="9" spans="2:22">
      <c r="B9" s="111" t="s">
        <v>422</v>
      </c>
    </row>
    <row r="10" spans="2:22">
      <c r="C10" s="111"/>
      <c r="D10" s="113"/>
      <c r="E10" s="113"/>
      <c r="F10" s="113"/>
      <c r="G10" s="113"/>
      <c r="H10" s="113"/>
      <c r="I10" s="113"/>
      <c r="J10" s="113"/>
      <c r="K10" s="113"/>
      <c r="L10" s="113"/>
      <c r="M10" s="113"/>
      <c r="N10" s="113"/>
      <c r="O10" s="113"/>
      <c r="P10" s="113"/>
      <c r="Q10" s="113"/>
      <c r="R10" s="113"/>
      <c r="S10" s="113"/>
      <c r="T10" s="113"/>
      <c r="U10" s="114"/>
      <c r="V10" s="113"/>
    </row>
    <row r="11" spans="2:22" ht="27.6">
      <c r="B11" s="115"/>
      <c r="C11" s="116" t="s">
        <v>424</v>
      </c>
      <c r="D11" s="116" t="s">
        <v>425</v>
      </c>
      <c r="E11" s="116" t="s">
        <v>426</v>
      </c>
      <c r="F11" s="116" t="s">
        <v>427</v>
      </c>
      <c r="G11" s="116" t="s">
        <v>428</v>
      </c>
      <c r="H11" s="116" t="s">
        <v>429</v>
      </c>
      <c r="I11" s="116" t="s">
        <v>430</v>
      </c>
      <c r="J11" s="116" t="s">
        <v>431</v>
      </c>
      <c r="K11" s="116" t="s">
        <v>432</v>
      </c>
      <c r="L11" s="116" t="s">
        <v>433</v>
      </c>
      <c r="M11" s="116" t="s">
        <v>434</v>
      </c>
      <c r="N11" s="116" t="s">
        <v>435</v>
      </c>
      <c r="O11" s="116" t="s">
        <v>436</v>
      </c>
      <c r="P11" s="117" t="s">
        <v>437</v>
      </c>
      <c r="Q11" s="117" t="s">
        <v>438</v>
      </c>
      <c r="R11" s="116" t="s">
        <v>439</v>
      </c>
      <c r="S11" s="116" t="s">
        <v>440</v>
      </c>
      <c r="T11" s="117" t="s">
        <v>441</v>
      </c>
      <c r="U11" s="118" t="s">
        <v>2</v>
      </c>
      <c r="V11" s="113"/>
    </row>
    <row r="12" spans="2:22" ht="18">
      <c r="B12" s="119" t="s">
        <v>442</v>
      </c>
      <c r="C12" s="119"/>
      <c r="D12" s="120"/>
      <c r="E12" s="120"/>
      <c r="F12" s="120"/>
      <c r="G12" s="120"/>
      <c r="H12" s="120"/>
      <c r="I12" s="120"/>
      <c r="J12" s="120"/>
      <c r="K12" s="120"/>
      <c r="L12" s="120"/>
      <c r="M12" s="120"/>
      <c r="N12" s="120"/>
      <c r="O12" s="120"/>
      <c r="P12" s="120"/>
      <c r="Q12" s="120"/>
      <c r="R12" s="120"/>
      <c r="S12" s="120"/>
      <c r="T12" s="120"/>
      <c r="U12" s="121"/>
      <c r="V12" s="113"/>
    </row>
    <row r="13" spans="2:22">
      <c r="B13" s="122" t="s">
        <v>443</v>
      </c>
      <c r="C13" s="123">
        <v>40000</v>
      </c>
      <c r="D13" s="120"/>
      <c r="E13" s="120"/>
      <c r="F13" s="120"/>
      <c r="G13" s="120"/>
      <c r="H13" s="120"/>
      <c r="I13" s="120"/>
      <c r="J13" s="120"/>
      <c r="K13" s="120"/>
      <c r="L13" s="120"/>
      <c r="M13" s="120"/>
      <c r="N13" s="120"/>
      <c r="O13" s="120"/>
      <c r="P13" s="120"/>
      <c r="Q13" s="120"/>
      <c r="R13" s="120"/>
      <c r="S13" s="120"/>
      <c r="T13" s="120"/>
      <c r="U13" s="124">
        <f t="shared" ref="U13:U21" si="0">SUM(C13:T13)</f>
        <v>40000</v>
      </c>
      <c r="V13" s="113"/>
    </row>
    <row r="14" spans="2:22" ht="18">
      <c r="B14" s="122" t="s">
        <v>444</v>
      </c>
      <c r="C14" s="119"/>
      <c r="D14" s="120"/>
      <c r="E14" s="120"/>
      <c r="F14" s="120"/>
      <c r="G14" s="120"/>
      <c r="H14" s="120"/>
      <c r="I14" s="120"/>
      <c r="J14" s="120"/>
      <c r="K14" s="120"/>
      <c r="L14" s="120"/>
      <c r="M14" s="120"/>
      <c r="N14" s="120"/>
      <c r="O14" s="120"/>
      <c r="P14" s="120"/>
      <c r="Q14" s="120"/>
      <c r="R14" s="120"/>
      <c r="S14" s="120"/>
      <c r="T14" s="120"/>
      <c r="U14" s="124">
        <f t="shared" si="0"/>
        <v>0</v>
      </c>
      <c r="V14" s="113"/>
    </row>
    <row r="15" spans="2:22">
      <c r="B15" s="122" t="s">
        <v>445</v>
      </c>
      <c r="C15" s="123">
        <v>6000000</v>
      </c>
      <c r="D15" s="120"/>
      <c r="E15" s="120"/>
      <c r="F15" s="120"/>
      <c r="G15" s="120"/>
      <c r="H15" s="120"/>
      <c r="I15" s="120"/>
      <c r="J15" s="120"/>
      <c r="K15" s="120"/>
      <c r="L15" s="120"/>
      <c r="M15" s="120"/>
      <c r="N15" s="120"/>
      <c r="O15" s="120"/>
      <c r="P15" s="120"/>
      <c r="Q15" s="120"/>
      <c r="R15" s="120"/>
      <c r="S15" s="120"/>
      <c r="T15" s="120"/>
      <c r="U15" s="124">
        <f t="shared" si="0"/>
        <v>6000000</v>
      </c>
      <c r="V15" s="113"/>
    </row>
    <row r="16" spans="2:22" ht="18">
      <c r="B16" s="122" t="s">
        <v>446</v>
      </c>
      <c r="C16" s="119"/>
      <c r="D16" s="120"/>
      <c r="E16" s="120"/>
      <c r="F16" s="120"/>
      <c r="G16" s="120"/>
      <c r="H16" s="120"/>
      <c r="I16" s="120"/>
      <c r="J16" s="120"/>
      <c r="K16" s="120"/>
      <c r="L16" s="120"/>
      <c r="M16" s="120"/>
      <c r="N16" s="120"/>
      <c r="O16" s="120"/>
      <c r="P16" s="120"/>
      <c r="Q16" s="120"/>
      <c r="R16" s="120"/>
      <c r="S16" s="120"/>
      <c r="T16" s="120"/>
      <c r="U16" s="124">
        <f t="shared" si="0"/>
        <v>0</v>
      </c>
      <c r="V16" s="113"/>
    </row>
    <row r="17" spans="1:22" ht="18">
      <c r="B17" s="122" t="s">
        <v>447</v>
      </c>
      <c r="C17" s="119"/>
      <c r="D17" s="123">
        <v>3000000</v>
      </c>
      <c r="E17" s="123">
        <v>3000000</v>
      </c>
      <c r="F17" s="123">
        <v>3000000</v>
      </c>
      <c r="G17" s="120"/>
      <c r="H17" s="120"/>
      <c r="I17" s="120"/>
      <c r="J17" s="120"/>
      <c r="K17" s="120"/>
      <c r="L17" s="120"/>
      <c r="M17" s="120"/>
      <c r="N17" s="120"/>
      <c r="O17" s="120"/>
      <c r="P17" s="120"/>
      <c r="Q17" s="120"/>
      <c r="R17" s="120"/>
      <c r="S17" s="120"/>
      <c r="T17" s="120"/>
      <c r="U17" s="124">
        <f t="shared" si="0"/>
        <v>9000000</v>
      </c>
      <c r="V17" s="113"/>
    </row>
    <row r="18" spans="1:22" ht="18">
      <c r="B18" s="122" t="s">
        <v>448</v>
      </c>
      <c r="C18" s="119"/>
      <c r="D18" s="120"/>
      <c r="E18" s="120"/>
      <c r="F18" s="120"/>
      <c r="G18" s="120"/>
      <c r="H18" s="120"/>
      <c r="I18" s="120"/>
      <c r="J18" s="120"/>
      <c r="K18" s="120"/>
      <c r="L18" s="120"/>
      <c r="M18" s="120"/>
      <c r="N18" s="120"/>
      <c r="O18" s="120"/>
      <c r="P18" s="120"/>
      <c r="Q18" s="120"/>
      <c r="R18" s="120"/>
      <c r="S18" s="120"/>
      <c r="T18" s="120"/>
      <c r="U18" s="124">
        <f t="shared" si="0"/>
        <v>0</v>
      </c>
      <c r="V18" s="113"/>
    </row>
    <row r="19" spans="1:22">
      <c r="B19" s="122" t="s">
        <v>449</v>
      </c>
      <c r="C19" s="125"/>
      <c r="D19" s="123">
        <v>12642500</v>
      </c>
      <c r="E19" s="123">
        <v>12642500</v>
      </c>
      <c r="F19" s="123">
        <v>12642500</v>
      </c>
      <c r="G19" s="123">
        <v>12642500</v>
      </c>
      <c r="H19" s="123">
        <v>12642500</v>
      </c>
      <c r="I19" s="123">
        <v>12642500</v>
      </c>
      <c r="J19" s="123">
        <v>12642500</v>
      </c>
      <c r="K19" s="123">
        <v>12642500</v>
      </c>
      <c r="L19" s="123">
        <v>12642500</v>
      </c>
      <c r="M19" s="123">
        <v>12642500</v>
      </c>
      <c r="N19" s="123">
        <v>12642500</v>
      </c>
      <c r="O19" s="123">
        <v>12642500</v>
      </c>
      <c r="P19" s="120"/>
      <c r="Q19" s="120"/>
      <c r="R19" s="120"/>
      <c r="S19" s="120"/>
      <c r="T19" s="120"/>
      <c r="U19" s="124">
        <f t="shared" si="0"/>
        <v>151710000</v>
      </c>
      <c r="V19" s="113"/>
    </row>
    <row r="20" spans="1:22" ht="18">
      <c r="B20" s="122" t="s">
        <v>450</v>
      </c>
      <c r="C20" s="119"/>
      <c r="D20" s="123">
        <v>1250000</v>
      </c>
      <c r="E20" s="120"/>
      <c r="F20" s="120"/>
      <c r="G20" s="120"/>
      <c r="H20" s="120"/>
      <c r="I20" s="120"/>
      <c r="J20" s="120"/>
      <c r="K20" s="120"/>
      <c r="L20" s="120"/>
      <c r="M20" s="120"/>
      <c r="N20" s="120"/>
      <c r="O20" s="120"/>
      <c r="P20" s="120"/>
      <c r="Q20" s="120"/>
      <c r="R20" s="120"/>
      <c r="S20" s="120"/>
      <c r="T20" s="120"/>
      <c r="U20" s="124">
        <f t="shared" si="0"/>
        <v>1250000</v>
      </c>
      <c r="V20" s="113"/>
    </row>
    <row r="21" spans="1:22">
      <c r="B21" s="122" t="s">
        <v>451</v>
      </c>
      <c r="C21" s="125"/>
      <c r="D21" s="120"/>
      <c r="E21" s="120"/>
      <c r="F21" s="120"/>
      <c r="G21" s="120"/>
      <c r="H21" s="120"/>
      <c r="I21" s="120"/>
      <c r="J21" s="120"/>
      <c r="K21" s="120"/>
      <c r="L21" s="120"/>
      <c r="M21" s="120"/>
      <c r="N21" s="120"/>
      <c r="O21" s="120"/>
      <c r="P21" s="120"/>
      <c r="Q21" s="120"/>
      <c r="R21" s="120"/>
      <c r="S21" s="120"/>
      <c r="T21" s="123">
        <v>4000000</v>
      </c>
      <c r="U21" s="124">
        <f t="shared" si="0"/>
        <v>4000000</v>
      </c>
      <c r="V21" s="113"/>
    </row>
    <row r="22" spans="1:22">
      <c r="A22" s="112"/>
      <c r="B22" s="126" t="s">
        <v>68</v>
      </c>
      <c r="C22" s="124">
        <f t="shared" ref="C22:U22" si="1">SUM(C13:C21)</f>
        <v>6040000</v>
      </c>
      <c r="D22" s="124">
        <f t="shared" si="1"/>
        <v>16892500</v>
      </c>
      <c r="E22" s="124">
        <f t="shared" si="1"/>
        <v>15642500</v>
      </c>
      <c r="F22" s="124">
        <f t="shared" si="1"/>
        <v>15642500</v>
      </c>
      <c r="G22" s="124">
        <f t="shared" si="1"/>
        <v>12642500</v>
      </c>
      <c r="H22" s="124">
        <f t="shared" si="1"/>
        <v>12642500</v>
      </c>
      <c r="I22" s="124">
        <f t="shared" si="1"/>
        <v>12642500</v>
      </c>
      <c r="J22" s="124">
        <f t="shared" si="1"/>
        <v>12642500</v>
      </c>
      <c r="K22" s="124">
        <f t="shared" si="1"/>
        <v>12642500</v>
      </c>
      <c r="L22" s="124">
        <f t="shared" si="1"/>
        <v>12642500</v>
      </c>
      <c r="M22" s="124">
        <f t="shared" si="1"/>
        <v>12642500</v>
      </c>
      <c r="N22" s="124">
        <f t="shared" si="1"/>
        <v>12642500</v>
      </c>
      <c r="O22" s="124">
        <f t="shared" si="1"/>
        <v>12642500</v>
      </c>
      <c r="P22" s="124">
        <f t="shared" si="1"/>
        <v>0</v>
      </c>
      <c r="Q22" s="124">
        <f t="shared" si="1"/>
        <v>0</v>
      </c>
      <c r="R22" s="124">
        <f t="shared" si="1"/>
        <v>0</v>
      </c>
      <c r="S22" s="124">
        <f t="shared" si="1"/>
        <v>0</v>
      </c>
      <c r="T22" s="124">
        <f t="shared" si="1"/>
        <v>4000000</v>
      </c>
      <c r="U22" s="124">
        <f t="shared" si="1"/>
        <v>172000000</v>
      </c>
      <c r="V22" s="114"/>
    </row>
    <row r="23" spans="1:22">
      <c r="B23" s="115"/>
      <c r="C23" s="115"/>
      <c r="D23" s="120"/>
      <c r="E23" s="120"/>
      <c r="F23" s="120"/>
      <c r="G23" s="120"/>
      <c r="H23" s="120"/>
      <c r="I23" s="120"/>
      <c r="J23" s="120"/>
      <c r="K23" s="120"/>
      <c r="L23" s="120"/>
      <c r="M23" s="120"/>
      <c r="N23" s="120"/>
      <c r="O23" s="120"/>
      <c r="P23" s="120"/>
      <c r="Q23" s="120"/>
      <c r="R23" s="120"/>
      <c r="S23" s="120"/>
      <c r="T23" s="120"/>
      <c r="U23" s="121"/>
      <c r="V23" s="113"/>
    </row>
    <row r="24" spans="1:22" ht="18">
      <c r="B24" s="119" t="s">
        <v>452</v>
      </c>
      <c r="C24" s="119"/>
      <c r="D24" s="120"/>
      <c r="E24" s="120"/>
      <c r="F24" s="120"/>
      <c r="G24" s="120"/>
      <c r="H24" s="120"/>
      <c r="I24" s="120"/>
      <c r="J24" s="120"/>
      <c r="K24" s="120"/>
      <c r="L24" s="120"/>
      <c r="M24" s="120"/>
      <c r="N24" s="120"/>
      <c r="O24" s="120"/>
      <c r="P24" s="120"/>
      <c r="Q24" s="120"/>
      <c r="R24" s="120"/>
      <c r="S24" s="120"/>
      <c r="T24" s="120"/>
      <c r="U24" s="121"/>
      <c r="V24" s="113"/>
    </row>
    <row r="25" spans="1:22">
      <c r="B25" s="122" t="s">
        <v>453</v>
      </c>
      <c r="C25" s="123">
        <v>100000</v>
      </c>
      <c r="D25" s="123"/>
      <c r="E25" s="120"/>
      <c r="F25" s="120"/>
      <c r="G25" s="120"/>
      <c r="H25" s="120"/>
      <c r="I25" s="120"/>
      <c r="J25" s="120"/>
      <c r="K25" s="120"/>
      <c r="L25" s="120"/>
      <c r="M25" s="120"/>
      <c r="N25" s="120"/>
      <c r="O25" s="120"/>
      <c r="P25" s="120"/>
      <c r="Q25" s="120"/>
      <c r="R25" s="123">
        <v>900000</v>
      </c>
      <c r="S25" s="120"/>
      <c r="T25" s="120"/>
      <c r="U25" s="124">
        <f>SUM(C25:T25)</f>
        <v>1000000</v>
      </c>
      <c r="V25" s="113"/>
    </row>
    <row r="26" spans="1:22">
      <c r="B26" s="122" t="s">
        <v>454</v>
      </c>
      <c r="C26" s="125"/>
      <c r="D26" s="120"/>
      <c r="E26" s="120"/>
      <c r="F26" s="123">
        <v>250000</v>
      </c>
      <c r="G26" s="120"/>
      <c r="H26" s="120"/>
      <c r="I26" s="123">
        <v>250000</v>
      </c>
      <c r="J26" s="120"/>
      <c r="K26" s="120"/>
      <c r="L26" s="120"/>
      <c r="M26" s="120"/>
      <c r="N26" s="120"/>
      <c r="O26" s="120"/>
      <c r="P26" s="120"/>
      <c r="Q26" s="120"/>
      <c r="R26" s="120"/>
      <c r="S26" s="120"/>
      <c r="T26" s="120"/>
      <c r="U26" s="124">
        <f t="shared" ref="U26:U31" si="2">SUM(C26:T26)</f>
        <v>500000</v>
      </c>
      <c r="V26" s="113"/>
    </row>
    <row r="27" spans="1:22">
      <c r="B27" s="122" t="s">
        <v>455</v>
      </c>
      <c r="C27" s="127">
        <v>300000</v>
      </c>
      <c r="D27" s="127">
        <v>3000000</v>
      </c>
      <c r="E27" s="127">
        <v>4000000</v>
      </c>
      <c r="F27" s="127">
        <v>700000</v>
      </c>
      <c r="G27" s="127">
        <v>265000</v>
      </c>
      <c r="H27" s="127">
        <v>4000000</v>
      </c>
      <c r="I27" s="127">
        <v>2000000</v>
      </c>
      <c r="J27" s="127">
        <v>1500000</v>
      </c>
      <c r="K27" s="127">
        <v>1750000</v>
      </c>
      <c r="L27" s="127">
        <v>2834000</v>
      </c>
      <c r="M27" s="127">
        <v>1000000</v>
      </c>
      <c r="N27" s="127">
        <v>151000</v>
      </c>
      <c r="O27" s="127">
        <v>15000000</v>
      </c>
      <c r="P27" s="127">
        <v>25000000</v>
      </c>
      <c r="Q27" s="127">
        <v>32000000</v>
      </c>
      <c r="R27" s="127">
        <v>35000000</v>
      </c>
      <c r="S27" s="120"/>
      <c r="T27" s="120"/>
      <c r="U27" s="124">
        <f t="shared" si="2"/>
        <v>128500000</v>
      </c>
      <c r="V27" s="113"/>
    </row>
    <row r="28" spans="1:22">
      <c r="B28" s="122" t="s">
        <v>456</v>
      </c>
      <c r="C28" s="123">
        <v>176701</v>
      </c>
      <c r="D28" s="123">
        <v>1000000</v>
      </c>
      <c r="E28" s="123">
        <v>1039360</v>
      </c>
      <c r="F28" s="123">
        <v>343217</v>
      </c>
      <c r="G28" s="123">
        <v>470697</v>
      </c>
      <c r="H28" s="123">
        <v>490267</v>
      </c>
      <c r="I28" s="123">
        <v>152745</v>
      </c>
      <c r="J28" s="123">
        <v>161598</v>
      </c>
      <c r="K28" s="123">
        <v>380486</v>
      </c>
      <c r="L28" s="123">
        <v>81716</v>
      </c>
      <c r="M28" s="123">
        <v>96842</v>
      </c>
      <c r="N28" s="123">
        <v>412215</v>
      </c>
      <c r="O28" s="123">
        <v>206101</v>
      </c>
      <c r="P28" s="123">
        <v>1200303</v>
      </c>
      <c r="Q28" s="123">
        <v>1200303</v>
      </c>
      <c r="R28" s="123">
        <v>7200000</v>
      </c>
      <c r="S28" s="120"/>
      <c r="T28" s="120"/>
      <c r="U28" s="124">
        <f t="shared" si="2"/>
        <v>14612551</v>
      </c>
      <c r="V28" s="113"/>
    </row>
    <row r="29" spans="1:22">
      <c r="B29" s="122" t="s">
        <v>457</v>
      </c>
      <c r="C29" s="125"/>
      <c r="D29" s="123">
        <v>4000000</v>
      </c>
      <c r="E29" s="120"/>
      <c r="F29" s="120"/>
      <c r="G29" s="120"/>
      <c r="H29" s="120"/>
      <c r="I29" s="120"/>
      <c r="J29" s="120"/>
      <c r="K29" s="120"/>
      <c r="L29" s="120"/>
      <c r="M29" s="120"/>
      <c r="N29" s="120"/>
      <c r="O29" s="120"/>
      <c r="P29" s="120"/>
      <c r="Q29" s="120"/>
      <c r="R29" s="120"/>
      <c r="S29" s="120"/>
      <c r="T29" s="120"/>
      <c r="U29" s="124">
        <f t="shared" si="2"/>
        <v>4000000</v>
      </c>
      <c r="V29" s="113"/>
    </row>
    <row r="30" spans="1:22">
      <c r="A30" s="112"/>
      <c r="B30" s="126" t="s">
        <v>458</v>
      </c>
      <c r="C30" s="124">
        <f t="shared" ref="C30:U30" si="3">SUM(C25:C29)</f>
        <v>576701</v>
      </c>
      <c r="D30" s="124">
        <f t="shared" si="3"/>
        <v>8000000</v>
      </c>
      <c r="E30" s="124">
        <f t="shared" si="3"/>
        <v>5039360</v>
      </c>
      <c r="F30" s="124">
        <f t="shared" si="3"/>
        <v>1293217</v>
      </c>
      <c r="G30" s="124">
        <f t="shared" si="3"/>
        <v>735697</v>
      </c>
      <c r="H30" s="124">
        <f t="shared" si="3"/>
        <v>4490267</v>
      </c>
      <c r="I30" s="124">
        <f t="shared" si="3"/>
        <v>2402745</v>
      </c>
      <c r="J30" s="124">
        <f t="shared" si="3"/>
        <v>1661598</v>
      </c>
      <c r="K30" s="124">
        <f t="shared" si="3"/>
        <v>2130486</v>
      </c>
      <c r="L30" s="124">
        <f t="shared" si="3"/>
        <v>2915716</v>
      </c>
      <c r="M30" s="124">
        <f t="shared" si="3"/>
        <v>1096842</v>
      </c>
      <c r="N30" s="124">
        <f t="shared" si="3"/>
        <v>563215</v>
      </c>
      <c r="O30" s="124">
        <f t="shared" si="3"/>
        <v>15206101</v>
      </c>
      <c r="P30" s="124">
        <f t="shared" si="3"/>
        <v>26200303</v>
      </c>
      <c r="Q30" s="124">
        <f t="shared" si="3"/>
        <v>33200303</v>
      </c>
      <c r="R30" s="124">
        <f t="shared" si="3"/>
        <v>43100000</v>
      </c>
      <c r="S30" s="124">
        <f t="shared" si="3"/>
        <v>0</v>
      </c>
      <c r="T30" s="124">
        <f t="shared" si="3"/>
        <v>0</v>
      </c>
      <c r="U30" s="124">
        <f t="shared" si="3"/>
        <v>148612551</v>
      </c>
      <c r="V30" s="114"/>
    </row>
    <row r="31" spans="1:22">
      <c r="B31" s="122" t="s">
        <v>459</v>
      </c>
      <c r="C31" s="125"/>
      <c r="D31" s="120"/>
      <c r="E31" s="120"/>
      <c r="F31" s="120"/>
      <c r="G31" s="120"/>
      <c r="H31" s="120"/>
      <c r="I31" s="120"/>
      <c r="J31" s="120"/>
      <c r="K31" s="120"/>
      <c r="L31" s="120"/>
      <c r="M31" s="120"/>
      <c r="N31" s="120"/>
      <c r="O31" s="120"/>
      <c r="P31" s="120"/>
      <c r="Q31" s="120"/>
      <c r="R31" s="120"/>
      <c r="S31" s="120"/>
      <c r="T31" s="123">
        <v>38000000</v>
      </c>
      <c r="U31" s="124">
        <f t="shared" si="2"/>
        <v>38000000</v>
      </c>
      <c r="V31" s="113"/>
    </row>
    <row r="32" spans="1:22">
      <c r="A32" s="112"/>
      <c r="B32" s="126" t="s">
        <v>460</v>
      </c>
      <c r="C32" s="124">
        <f t="shared" ref="C32:U32" si="4">C30+C31</f>
        <v>576701</v>
      </c>
      <c r="D32" s="124">
        <f t="shared" si="4"/>
        <v>8000000</v>
      </c>
      <c r="E32" s="124">
        <f t="shared" si="4"/>
        <v>5039360</v>
      </c>
      <c r="F32" s="124">
        <f t="shared" si="4"/>
        <v>1293217</v>
      </c>
      <c r="G32" s="124">
        <f t="shared" si="4"/>
        <v>735697</v>
      </c>
      <c r="H32" s="124">
        <f t="shared" si="4"/>
        <v>4490267</v>
      </c>
      <c r="I32" s="124">
        <f t="shared" si="4"/>
        <v>2402745</v>
      </c>
      <c r="J32" s="124">
        <f t="shared" si="4"/>
        <v>1661598</v>
      </c>
      <c r="K32" s="124">
        <f t="shared" si="4"/>
        <v>2130486</v>
      </c>
      <c r="L32" s="124">
        <f t="shared" si="4"/>
        <v>2915716</v>
      </c>
      <c r="M32" s="124">
        <f t="shared" si="4"/>
        <v>1096842</v>
      </c>
      <c r="N32" s="124">
        <f t="shared" si="4"/>
        <v>563215</v>
      </c>
      <c r="O32" s="124">
        <f t="shared" si="4"/>
        <v>15206101</v>
      </c>
      <c r="P32" s="124">
        <f t="shared" si="4"/>
        <v>26200303</v>
      </c>
      <c r="Q32" s="124">
        <f t="shared" si="4"/>
        <v>33200303</v>
      </c>
      <c r="R32" s="124">
        <f t="shared" si="4"/>
        <v>43100000</v>
      </c>
      <c r="S32" s="124">
        <f t="shared" si="4"/>
        <v>0</v>
      </c>
      <c r="T32" s="124">
        <f t="shared" si="4"/>
        <v>38000000</v>
      </c>
      <c r="U32" s="124">
        <f t="shared" si="4"/>
        <v>186612551</v>
      </c>
      <c r="V32" s="114"/>
    </row>
    <row r="33" spans="1:22">
      <c r="B33" s="115"/>
      <c r="C33" s="115"/>
      <c r="D33" s="120"/>
      <c r="E33" s="120"/>
      <c r="F33" s="120"/>
      <c r="G33" s="120"/>
      <c r="H33" s="120"/>
      <c r="I33" s="120"/>
      <c r="J33" s="120"/>
      <c r="K33" s="120"/>
      <c r="L33" s="120"/>
      <c r="M33" s="120"/>
      <c r="N33" s="120"/>
      <c r="O33" s="120"/>
      <c r="P33" s="120"/>
      <c r="Q33" s="120"/>
      <c r="R33" s="120"/>
      <c r="S33" s="120"/>
      <c r="T33" s="120"/>
      <c r="U33" s="121"/>
      <c r="V33" s="113"/>
    </row>
    <row r="34" spans="1:22" ht="27.6">
      <c r="A34" s="112"/>
      <c r="B34" s="128" t="s">
        <v>461</v>
      </c>
      <c r="C34" s="129">
        <f t="shared" ref="C34:U34" si="5">C22-C32</f>
        <v>5463299</v>
      </c>
      <c r="D34" s="129">
        <f t="shared" si="5"/>
        <v>8892500</v>
      </c>
      <c r="E34" s="129">
        <f t="shared" si="5"/>
        <v>10603140</v>
      </c>
      <c r="F34" s="129">
        <f t="shared" si="5"/>
        <v>14349283</v>
      </c>
      <c r="G34" s="129">
        <f t="shared" si="5"/>
        <v>11906803</v>
      </c>
      <c r="H34" s="129">
        <f t="shared" si="5"/>
        <v>8152233</v>
      </c>
      <c r="I34" s="129">
        <f t="shared" si="5"/>
        <v>10239755</v>
      </c>
      <c r="J34" s="129">
        <f t="shared" si="5"/>
        <v>10980902</v>
      </c>
      <c r="K34" s="129">
        <f t="shared" si="5"/>
        <v>10512014</v>
      </c>
      <c r="L34" s="129">
        <f t="shared" si="5"/>
        <v>9726784</v>
      </c>
      <c r="M34" s="129">
        <f t="shared" si="5"/>
        <v>11545658</v>
      </c>
      <c r="N34" s="129">
        <f t="shared" si="5"/>
        <v>12079285</v>
      </c>
      <c r="O34" s="129">
        <f t="shared" si="5"/>
        <v>-2563601</v>
      </c>
      <c r="P34" s="129">
        <f t="shared" si="5"/>
        <v>-26200303</v>
      </c>
      <c r="Q34" s="129">
        <f t="shared" si="5"/>
        <v>-33200303</v>
      </c>
      <c r="R34" s="129">
        <f t="shared" si="5"/>
        <v>-43100000</v>
      </c>
      <c r="S34" s="129">
        <f t="shared" si="5"/>
        <v>0</v>
      </c>
      <c r="T34" s="129">
        <f t="shared" si="5"/>
        <v>-34000000</v>
      </c>
      <c r="U34" s="129">
        <f t="shared" si="5"/>
        <v>-14612551</v>
      </c>
      <c r="V34" s="114"/>
    </row>
    <row r="35" spans="1:22">
      <c r="A35" s="112"/>
      <c r="B35" s="130" t="s">
        <v>462</v>
      </c>
      <c r="C35" s="131">
        <f>C34</f>
        <v>5463299</v>
      </c>
      <c r="D35" s="132">
        <f t="shared" ref="D35:T35" si="6">D34+C35</f>
        <v>14355799</v>
      </c>
      <c r="E35" s="132">
        <f t="shared" si="6"/>
        <v>24958939</v>
      </c>
      <c r="F35" s="132">
        <f t="shared" si="6"/>
        <v>39308222</v>
      </c>
      <c r="G35" s="132">
        <f t="shared" si="6"/>
        <v>51215025</v>
      </c>
      <c r="H35" s="132">
        <f t="shared" si="6"/>
        <v>59367258</v>
      </c>
      <c r="I35" s="132">
        <f t="shared" si="6"/>
        <v>69607013</v>
      </c>
      <c r="J35" s="132">
        <f t="shared" si="6"/>
        <v>80587915</v>
      </c>
      <c r="K35" s="132">
        <f t="shared" si="6"/>
        <v>91099929</v>
      </c>
      <c r="L35" s="132">
        <f t="shared" si="6"/>
        <v>100826713</v>
      </c>
      <c r="M35" s="132">
        <f t="shared" si="6"/>
        <v>112372371</v>
      </c>
      <c r="N35" s="132">
        <f t="shared" si="6"/>
        <v>124451656</v>
      </c>
      <c r="O35" s="132">
        <f t="shared" si="6"/>
        <v>121888055</v>
      </c>
      <c r="P35" s="132">
        <f t="shared" si="6"/>
        <v>95687752</v>
      </c>
      <c r="Q35" s="132">
        <f t="shared" si="6"/>
        <v>62487449</v>
      </c>
      <c r="R35" s="132">
        <f t="shared" si="6"/>
        <v>19387449</v>
      </c>
      <c r="S35" s="132">
        <f t="shared" si="6"/>
        <v>19387449</v>
      </c>
      <c r="T35" s="132">
        <f t="shared" si="6"/>
        <v>-14612551</v>
      </c>
      <c r="U35" s="132">
        <f>T35</f>
        <v>-14612551</v>
      </c>
      <c r="V35" s="114"/>
    </row>
    <row r="36" spans="1:22">
      <c r="A36" s="112"/>
      <c r="B36" s="128" t="s">
        <v>463</v>
      </c>
      <c r="C36" s="133">
        <f t="shared" ref="C36:U36" si="7">C34/C32</f>
        <v>9.4733648805880346</v>
      </c>
      <c r="D36" s="133">
        <f t="shared" si="7"/>
        <v>1.1115625</v>
      </c>
      <c r="E36" s="133">
        <f t="shared" si="7"/>
        <v>2.1040648018796038</v>
      </c>
      <c r="F36" s="133">
        <f t="shared" si="7"/>
        <v>11.095804493754722</v>
      </c>
      <c r="G36" s="133">
        <f t="shared" si="7"/>
        <v>16.184384332136737</v>
      </c>
      <c r="H36" s="133">
        <f t="shared" si="7"/>
        <v>1.8155341319346934</v>
      </c>
      <c r="I36" s="133">
        <f t="shared" si="7"/>
        <v>4.2616902750812091</v>
      </c>
      <c r="J36" s="133">
        <f t="shared" si="7"/>
        <v>6.6086393941254142</v>
      </c>
      <c r="K36" s="133">
        <f t="shared" si="7"/>
        <v>4.9340920334609102</v>
      </c>
      <c r="L36" s="133">
        <f t="shared" si="7"/>
        <v>3.3359847118169261</v>
      </c>
      <c r="M36" s="133">
        <f t="shared" si="7"/>
        <v>10.526272699258417</v>
      </c>
      <c r="N36" s="133">
        <f t="shared" si="7"/>
        <v>21.44702289534192</v>
      </c>
      <c r="O36" s="133">
        <f t="shared" si="7"/>
        <v>-0.16859029148892277</v>
      </c>
      <c r="P36" s="133">
        <f t="shared" si="7"/>
        <v>-1</v>
      </c>
      <c r="Q36" s="133">
        <f t="shared" si="7"/>
        <v>-1</v>
      </c>
      <c r="R36" s="133">
        <f t="shared" si="7"/>
        <v>-1</v>
      </c>
      <c r="S36" s="133" t="e">
        <f t="shared" si="7"/>
        <v>#DIV/0!</v>
      </c>
      <c r="T36" s="133">
        <f t="shared" si="7"/>
        <v>-0.89473684210526316</v>
      </c>
      <c r="U36" s="133">
        <f t="shared" si="7"/>
        <v>-7.8304224028318437E-2</v>
      </c>
      <c r="V36" s="114"/>
    </row>
    <row r="37" spans="1:22">
      <c r="B37" s="134" t="s">
        <v>464</v>
      </c>
      <c r="C37" s="134"/>
      <c r="D37" s="113"/>
      <c r="E37" s="113"/>
      <c r="F37" s="113"/>
      <c r="G37" s="113"/>
      <c r="H37" s="113"/>
      <c r="I37" s="113"/>
      <c r="J37" s="113"/>
      <c r="K37" s="113"/>
      <c r="L37" s="113"/>
      <c r="M37" s="113"/>
      <c r="N37" s="113"/>
      <c r="O37" s="113"/>
      <c r="P37" s="113"/>
      <c r="Q37" s="113"/>
      <c r="R37" s="113"/>
      <c r="S37" s="113"/>
      <c r="T37" s="113"/>
      <c r="U37" s="114"/>
      <c r="V37" s="113"/>
    </row>
    <row r="38" spans="1:22">
      <c r="B38" s="135" t="s">
        <v>555</v>
      </c>
      <c r="C38" s="135"/>
      <c r="D38" s="113"/>
      <c r="E38" s="113"/>
      <c r="F38" s="113"/>
      <c r="G38" s="113"/>
      <c r="H38" s="113"/>
      <c r="I38" s="113"/>
      <c r="J38" s="113"/>
      <c r="K38" s="113"/>
      <c r="L38" s="113"/>
      <c r="M38" s="113"/>
      <c r="N38" s="113"/>
      <c r="O38" s="113"/>
      <c r="P38" s="113"/>
      <c r="Q38" s="113"/>
      <c r="R38" s="113"/>
      <c r="S38" s="113"/>
      <c r="T38" s="113"/>
      <c r="U38" s="114"/>
      <c r="V38" s="113"/>
    </row>
    <row r="39" spans="1:22">
      <c r="B39" s="135" t="s">
        <v>465</v>
      </c>
      <c r="C39" s="135"/>
      <c r="D39" s="113"/>
      <c r="E39" s="113"/>
      <c r="F39" s="113"/>
      <c r="G39" s="113"/>
      <c r="H39" s="113"/>
      <c r="I39" s="113"/>
      <c r="J39" s="113"/>
      <c r="K39" s="113"/>
      <c r="L39" s="113"/>
      <c r="M39" s="113"/>
      <c r="N39" s="113"/>
      <c r="O39" s="113"/>
      <c r="P39" s="113"/>
      <c r="Q39" s="113"/>
      <c r="R39" s="113"/>
      <c r="S39" s="113"/>
      <c r="T39" s="113"/>
      <c r="U39" s="114"/>
      <c r="V39" s="113"/>
    </row>
    <row r="40" spans="1:22">
      <c r="B40" s="135" t="s">
        <v>466</v>
      </c>
      <c r="C40" s="135"/>
      <c r="D40" s="113"/>
      <c r="E40" s="113"/>
      <c r="F40" s="113"/>
      <c r="G40" s="113"/>
      <c r="H40" s="113"/>
      <c r="I40" s="113"/>
      <c r="J40" s="113"/>
      <c r="K40" s="113"/>
      <c r="L40" s="113"/>
      <c r="M40" s="113"/>
      <c r="N40" s="113"/>
      <c r="O40" s="113"/>
      <c r="P40" s="113"/>
      <c r="Q40" s="113"/>
      <c r="R40" s="113"/>
      <c r="S40" s="113"/>
      <c r="T40" s="113"/>
      <c r="U40" s="114"/>
      <c r="V40" s="113"/>
    </row>
    <row r="41" spans="1:22">
      <c r="B41" s="135" t="s">
        <v>467</v>
      </c>
      <c r="C41" s="135"/>
      <c r="D41" s="113"/>
      <c r="E41" s="113"/>
      <c r="F41" s="113"/>
      <c r="G41" s="113"/>
      <c r="H41" s="113"/>
      <c r="I41" s="113"/>
      <c r="J41" s="113"/>
      <c r="K41" s="113"/>
      <c r="L41" s="113"/>
      <c r="M41" s="113"/>
      <c r="N41" s="113"/>
      <c r="O41" s="113"/>
      <c r="P41" s="113"/>
      <c r="Q41" s="113"/>
      <c r="R41" s="113"/>
      <c r="S41" s="113"/>
      <c r="T41" s="113"/>
      <c r="U41" s="114"/>
      <c r="V41" s="113"/>
    </row>
  </sheetData>
  <mergeCells count="3">
    <mergeCell ref="C2:H3"/>
    <mergeCell ref="F5:G5"/>
    <mergeCell ref="F7:G7"/>
  </mergeCells>
  <dataValidations count="3">
    <dataValidation type="date" operator="greaterThanOrEqual" allowBlank="1" showInputMessage="1" showErrorMessage="1" promptTitle="Month" prompt="Please enter it as month/year (for example: 1/2011)" sqref="F7:G7" xr:uid="{00000000-0002-0000-0500-000000000000}">
      <formula1>24838</formula1>
    </dataValidation>
    <dataValidation allowBlank="1" showInputMessage="1" showErrorMessage="1" promptTitle="Credit Union Name" prompt="Type the name of your Credit Union Here" sqref="C2:H3" xr:uid="{00000000-0002-0000-0500-000001000000}"/>
    <dataValidation operator="greaterThanOrEqual" allowBlank="1" showInputMessage="1" showErrorMessage="1" promptTitle="CUA Database ID " prompt="Please enter CUA Datebase Reporting ID (for example: CUA-ACXX-0-0000)" sqref="F5:G5" xr:uid="{00000000-0002-0000-0500-000002000000}"/>
  </dataValidations>
  <pageMargins left="0.7" right="0.7" top="0.75" bottom="0.75" header="0.3" footer="0.3"/>
  <pageSetup orientation="portrait" horizontalDpi="1200" verticalDpi="120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36"/>
  <sheetViews>
    <sheetView topLeftCell="A13" workbookViewId="0">
      <selection activeCell="F18" sqref="F18"/>
    </sheetView>
  </sheetViews>
  <sheetFormatPr defaultRowHeight="13.2"/>
  <cols>
    <col min="2" max="2" width="51.109375" customWidth="1"/>
    <col min="3" max="3" width="14.109375" bestFit="1" customWidth="1"/>
    <col min="6" max="6" width="9.88671875" bestFit="1" customWidth="1"/>
  </cols>
  <sheetData>
    <row r="1" spans="1:8" ht="14.4">
      <c r="A1" s="110"/>
      <c r="B1" s="136"/>
    </row>
    <row r="2" spans="1:8" ht="14.4">
      <c r="A2" s="110"/>
      <c r="B2" s="2"/>
      <c r="C2" s="916">
        <f>Reporting!B2</f>
        <v>0</v>
      </c>
      <c r="D2" s="911"/>
      <c r="E2" s="911"/>
      <c r="F2" s="911"/>
      <c r="G2" s="911"/>
      <c r="H2" s="912"/>
    </row>
    <row r="3" spans="1:8" ht="14.4">
      <c r="A3" s="110"/>
      <c r="B3" s="2"/>
      <c r="C3" s="913"/>
      <c r="D3" s="914"/>
      <c r="E3" s="914"/>
      <c r="F3" s="914"/>
      <c r="G3" s="914"/>
      <c r="H3" s="915"/>
    </row>
    <row r="4" spans="1:8" ht="14.4">
      <c r="A4" s="110"/>
      <c r="B4" s="2"/>
      <c r="C4" s="2"/>
      <c r="D4" s="2"/>
      <c r="E4" s="2"/>
      <c r="F4" s="2"/>
      <c r="G4" s="2"/>
      <c r="H4" s="2"/>
    </row>
    <row r="5" spans="1:8" ht="14.4">
      <c r="A5" s="110"/>
      <c r="B5" s="2"/>
      <c r="C5" s="2"/>
      <c r="D5" s="2"/>
      <c r="E5" s="3" t="s">
        <v>557</v>
      </c>
      <c r="F5" s="892">
        <f>Reporting!E5</f>
        <v>0</v>
      </c>
      <c r="G5" s="892"/>
      <c r="H5" s="2"/>
    </row>
    <row r="6" spans="1:8" ht="14.4">
      <c r="A6" s="110"/>
      <c r="B6" s="2"/>
      <c r="C6" s="2"/>
      <c r="D6" s="2"/>
      <c r="E6" s="2"/>
      <c r="F6" s="2"/>
      <c r="G6" s="2"/>
      <c r="H6" s="2"/>
    </row>
    <row r="7" spans="1:8" ht="14.4">
      <c r="A7" s="110"/>
      <c r="B7" s="4" t="s">
        <v>1</v>
      </c>
      <c r="C7" s="1"/>
      <c r="D7" s="1"/>
      <c r="E7" s="1"/>
      <c r="F7" s="905">
        <f>Reporting!E7</f>
        <v>44865</v>
      </c>
      <c r="G7" s="905"/>
      <c r="H7" s="1"/>
    </row>
    <row r="8" spans="1:8" ht="18">
      <c r="A8" s="110"/>
      <c r="B8" s="231" t="s">
        <v>556</v>
      </c>
      <c r="C8" s="110"/>
      <c r="D8" s="110"/>
      <c r="E8" s="110"/>
      <c r="F8" s="110"/>
      <c r="G8" s="110"/>
      <c r="H8" s="110"/>
    </row>
    <row r="9" spans="1:8" ht="14.4">
      <c r="A9" s="110"/>
      <c r="B9" s="279" t="s">
        <v>659</v>
      </c>
      <c r="C9" s="280">
        <f>F7</f>
        <v>44865</v>
      </c>
    </row>
    <row r="12" spans="1:8" ht="14.4">
      <c r="A12" s="225" t="s">
        <v>554</v>
      </c>
      <c r="B12" s="221" t="s">
        <v>561</v>
      </c>
      <c r="F12" s="220" t="s">
        <v>558</v>
      </c>
    </row>
    <row r="13" spans="1:8" ht="14.4">
      <c r="A13">
        <v>1</v>
      </c>
      <c r="B13" s="218" t="s">
        <v>559</v>
      </c>
    </row>
    <row r="14" spans="1:8" ht="14.4">
      <c r="A14">
        <v>2</v>
      </c>
      <c r="B14" s="218" t="s">
        <v>560</v>
      </c>
    </row>
    <row r="15" spans="1:8" ht="14.4">
      <c r="B15" s="219"/>
    </row>
    <row r="16" spans="1:8" ht="14.4">
      <c r="A16" s="224" t="s">
        <v>553</v>
      </c>
      <c r="B16" s="221" t="s">
        <v>562</v>
      </c>
    </row>
    <row r="17" spans="1:6" ht="14.4">
      <c r="A17">
        <v>1</v>
      </c>
      <c r="B17" s="218" t="s">
        <v>563</v>
      </c>
      <c r="F17" s="230"/>
    </row>
    <row r="18" spans="1:6" ht="14.4">
      <c r="A18">
        <v>2</v>
      </c>
      <c r="B18" s="218" t="s">
        <v>564</v>
      </c>
      <c r="F18">
        <v>10</v>
      </c>
    </row>
    <row r="19" spans="1:6" ht="14.4">
      <c r="A19">
        <v>3</v>
      </c>
      <c r="B19" s="218" t="s">
        <v>565</v>
      </c>
      <c r="F19">
        <v>5</v>
      </c>
    </row>
    <row r="20" spans="1:6" ht="14.4">
      <c r="A20">
        <v>4</v>
      </c>
      <c r="B20" s="218" t="s">
        <v>566</v>
      </c>
      <c r="F20" s="222">
        <v>-6</v>
      </c>
    </row>
    <row r="21" spans="1:6" ht="14.4">
      <c r="A21">
        <v>5</v>
      </c>
      <c r="B21" s="226" t="s">
        <v>567</v>
      </c>
      <c r="F21" s="223">
        <f>F18+F19+F20</f>
        <v>9</v>
      </c>
    </row>
    <row r="25" spans="1:6">
      <c r="A25" s="225" t="s">
        <v>568</v>
      </c>
      <c r="B25" s="227" t="s">
        <v>573</v>
      </c>
    </row>
    <row r="26" spans="1:6">
      <c r="A26">
        <v>1</v>
      </c>
      <c r="B26" t="s">
        <v>569</v>
      </c>
    </row>
    <row r="27" spans="1:6">
      <c r="A27">
        <v>2</v>
      </c>
      <c r="B27" t="s">
        <v>572</v>
      </c>
    </row>
    <row r="28" spans="1:6">
      <c r="A28">
        <v>3</v>
      </c>
      <c r="B28" t="s">
        <v>570</v>
      </c>
    </row>
    <row r="29" spans="1:6">
      <c r="A29">
        <v>4</v>
      </c>
      <c r="B29" t="s">
        <v>576</v>
      </c>
    </row>
    <row r="30" spans="1:6">
      <c r="A30">
        <v>5</v>
      </c>
      <c r="B30" t="s">
        <v>571</v>
      </c>
    </row>
    <row r="31" spans="1:6">
      <c r="A31">
        <v>6</v>
      </c>
      <c r="B31" t="s">
        <v>574</v>
      </c>
    </row>
    <row r="32" spans="1:6">
      <c r="A32">
        <v>7</v>
      </c>
      <c r="B32" t="s">
        <v>575</v>
      </c>
    </row>
    <row r="33" spans="1:6">
      <c r="A33">
        <v>8</v>
      </c>
      <c r="B33" t="s">
        <v>578</v>
      </c>
    </row>
    <row r="34" spans="1:6">
      <c r="A34">
        <v>9</v>
      </c>
      <c r="B34" t="s">
        <v>577</v>
      </c>
    </row>
    <row r="35" spans="1:6">
      <c r="A35">
        <v>10</v>
      </c>
      <c r="B35" t="s">
        <v>420</v>
      </c>
      <c r="F35" s="222"/>
    </row>
    <row r="36" spans="1:6">
      <c r="B36" s="228" t="s">
        <v>471</v>
      </c>
      <c r="F36" s="229">
        <f>SUM(F26:F35)</f>
        <v>0</v>
      </c>
    </row>
  </sheetData>
  <mergeCells count="3">
    <mergeCell ref="C2:H3"/>
    <mergeCell ref="F5:G5"/>
    <mergeCell ref="F7:G7"/>
  </mergeCells>
  <dataValidations count="3">
    <dataValidation operator="greaterThanOrEqual" allowBlank="1" showInputMessage="1" showErrorMessage="1" promptTitle="CUA Database ID " prompt="Please enter CUA Datebase Reporting ID (for example: CUA-ACXX-0-0000)" sqref="F5:G5" xr:uid="{00000000-0002-0000-0600-000000000000}"/>
    <dataValidation allowBlank="1" showInputMessage="1" showErrorMessage="1" promptTitle="Credit Union Name" prompt="Type the name of your Credit Union Here" sqref="C2:H3" xr:uid="{00000000-0002-0000-0600-000001000000}"/>
    <dataValidation type="date" operator="greaterThanOrEqual" allowBlank="1" showInputMessage="1" showErrorMessage="1" promptTitle="Month" prompt="Please enter it as month/year (for example: 1/2011)" sqref="F7:G7" xr:uid="{00000000-0002-0000-0600-000002000000}">
      <formula1>24838</formula1>
    </dataValidation>
  </dataValidation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6"/>
  <sheetViews>
    <sheetView workbookViewId="0">
      <selection activeCell="D17" sqref="D17"/>
    </sheetView>
  </sheetViews>
  <sheetFormatPr defaultRowHeight="13.2"/>
  <cols>
    <col min="2" max="2" width="62.33203125" bestFit="1" customWidth="1"/>
    <col min="3" max="3" width="11.44140625" bestFit="1" customWidth="1"/>
    <col min="4" max="4" width="15.44140625" customWidth="1"/>
    <col min="5" max="5" width="19.33203125" bestFit="1" customWidth="1"/>
    <col min="6" max="6" width="16.33203125" customWidth="1"/>
  </cols>
  <sheetData>
    <row r="1" spans="1:9" ht="14.4">
      <c r="A1" s="110"/>
      <c r="B1" s="136"/>
    </row>
    <row r="2" spans="1:9" ht="14.4">
      <c r="A2" s="110"/>
      <c r="B2" s="2"/>
      <c r="C2" s="910">
        <f>NOTES!F5</f>
        <v>0</v>
      </c>
      <c r="D2" s="911"/>
      <c r="E2" s="911"/>
      <c r="F2" s="911"/>
      <c r="G2" s="911"/>
      <c r="H2" s="912"/>
    </row>
    <row r="3" spans="1:9" ht="14.4">
      <c r="A3" s="110"/>
      <c r="B3" s="2"/>
      <c r="C3" s="913"/>
      <c r="D3" s="914"/>
      <c r="E3" s="914"/>
      <c r="F3" s="914"/>
      <c r="G3" s="914"/>
      <c r="H3" s="915"/>
    </row>
    <row r="4" spans="1:9" ht="14.4">
      <c r="A4" s="110"/>
      <c r="B4" s="2"/>
      <c r="C4" s="2"/>
      <c r="D4" s="2"/>
      <c r="E4" s="2"/>
      <c r="F4" s="2"/>
      <c r="G4" s="2"/>
      <c r="H4" s="2"/>
    </row>
    <row r="5" spans="1:9" ht="14.4">
      <c r="A5" s="110"/>
      <c r="B5" s="2"/>
      <c r="C5" s="3" t="s">
        <v>557</v>
      </c>
      <c r="D5" s="2"/>
      <c r="F5" s="892">
        <f>Reporting!E5</f>
        <v>0</v>
      </c>
      <c r="G5" s="892"/>
      <c r="H5" s="2"/>
    </row>
    <row r="6" spans="1:9" ht="14.4">
      <c r="A6" s="110"/>
      <c r="B6" s="2"/>
      <c r="C6" s="2"/>
      <c r="D6" s="2"/>
      <c r="E6" s="2"/>
      <c r="F6" s="2"/>
      <c r="G6" s="2"/>
      <c r="H6" s="2"/>
    </row>
    <row r="7" spans="1:9" ht="14.4">
      <c r="A7" s="110"/>
      <c r="C7" s="1"/>
      <c r="D7" s="905">
        <f>Reporting!E7</f>
        <v>44865</v>
      </c>
      <c r="E7" s="905"/>
      <c r="H7" s="1"/>
    </row>
    <row r="8" spans="1:9" ht="14.4">
      <c r="A8" s="110"/>
      <c r="B8" s="4" t="s">
        <v>1</v>
      </c>
      <c r="C8" s="110"/>
      <c r="D8" s="110"/>
      <c r="E8" s="110"/>
      <c r="F8" s="110"/>
      <c r="G8" s="110"/>
      <c r="H8" s="110"/>
    </row>
    <row r="9" spans="1:9" ht="14.4">
      <c r="A9" s="110"/>
      <c r="B9" s="279" t="s">
        <v>660</v>
      </c>
      <c r="C9" s="280"/>
    </row>
    <row r="10" spans="1:9" ht="13.8" thickBot="1"/>
    <row r="11" spans="1:9" s="276" customFormat="1" ht="31.2">
      <c r="A11" s="272"/>
      <c r="B11" s="273" t="s">
        <v>657</v>
      </c>
      <c r="C11" s="273" t="s">
        <v>661</v>
      </c>
      <c r="D11" s="273" t="s">
        <v>662</v>
      </c>
      <c r="E11" s="273" t="s">
        <v>663</v>
      </c>
      <c r="F11" s="273" t="s">
        <v>664</v>
      </c>
      <c r="G11" s="281"/>
      <c r="H11" s="274"/>
      <c r="I11" s="275"/>
    </row>
    <row r="12" spans="1:9" s="276" customFormat="1" ht="15.6">
      <c r="A12" s="272"/>
      <c r="B12" s="282" t="s">
        <v>681</v>
      </c>
      <c r="C12" s="264"/>
      <c r="D12" s="264"/>
      <c r="E12" s="264"/>
      <c r="F12" s="264"/>
      <c r="G12" s="277"/>
      <c r="H12" s="277"/>
      <c r="I12" s="278"/>
    </row>
    <row r="13" spans="1:9" s="276" customFormat="1" ht="15.6">
      <c r="A13" s="272"/>
      <c r="B13" s="282" t="s">
        <v>658</v>
      </c>
      <c r="C13" s="264"/>
      <c r="D13" s="264"/>
      <c r="E13" s="264"/>
      <c r="F13" s="264"/>
      <c r="G13" s="277"/>
      <c r="H13" s="277"/>
      <c r="I13" s="278"/>
    </row>
    <row r="14" spans="1:9" s="276" customFormat="1" ht="15.6">
      <c r="A14" s="272"/>
      <c r="B14" s="282" t="s">
        <v>862</v>
      </c>
      <c r="C14" s="264"/>
      <c r="D14" s="264"/>
      <c r="E14" s="264"/>
      <c r="F14" s="264"/>
      <c r="G14" s="277"/>
      <c r="H14" s="277"/>
      <c r="I14" s="278"/>
    </row>
    <row r="15" spans="1:9" s="276" customFormat="1" ht="15.6">
      <c r="A15" s="272"/>
      <c r="B15" s="282" t="s">
        <v>861</v>
      </c>
      <c r="C15" s="264"/>
      <c r="D15" s="264"/>
      <c r="E15" s="264"/>
      <c r="F15" s="264"/>
      <c r="G15" s="277"/>
      <c r="H15" s="277"/>
      <c r="I15" s="278"/>
    </row>
    <row r="16" spans="1:9" ht="13.8">
      <c r="B16" s="283" t="s">
        <v>665</v>
      </c>
      <c r="C16" s="284">
        <f t="shared" ref="C16:I16" si="0">SUM(C13:C15)</f>
        <v>0</v>
      </c>
      <c r="D16" s="284">
        <f t="shared" si="0"/>
        <v>0</v>
      </c>
      <c r="E16" s="284">
        <f t="shared" si="0"/>
        <v>0</v>
      </c>
      <c r="F16" s="284">
        <f t="shared" si="0"/>
        <v>0</v>
      </c>
      <c r="G16" s="284">
        <f t="shared" si="0"/>
        <v>0</v>
      </c>
      <c r="H16" s="284">
        <f t="shared" si="0"/>
        <v>0</v>
      </c>
      <c r="I16" s="284">
        <f t="shared" si="0"/>
        <v>0</v>
      </c>
    </row>
  </sheetData>
  <mergeCells count="3">
    <mergeCell ref="D7:E7"/>
    <mergeCell ref="F5:G5"/>
    <mergeCell ref="C2:H3"/>
  </mergeCells>
  <dataValidations count="3">
    <dataValidation operator="greaterThanOrEqual" allowBlank="1" showInputMessage="1" showErrorMessage="1" promptTitle="CUA Database ID " prompt="Please enter CUA Datebase Reporting ID (for example: CUA-ACXX-0-0000)" sqref="F5:G5" xr:uid="{00000000-0002-0000-0700-000000000000}"/>
    <dataValidation allowBlank="1" showInputMessage="1" showErrorMessage="1" promptTitle="Credit Union Name" prompt="Type the name of your Credit Union Here" sqref="C2:H3" xr:uid="{00000000-0002-0000-0700-000001000000}"/>
    <dataValidation type="date" operator="greaterThanOrEqual" allowBlank="1" showInputMessage="1" showErrorMessage="1" promptTitle="Month" prompt="Please enter it as month/year (for example: 1/2011)" sqref="D7:E7" xr:uid="{00000000-0002-0000-0700-000002000000}">
      <formula1>24838</formula1>
    </dataValidation>
  </dataValidation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vt:i4>
      </vt:variant>
    </vt:vector>
  </HeadingPairs>
  <TitlesOfParts>
    <vt:vector size="11" baseType="lpstr">
      <vt:lpstr>Reporting</vt:lpstr>
      <vt:lpstr>NOTES</vt:lpstr>
      <vt:lpstr>BOG specimen BS</vt:lpstr>
      <vt:lpstr>Youth Savings</vt:lpstr>
      <vt:lpstr>Loans Report</vt:lpstr>
      <vt:lpstr>Liquidity Report</vt:lpstr>
      <vt:lpstr>Liquidity Gap Table</vt:lpstr>
      <vt:lpstr>Market Conduct Report</vt:lpstr>
      <vt:lpstr>Age Distribution of Members</vt:lpstr>
      <vt:lpstr>Reporting!Print_Area</vt:lpstr>
      <vt:lpstr>'Youth Savings'!Print_Area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Albert Kwei</cp:lastModifiedBy>
  <cp:lastPrinted>2022-09-29T17:51:01Z</cp:lastPrinted>
  <dcterms:created xsi:type="dcterms:W3CDTF">2015-09-04T09:46:32Z</dcterms:created>
  <dcterms:modified xsi:type="dcterms:W3CDTF">2024-06-25T07:57:31Z</dcterms:modified>
</cp:coreProperties>
</file>